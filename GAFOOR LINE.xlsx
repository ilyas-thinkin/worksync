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in Lab\Downloads\"/>
    </mc:Choice>
  </mc:AlternateContent>
  <xr:revisionPtr revIDLastSave="0" documentId="13_ncr:1_{0DF837AB-EEAE-42CC-9D5F-2660CB10EEBF}" xr6:coauthVersionLast="47" xr6:coauthVersionMax="47" xr10:uidLastSave="{00000000-0000-0000-0000-000000000000}"/>
  <bookViews>
    <workbookView xWindow="-110" yWindow="-110" windowWidth="19420" windowHeight="10300" tabRatio="653" xr2:uid="{00000000-000D-0000-FFFF-FFFF00000000}"/>
  </bookViews>
  <sheets>
    <sheet name="GAFOOR1" sheetId="1" r:id="rId1"/>
    <sheet name="RAHMAN 2" sheetId="7" state="hidden" r:id="rId2"/>
  </sheets>
  <definedNames>
    <definedName name="_xlnm.Print_Area" localSheetId="0">GAFOOR1!$B$28:$E$73</definedName>
    <definedName name="_xlnm.Print_Area" localSheetId="1">'RAHMAN 2'!$B$2:$L$16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7" l="1"/>
  <c r="G13" i="7"/>
  <c r="G15" i="7" s="1"/>
  <c r="G16" i="7" s="1"/>
  <c r="I12" i="7"/>
  <c r="K12" i="7" s="1"/>
  <c r="L12" i="7" s="1"/>
  <c r="I11" i="7"/>
  <c r="K11" i="7" s="1"/>
  <c r="L11" i="7" s="1"/>
  <c r="K10" i="7"/>
  <c r="L10" i="7" s="1"/>
  <c r="J10" i="7"/>
  <c r="I10" i="7"/>
  <c r="K9" i="7"/>
  <c r="L9" i="7" s="1"/>
  <c r="I9" i="7"/>
  <c r="J9" i="7" s="1"/>
  <c r="J8" i="7"/>
  <c r="I8" i="7"/>
  <c r="K8" i="7" s="1"/>
  <c r="L8" i="7" s="1"/>
  <c r="J12" i="7" l="1"/>
  <c r="J11" i="7"/>
  <c r="I13" i="7"/>
  <c r="J13" i="7" s="1"/>
  <c r="K13" i="7"/>
  <c r="L13" i="7" s="1"/>
  <c r="G14" i="7"/>
</calcChain>
</file>

<file path=xl/sharedStrings.xml><?xml version="1.0" encoding="utf-8"?>
<sst xmlns="http://schemas.openxmlformats.org/spreadsheetml/2006/main" count="101" uniqueCount="90">
  <si>
    <t>WORKERWISE WORK LOAD % DETAILS</t>
  </si>
  <si>
    <t>TARGET</t>
  </si>
  <si>
    <t>TAKT TIME</t>
  </si>
  <si>
    <t>S.NO.</t>
  </si>
  <si>
    <t>Engg. File
Process No:</t>
  </si>
  <si>
    <t>PROCESS DETAILS</t>
  </si>
  <si>
    <t>LIVE TIME STUDY</t>
  </si>
  <si>
    <t>AVG TIME</t>
  </si>
  <si>
    <t>CYCLE TIME</t>
  </si>
  <si>
    <t>M/P ALTD</t>
  </si>
  <si>
    <t>UNIT TIME</t>
  </si>
  <si>
    <t>WORK LOAD %</t>
  </si>
  <si>
    <t>PER HR</t>
  </si>
  <si>
    <t>PER DAY</t>
  </si>
  <si>
    <t>E.I PROCESS    ( STEP &amp; STAMP PKT), (WINDOW PKT), (CC PKT) , 
( STAMP PATTI )</t>
  </si>
  <si>
    <t>1st patti  &amp; step patt with  nonwoon  pasting &amp; att</t>
  </si>
  <si>
    <t>stamp &amp; step patti pasting &amp; atttatching</t>
  </si>
  <si>
    <t>cc pkt with cover lining pasting &amp; attatching</t>
  </si>
  <si>
    <t xml:space="preserve"> beeding &amp; cc pkt attatching</t>
  </si>
  <si>
    <t>1st patti  &amp; step patti with ams'lining close  side stitiching</t>
  </si>
  <si>
    <t>cc pkt with side stitching</t>
  </si>
  <si>
    <t>1st patti &amp; stamp patti stitching</t>
  </si>
  <si>
    <t>cc pkt recutting process</t>
  </si>
  <si>
    <t>Gusset leather with recutting process</t>
  </si>
  <si>
    <t>Gusset  pvc  with recutting process</t>
  </si>
  <si>
    <t>Gusset kimlon recuting process</t>
  </si>
  <si>
    <t>Gusset leather bit recutting process</t>
  </si>
  <si>
    <t>logo bit insert &amp; lock</t>
  </si>
  <si>
    <t>logo grinding process with tape attatching</t>
  </si>
  <si>
    <t>Gusset leather with nonwoon pasting &amp; attatching</t>
  </si>
  <si>
    <t>kimlon leather with pasting &amp; attatching</t>
  </si>
  <si>
    <t>leather bit pasting attatching</t>
  </si>
  <si>
    <t>Gusset pvc pasting</t>
  </si>
  <si>
    <t>Gusset with nonwoon pasting</t>
  </si>
  <si>
    <t>Gusset pvc &amp; nonwoon attatching</t>
  </si>
  <si>
    <t>Gusset  leather with shape creasing</t>
  </si>
  <si>
    <t>Gusset  leather with  creasing loop bit</t>
  </si>
  <si>
    <t>Gusset leather with embossing process</t>
  </si>
  <si>
    <t>Gusset leather heating process</t>
  </si>
  <si>
    <t>Gusset  leather  1st primer</t>
  </si>
  <si>
    <t>Gusset leather  die process</t>
  </si>
  <si>
    <t>Gusset pvc heating process</t>
  </si>
  <si>
    <t>Gusset  pvc with 1st primer</t>
  </si>
  <si>
    <t>Gusset  pvc  with die process</t>
  </si>
  <si>
    <t>interial case heating process</t>
  </si>
  <si>
    <t>interial case  with primer process</t>
  </si>
  <si>
    <t>interial case  with  die  process</t>
  </si>
  <si>
    <t xml:space="preserve">interial  case  sulpa with die </t>
  </si>
  <si>
    <t>interial case embossing side lable pasting &amp; attatching</t>
  </si>
  <si>
    <t xml:space="preserve"> gusset pvc stitching  area thread  pull</t>
  </si>
  <si>
    <t>gusset pvc side stitching</t>
  </si>
  <si>
    <t>interial case  lable side stitching</t>
  </si>
  <si>
    <t>interial case front &amp; back side seam stitching</t>
  </si>
  <si>
    <t>interial case side edges pasting</t>
  </si>
  <si>
    <t>interial case mold used edge folding</t>
  </si>
  <si>
    <t>Gusset leather with D-ring pasting &amp; attatching</t>
  </si>
  <si>
    <t>Gusset leather with D-ring &amp; zipper AMS stitching</t>
  </si>
  <si>
    <t>Gusset leather with D-ring &amp; zipper opposite AMS stitching</t>
  </si>
  <si>
    <t>first patti &amp; window side edges pasting</t>
  </si>
  <si>
    <t>first patti  with cc pkt &amp; window attatching</t>
  </si>
  <si>
    <t>gusset leather zipper  with side edges pasting</t>
  </si>
  <si>
    <t>zipper stitching area thread full &amp; kimlon pasting</t>
  </si>
  <si>
    <t>kimlon &amp; zipper mold used attatching</t>
  </si>
  <si>
    <t>kimlon &amp; zipper mold used folding</t>
  </si>
  <si>
    <t>interial case  with cc pkt pasting &amp; attatching</t>
  </si>
  <si>
    <t>interial case  with cc pkt  step patti stitching</t>
  </si>
  <si>
    <t>interial case with pasting &amp; attatching&amp; thread pull operation</t>
  </si>
  <si>
    <t>interial case with window pkt pasting</t>
  </si>
  <si>
    <t>interial case with window pkt mold used attatching</t>
  </si>
  <si>
    <t>interial case with cc pkt stamp side stitching</t>
  </si>
  <si>
    <t>interial case with cc pkt  window stitching</t>
  </si>
  <si>
    <t>final case stage mold used pressing</t>
  </si>
  <si>
    <t>interial case with final case pasting &amp;  Shape process</t>
  </si>
  <si>
    <t>interial case with final case Attatching</t>
  </si>
  <si>
    <t>final stage window side stitching</t>
  </si>
  <si>
    <t>final stage straight  stitching</t>
  </si>
  <si>
    <t>final lamping</t>
  </si>
  <si>
    <t>shapping process</t>
  </si>
  <si>
    <t>cleaning process</t>
  </si>
  <si>
    <t>LBR</t>
  </si>
  <si>
    <t>SAH</t>
  </si>
  <si>
    <t>EFFICIENCY</t>
  </si>
  <si>
    <t>LINE  : RAHMAN</t>
  </si>
  <si>
    <t>STYLE NO : CY405</t>
  </si>
  <si>
    <t>ACCORDION WALLET</t>
  </si>
  <si>
    <t>Patti Heating</t>
  </si>
  <si>
    <t xml:space="preserve">Patti Primer </t>
  </si>
  <si>
    <t>Patti &amp; Stamp EI</t>
  </si>
  <si>
    <t>Patti &amp; Stamp P&amp;A</t>
  </si>
  <si>
    <t>Quality Analysys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</si>
</sst>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ptos"/>
      <family val="2"/>
    </font>
    <font>
      <sz val="14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9" fontId="8" fillId="0" borderId="4" xfId="1" applyFont="1" applyFill="1" applyBorder="1" applyAlignment="1">
      <alignment horizontal="center" vertical="center"/>
    </xf>
    <xf numFmtId="2" fontId="8" fillId="0" borderId="4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9" fontId="0" fillId="0" borderId="4" xfId="1" applyFont="1" applyFill="1" applyBorder="1" applyAlignment="1">
      <alignment horizontal="center" vertical="center" wrapText="1"/>
    </xf>
    <xf numFmtId="164" fontId="0" fillId="3" borderId="4" xfId="0" applyNumberForma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9" fontId="8" fillId="0" borderId="4" xfId="1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HALL-</a:t>
            </a:r>
            <a:r>
              <a:rPr lang="en-IN" altLang="en-IN" sz="1600" b="1" i="0" u="none" strike="noStrike" baseline="0">
                <a:effectLst/>
              </a:rPr>
              <a:t>B</a:t>
            </a:r>
            <a:r>
              <a:rPr lang="en-IN" sz="1600" b="1" i="0" u="none" strike="noStrike" baseline="0">
                <a:effectLst/>
              </a:rPr>
              <a:t>  </a:t>
            </a:r>
            <a:r>
              <a:rPr lang="en-IN" altLang="en-IN" sz="1600" b="1" i="0" u="none" strike="noStrike" baseline="0">
                <a:effectLst/>
              </a:rPr>
              <a:t>RAHMAN </a:t>
            </a:r>
            <a:r>
              <a:rPr lang="en-IN" sz="1600" b="1" i="0" u="none" strike="noStrike" baseline="0">
                <a:effectLst/>
              </a:rPr>
              <a:t>LINE - ASSEMBLY   - STYLE - </a:t>
            </a:r>
            <a:r>
              <a:rPr lang="en-IN" altLang="en-IN" sz="1600" b="1" i="0" u="none" strike="noStrike" baseline="0">
                <a:effectLst/>
              </a:rPr>
              <a:t>CY405 -</a:t>
            </a:r>
            <a:r>
              <a:rPr lang="en-IN" sz="1600" b="1" i="0" u="none" strike="noStrike" baseline="0">
                <a:effectLst/>
              </a:rPr>
              <a:t>ACCORD</a:t>
            </a:r>
            <a:r>
              <a:rPr lang="en-IN" altLang="en-IN" sz="1600" b="1" i="0" u="none" strike="noStrike" baseline="0">
                <a:effectLst/>
              </a:rPr>
              <a:t>IO</a:t>
            </a:r>
            <a:r>
              <a:rPr lang="en-IN" sz="1600" b="1" i="0" u="none" strike="noStrike" baseline="0">
                <a:effectLst/>
              </a:rPr>
              <a:t>N WALLET   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'RAHMAN 2'!$D$8:$D$12</c:f>
              <c:strCache>
                <c:ptCount val="5"/>
                <c:pt idx="0">
                  <c:v>Patti Heating</c:v>
                </c:pt>
                <c:pt idx="1">
                  <c:v>Patti Primer </c:v>
                </c:pt>
                <c:pt idx="2">
                  <c:v>Patti Primer </c:v>
                </c:pt>
                <c:pt idx="3">
                  <c:v>Patti &amp; Stamp EI</c:v>
                </c:pt>
                <c:pt idx="4">
                  <c:v>Patti &amp; Stamp P&amp;A</c:v>
                </c:pt>
              </c:strCache>
            </c:strRef>
          </c:cat>
          <c:val>
            <c:numRef>
              <c:f>'RAHMAN 2'!$I$8:$I$12</c:f>
              <c:numCache>
                <c:formatCode>General</c:formatCode>
                <c:ptCount val="5"/>
                <c:pt idx="0">
                  <c:v>30</c:v>
                </c:pt>
                <c:pt idx="1">
                  <c:v>50</c:v>
                </c:pt>
                <c:pt idx="2" formatCode="0">
                  <c:v>35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A-45C0-AC4E-A546FE0CB599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'RAHMAN 2'!$D$8:$D$12</c:f>
              <c:strCache>
                <c:ptCount val="5"/>
                <c:pt idx="0">
                  <c:v>Patti Heating</c:v>
                </c:pt>
                <c:pt idx="1">
                  <c:v>Patti Primer </c:v>
                </c:pt>
                <c:pt idx="2">
                  <c:v>Patti Primer </c:v>
                </c:pt>
                <c:pt idx="3">
                  <c:v>Patti &amp; Stamp EI</c:v>
                </c:pt>
                <c:pt idx="4">
                  <c:v>Patti &amp; Stamp P&amp;A</c:v>
                </c:pt>
              </c:strCache>
            </c:strRef>
          </c:cat>
          <c:val>
            <c:numRef>
              <c:f>'RAHMAN 2'!$J$8:$J$12</c:f>
              <c:numCache>
                <c:formatCode>0%</c:formatCode>
                <c:ptCount val="5"/>
                <c:pt idx="0">
                  <c:v>0.41666666666666669</c:v>
                </c:pt>
                <c:pt idx="1">
                  <c:v>0.69444444444444442</c:v>
                </c:pt>
                <c:pt idx="2">
                  <c:v>0.4861111111111111</c:v>
                </c:pt>
                <c:pt idx="3">
                  <c:v>0.27777777777777779</c:v>
                </c:pt>
                <c:pt idx="4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A-45C0-AC4E-A546FE0CB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7172352"/>
        <c:axId val="427165792"/>
      </c:barChart>
      <c:catAx>
        <c:axId val="42717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Operation Process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65792"/>
        <c:crosses val="autoZero"/>
        <c:auto val="1"/>
        <c:lblAlgn val="ctr"/>
        <c:lblOffset val="100"/>
        <c:noMultiLvlLbl val="0"/>
      </c:catAx>
      <c:valAx>
        <c:axId val="42716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work Load % &amp; UNIT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7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19</xdr:row>
      <xdr:rowOff>71120</xdr:rowOff>
    </xdr:from>
    <xdr:to>
      <xdr:col>16</xdr:col>
      <xdr:colOff>562610</xdr:colOff>
      <xdr:row>42</xdr:row>
      <xdr:rowOff>179705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86"/>
  <sheetViews>
    <sheetView tabSelected="1" zoomScale="90" zoomScaleNormal="90" zoomScaleSheetLayoutView="90" workbookViewId="0">
      <selection activeCell="G3" sqref="G3"/>
    </sheetView>
  </sheetViews>
  <sheetFormatPr defaultColWidth="9" defaultRowHeight="18.5"/>
  <cols>
    <col min="1" max="1" width="1.7265625" customWidth="1"/>
    <col min="2" max="2" width="20" style="4" customWidth="1"/>
    <col min="3" max="3" width="9.54296875" style="5" bestFit="1" customWidth="1"/>
    <col min="4" max="4" width="64" style="5" customWidth="1"/>
    <col min="5" max="5" width="11.26953125" style="5" customWidth="1"/>
  </cols>
  <sheetData>
    <row r="1" spans="2:5" ht="10" customHeight="1"/>
    <row r="2" spans="2:5" ht="63.5" customHeight="1">
      <c r="B2" s="32"/>
      <c r="C2" s="32"/>
      <c r="D2" s="32"/>
      <c r="E2" s="32"/>
    </row>
    <row r="3" spans="2:5" s="2" customFormat="1" ht="63.5" customHeight="1">
      <c r="B3" s="47" t="s">
        <v>3</v>
      </c>
      <c r="C3" s="47" t="s">
        <v>4</v>
      </c>
      <c r="D3" s="47" t="s">
        <v>5</v>
      </c>
      <c r="E3" s="47" t="s">
        <v>8</v>
      </c>
    </row>
    <row r="4" spans="2:5" ht="32">
      <c r="B4" s="48">
        <v>1</v>
      </c>
      <c r="C4" s="49"/>
      <c r="D4" s="50" t="s">
        <v>14</v>
      </c>
      <c r="E4" s="49">
        <v>117</v>
      </c>
    </row>
    <row r="5" spans="2:5" ht="21.75" customHeight="1">
      <c r="B5" s="48">
        <v>2</v>
      </c>
      <c r="C5" s="49"/>
      <c r="D5" s="51" t="s">
        <v>15</v>
      </c>
      <c r="E5" s="52">
        <v>64</v>
      </c>
    </row>
    <row r="6" spans="2:5">
      <c r="B6" s="48">
        <v>3</v>
      </c>
      <c r="C6" s="49"/>
      <c r="D6" s="51" t="s">
        <v>16</v>
      </c>
      <c r="E6" s="52"/>
    </row>
    <row r="7" spans="2:5">
      <c r="B7" s="48">
        <v>4</v>
      </c>
      <c r="C7" s="49"/>
      <c r="D7" s="51" t="s">
        <v>17</v>
      </c>
      <c r="E7" s="52"/>
    </row>
    <row r="8" spans="2:5">
      <c r="B8" s="48">
        <v>5</v>
      </c>
      <c r="C8" s="49"/>
      <c r="D8" s="51" t="s">
        <v>18</v>
      </c>
      <c r="E8" s="52"/>
    </row>
    <row r="9" spans="2:5">
      <c r="B9" s="48">
        <v>6</v>
      </c>
      <c r="C9" s="49"/>
      <c r="D9" s="51" t="s">
        <v>19</v>
      </c>
      <c r="E9" s="52">
        <v>25</v>
      </c>
    </row>
    <row r="10" spans="2:5" ht="24.75" customHeight="1">
      <c r="B10" s="48">
        <v>7</v>
      </c>
      <c r="C10" s="49"/>
      <c r="D10" s="51" t="s">
        <v>20</v>
      </c>
      <c r="E10" s="52"/>
    </row>
    <row r="11" spans="2:5">
      <c r="B11" s="48">
        <v>8</v>
      </c>
      <c r="C11" s="49"/>
      <c r="D11" s="51" t="s">
        <v>21</v>
      </c>
      <c r="E11" s="52"/>
    </row>
    <row r="12" spans="2:5">
      <c r="B12" s="48">
        <v>9</v>
      </c>
      <c r="C12" s="49"/>
      <c r="D12" s="51" t="s">
        <v>22</v>
      </c>
      <c r="E12" s="52">
        <v>80</v>
      </c>
    </row>
    <row r="13" spans="2:5">
      <c r="B13" s="48">
        <v>10</v>
      </c>
      <c r="C13" s="49"/>
      <c r="D13" s="51" t="s">
        <v>23</v>
      </c>
      <c r="E13" s="52"/>
    </row>
    <row r="14" spans="2:5">
      <c r="B14" s="48">
        <v>11</v>
      </c>
      <c r="C14" s="49"/>
      <c r="D14" s="51" t="s">
        <v>24</v>
      </c>
      <c r="E14" s="52"/>
    </row>
    <row r="15" spans="2:5">
      <c r="B15" s="48">
        <v>12</v>
      </c>
      <c r="C15" s="49"/>
      <c r="D15" s="51" t="s">
        <v>25</v>
      </c>
      <c r="E15" s="52"/>
    </row>
    <row r="16" spans="2:5">
      <c r="B16" s="48">
        <v>13</v>
      </c>
      <c r="C16" s="49"/>
      <c r="D16" s="51" t="s">
        <v>26</v>
      </c>
      <c r="E16" s="52"/>
    </row>
    <row r="17" spans="2:5">
      <c r="B17" s="48">
        <v>14</v>
      </c>
      <c r="C17" s="49"/>
      <c r="D17" s="51" t="s">
        <v>27</v>
      </c>
      <c r="E17" s="52">
        <v>65</v>
      </c>
    </row>
    <row r="18" spans="2:5">
      <c r="B18" s="48">
        <v>15</v>
      </c>
      <c r="C18" s="49"/>
      <c r="D18" s="51" t="s">
        <v>28</v>
      </c>
      <c r="E18" s="52"/>
    </row>
    <row r="19" spans="2:5">
      <c r="B19" s="48">
        <v>16</v>
      </c>
      <c r="C19" s="49"/>
      <c r="D19" s="51" t="s">
        <v>29</v>
      </c>
      <c r="E19" s="52">
        <v>101</v>
      </c>
    </row>
    <row r="20" spans="2:5">
      <c r="B20" s="48">
        <v>17</v>
      </c>
      <c r="C20" s="49"/>
      <c r="D20" s="51" t="s">
        <v>30</v>
      </c>
      <c r="E20" s="52"/>
    </row>
    <row r="21" spans="2:5">
      <c r="B21" s="48">
        <v>18</v>
      </c>
      <c r="C21" s="49"/>
      <c r="D21" s="51" t="s">
        <v>31</v>
      </c>
      <c r="E21" s="52"/>
    </row>
    <row r="22" spans="2:5">
      <c r="B22" s="48">
        <v>19</v>
      </c>
      <c r="C22" s="49"/>
      <c r="D22" s="51" t="s">
        <v>32</v>
      </c>
      <c r="E22" s="52">
        <v>40</v>
      </c>
    </row>
    <row r="23" spans="2:5">
      <c r="B23" s="48">
        <v>20</v>
      </c>
      <c r="C23" s="49"/>
      <c r="D23" s="51" t="s">
        <v>33</v>
      </c>
      <c r="E23" s="52"/>
    </row>
    <row r="24" spans="2:5">
      <c r="B24" s="48">
        <v>21</v>
      </c>
      <c r="C24" s="49"/>
      <c r="D24" s="51" t="s">
        <v>34</v>
      </c>
      <c r="E24" s="52"/>
    </row>
    <row r="25" spans="2:5">
      <c r="B25" s="48">
        <v>22</v>
      </c>
      <c r="C25" s="49"/>
      <c r="D25" s="51" t="s">
        <v>35</v>
      </c>
      <c r="E25" s="52">
        <v>66</v>
      </c>
    </row>
    <row r="26" spans="2:5">
      <c r="B26" s="48">
        <v>23</v>
      </c>
      <c r="C26" s="49"/>
      <c r="D26" s="51" t="s">
        <v>36</v>
      </c>
      <c r="E26" s="52"/>
    </row>
    <row r="27" spans="2:5">
      <c r="B27" s="48">
        <v>24</v>
      </c>
      <c r="C27" s="49"/>
      <c r="D27" s="51" t="s">
        <v>37</v>
      </c>
      <c r="E27" s="52"/>
    </row>
    <row r="28" spans="2:5">
      <c r="B28" s="48">
        <v>25</v>
      </c>
      <c r="C28" s="49"/>
      <c r="D28" s="51" t="s">
        <v>38</v>
      </c>
      <c r="E28" s="52">
        <v>183</v>
      </c>
    </row>
    <row r="29" spans="2:5">
      <c r="B29" s="48">
        <v>26</v>
      </c>
      <c r="C29" s="49"/>
      <c r="D29" s="51" t="s">
        <v>39</v>
      </c>
      <c r="E29" s="52"/>
    </row>
    <row r="30" spans="2:5">
      <c r="B30" s="48">
        <v>27</v>
      </c>
      <c r="C30" s="49"/>
      <c r="D30" s="51" t="s">
        <v>40</v>
      </c>
      <c r="E30" s="52"/>
    </row>
    <row r="31" spans="2:5">
      <c r="B31" s="48">
        <v>28</v>
      </c>
      <c r="C31" s="49"/>
      <c r="D31" s="51" t="s">
        <v>41</v>
      </c>
      <c r="E31" s="52"/>
    </row>
    <row r="32" spans="2:5">
      <c r="B32" s="48">
        <v>29</v>
      </c>
      <c r="C32" s="49"/>
      <c r="D32" s="51" t="s">
        <v>42</v>
      </c>
      <c r="E32" s="52"/>
    </row>
    <row r="33" spans="2:5">
      <c r="B33" s="48">
        <v>30</v>
      </c>
      <c r="C33" s="49"/>
      <c r="D33" s="51" t="s">
        <v>43</v>
      </c>
      <c r="E33" s="52"/>
    </row>
    <row r="34" spans="2:5">
      <c r="B34" s="48">
        <v>31</v>
      </c>
      <c r="C34" s="49"/>
      <c r="D34" s="51" t="s">
        <v>44</v>
      </c>
      <c r="E34" s="52"/>
    </row>
    <row r="35" spans="2:5">
      <c r="B35" s="48">
        <v>32</v>
      </c>
      <c r="C35" s="49"/>
      <c r="D35" s="51" t="s">
        <v>45</v>
      </c>
      <c r="E35" s="52"/>
    </row>
    <row r="36" spans="2:5">
      <c r="B36" s="48">
        <v>33</v>
      </c>
      <c r="C36" s="49"/>
      <c r="D36" s="51" t="s">
        <v>46</v>
      </c>
      <c r="E36" s="52"/>
    </row>
    <row r="37" spans="2:5">
      <c r="B37" s="48">
        <v>34</v>
      </c>
      <c r="C37" s="49"/>
      <c r="D37" s="51" t="s">
        <v>47</v>
      </c>
      <c r="E37" s="52"/>
    </row>
    <row r="38" spans="2:5">
      <c r="B38" s="48">
        <v>35</v>
      </c>
      <c r="C38" s="49"/>
      <c r="D38" s="51" t="s">
        <v>48</v>
      </c>
      <c r="E38" s="49">
        <v>68</v>
      </c>
    </row>
    <row r="39" spans="2:5">
      <c r="B39" s="48">
        <v>36</v>
      </c>
      <c r="C39" s="49"/>
      <c r="D39" s="51" t="s">
        <v>49</v>
      </c>
      <c r="E39" s="49">
        <v>26</v>
      </c>
    </row>
    <row r="40" spans="2:5">
      <c r="B40" s="48">
        <v>37</v>
      </c>
      <c r="C40" s="49"/>
      <c r="D40" s="51" t="s">
        <v>50</v>
      </c>
      <c r="E40" s="52">
        <v>80</v>
      </c>
    </row>
    <row r="41" spans="2:5">
      <c r="B41" s="48">
        <v>38</v>
      </c>
      <c r="C41" s="49"/>
      <c r="D41" s="51" t="s">
        <v>51</v>
      </c>
      <c r="E41" s="52"/>
    </row>
    <row r="42" spans="2:5">
      <c r="B42" s="48">
        <v>39</v>
      </c>
      <c r="C42" s="49"/>
      <c r="D42" s="51" t="s">
        <v>52</v>
      </c>
      <c r="E42" s="49">
        <v>59</v>
      </c>
    </row>
    <row r="43" spans="2:5">
      <c r="B43" s="48">
        <v>40</v>
      </c>
      <c r="C43" s="49"/>
      <c r="D43" s="51" t="s">
        <v>53</v>
      </c>
      <c r="E43" s="52">
        <v>151</v>
      </c>
    </row>
    <row r="44" spans="2:5">
      <c r="B44" s="48">
        <v>41</v>
      </c>
      <c r="C44" s="49"/>
      <c r="D44" s="51" t="s">
        <v>54</v>
      </c>
      <c r="E44" s="52"/>
    </row>
    <row r="45" spans="2:5">
      <c r="B45" s="48">
        <v>42</v>
      </c>
      <c r="C45" s="49"/>
      <c r="D45" s="51" t="s">
        <v>53</v>
      </c>
      <c r="E45" s="52">
        <v>151</v>
      </c>
    </row>
    <row r="46" spans="2:5">
      <c r="B46" s="48">
        <v>43</v>
      </c>
      <c r="C46" s="49"/>
      <c r="D46" s="51" t="s">
        <v>54</v>
      </c>
      <c r="E46" s="52"/>
    </row>
    <row r="47" spans="2:5">
      <c r="B47" s="48">
        <v>44</v>
      </c>
      <c r="C47" s="49"/>
      <c r="D47" s="51" t="s">
        <v>52</v>
      </c>
      <c r="E47" s="49">
        <v>60</v>
      </c>
    </row>
    <row r="48" spans="2:5">
      <c r="B48" s="48">
        <v>45</v>
      </c>
      <c r="C48" s="49"/>
      <c r="D48" s="51" t="s">
        <v>55</v>
      </c>
      <c r="E48" s="49">
        <v>41</v>
      </c>
    </row>
    <row r="49" spans="2:5">
      <c r="B49" s="48">
        <v>46</v>
      </c>
      <c r="C49" s="49"/>
      <c r="D49" s="51" t="s">
        <v>56</v>
      </c>
      <c r="E49" s="52">
        <v>73</v>
      </c>
    </row>
    <row r="50" spans="2:5">
      <c r="B50" s="48">
        <v>47</v>
      </c>
      <c r="C50" s="49"/>
      <c r="D50" s="51" t="s">
        <v>57</v>
      </c>
      <c r="E50" s="52"/>
    </row>
    <row r="51" spans="2:5">
      <c r="B51" s="48">
        <v>48</v>
      </c>
      <c r="C51" s="49"/>
      <c r="D51" s="51" t="s">
        <v>58</v>
      </c>
      <c r="E51" s="49">
        <v>60</v>
      </c>
    </row>
    <row r="52" spans="2:5">
      <c r="B52" s="48">
        <v>49</v>
      </c>
      <c r="C52" s="49"/>
      <c r="D52" s="51" t="s">
        <v>59</v>
      </c>
      <c r="E52" s="49">
        <v>85</v>
      </c>
    </row>
    <row r="53" spans="2:5">
      <c r="B53" s="48">
        <v>50</v>
      </c>
      <c r="C53" s="49"/>
      <c r="D53" s="51" t="s">
        <v>60</v>
      </c>
      <c r="E53" s="49">
        <v>97</v>
      </c>
    </row>
    <row r="54" spans="2:5">
      <c r="B54" s="48">
        <v>51</v>
      </c>
      <c r="C54" s="49"/>
      <c r="D54" s="51" t="s">
        <v>61</v>
      </c>
      <c r="E54" s="49">
        <v>49</v>
      </c>
    </row>
    <row r="55" spans="2:5">
      <c r="B55" s="48">
        <v>52</v>
      </c>
      <c r="C55" s="49"/>
      <c r="D55" s="51" t="s">
        <v>62</v>
      </c>
      <c r="E55" s="49">
        <v>88</v>
      </c>
    </row>
    <row r="56" spans="2:5">
      <c r="B56" s="48">
        <v>53</v>
      </c>
      <c r="C56" s="49"/>
      <c r="D56" s="51" t="s">
        <v>63</v>
      </c>
      <c r="E56" s="49">
        <v>152</v>
      </c>
    </row>
    <row r="57" spans="2:5">
      <c r="B57" s="48">
        <v>54</v>
      </c>
      <c r="C57" s="49"/>
      <c r="D57" s="51" t="s">
        <v>63</v>
      </c>
      <c r="E57" s="49">
        <v>151</v>
      </c>
    </row>
    <row r="58" spans="2:5">
      <c r="B58" s="48">
        <v>55</v>
      </c>
      <c r="C58" s="49"/>
      <c r="D58" s="51" t="s">
        <v>64</v>
      </c>
      <c r="E58" s="49">
        <v>102</v>
      </c>
    </row>
    <row r="59" spans="2:5">
      <c r="B59" s="48">
        <v>56</v>
      </c>
      <c r="C59" s="49"/>
      <c r="D59" s="51" t="s">
        <v>65</v>
      </c>
      <c r="E59" s="49">
        <v>34</v>
      </c>
    </row>
    <row r="60" spans="2:5">
      <c r="B60" s="48">
        <v>57</v>
      </c>
      <c r="C60" s="49"/>
      <c r="D60" s="51" t="s">
        <v>66</v>
      </c>
      <c r="E60" s="52">
        <v>93</v>
      </c>
    </row>
    <row r="61" spans="2:5">
      <c r="B61" s="48">
        <v>58</v>
      </c>
      <c r="C61" s="49"/>
      <c r="D61" s="51" t="s">
        <v>67</v>
      </c>
      <c r="E61" s="52"/>
    </row>
    <row r="62" spans="2:5">
      <c r="B62" s="48">
        <v>59</v>
      </c>
      <c r="C62" s="49"/>
      <c r="D62" s="51" t="s">
        <v>68</v>
      </c>
      <c r="E62" s="49">
        <v>121</v>
      </c>
    </row>
    <row r="63" spans="2:5">
      <c r="B63" s="48">
        <v>60</v>
      </c>
      <c r="C63" s="49"/>
      <c r="D63" s="51" t="s">
        <v>69</v>
      </c>
      <c r="E63" s="49">
        <v>60</v>
      </c>
    </row>
    <row r="64" spans="2:5">
      <c r="B64" s="48">
        <v>61</v>
      </c>
      <c r="C64" s="49"/>
      <c r="D64" s="51" t="s">
        <v>70</v>
      </c>
      <c r="E64" s="49">
        <v>121</v>
      </c>
    </row>
    <row r="65" spans="2:5">
      <c r="B65" s="48">
        <v>62</v>
      </c>
      <c r="C65" s="49"/>
      <c r="D65" s="51" t="s">
        <v>71</v>
      </c>
      <c r="E65" s="49">
        <v>60</v>
      </c>
    </row>
    <row r="66" spans="2:5">
      <c r="B66" s="48">
        <v>63</v>
      </c>
      <c r="C66" s="49"/>
      <c r="D66" s="51" t="s">
        <v>72</v>
      </c>
      <c r="E66" s="49">
        <v>71</v>
      </c>
    </row>
    <row r="67" spans="2:5">
      <c r="B67" s="48">
        <v>64</v>
      </c>
      <c r="C67" s="49"/>
      <c r="D67" s="51" t="s">
        <v>73</v>
      </c>
      <c r="E67" s="49">
        <v>103</v>
      </c>
    </row>
    <row r="68" spans="2:5">
      <c r="B68" s="48">
        <v>65</v>
      </c>
      <c r="C68" s="49"/>
      <c r="D68" s="51" t="s">
        <v>73</v>
      </c>
      <c r="E68" s="49">
        <v>107</v>
      </c>
    </row>
    <row r="69" spans="2:5">
      <c r="B69" s="48">
        <v>66</v>
      </c>
      <c r="C69" s="49"/>
      <c r="D69" s="51" t="s">
        <v>74</v>
      </c>
      <c r="E69" s="49">
        <v>110</v>
      </c>
    </row>
    <row r="70" spans="2:5">
      <c r="B70" s="48">
        <v>67</v>
      </c>
      <c r="C70" s="49"/>
      <c r="D70" s="51" t="s">
        <v>75</v>
      </c>
      <c r="E70" s="49">
        <v>110</v>
      </c>
    </row>
    <row r="71" spans="2:5">
      <c r="B71" s="48">
        <v>68</v>
      </c>
      <c r="C71" s="49"/>
      <c r="D71" s="51" t="s">
        <v>76</v>
      </c>
      <c r="E71" s="49">
        <v>76</v>
      </c>
    </row>
    <row r="72" spans="2:5">
      <c r="B72" s="48">
        <v>69</v>
      </c>
      <c r="C72" s="49"/>
      <c r="D72" s="51" t="s">
        <v>77</v>
      </c>
      <c r="E72" s="49">
        <v>101</v>
      </c>
    </row>
    <row r="73" spans="2:5">
      <c r="B73" s="48">
        <v>70</v>
      </c>
      <c r="C73" s="49"/>
      <c r="D73" s="51" t="s">
        <v>78</v>
      </c>
      <c r="E73" s="49">
        <v>110</v>
      </c>
    </row>
    <row r="74" spans="2:5" ht="44.25" customHeight="1">
      <c r="B74" s="53">
        <v>71</v>
      </c>
      <c r="C74" s="49"/>
      <c r="D74" s="49" t="s">
        <v>89</v>
      </c>
      <c r="E74" s="49"/>
    </row>
    <row r="86" ht="23.25" customHeight="1"/>
  </sheetData>
  <mergeCells count="14">
    <mergeCell ref="E45:E46"/>
    <mergeCell ref="E49:E50"/>
    <mergeCell ref="E60:E61"/>
    <mergeCell ref="B2:E2"/>
    <mergeCell ref="E5:E8"/>
    <mergeCell ref="E43:E44"/>
    <mergeCell ref="E9:E11"/>
    <mergeCell ref="E12:E16"/>
    <mergeCell ref="E17:E18"/>
    <mergeCell ref="E19:E21"/>
    <mergeCell ref="E22:E24"/>
    <mergeCell ref="E25:E27"/>
    <mergeCell ref="E28:E37"/>
    <mergeCell ref="E40:E41"/>
  </mergeCells>
  <printOptions horizontalCentered="1" verticalCentered="1"/>
  <pageMargins left="0" right="0" top="0" bottom="0" header="0" footer="0"/>
  <pageSetup scale="84" fitToHeight="2" orientation="landscape" r:id="rId1"/>
  <headerFooter>
    <oddFooter>&amp;CPage &amp;P of &amp;N</oddFooter>
  </headerFooter>
  <rowBreaks count="1" manualBreakCount="1">
    <brk id="59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0"/>
  <sheetViews>
    <sheetView workbookViewId="0">
      <selection activeCell="E11" sqref="E11"/>
    </sheetView>
  </sheetViews>
  <sheetFormatPr defaultColWidth="9" defaultRowHeight="18.5"/>
  <cols>
    <col min="2" max="2" width="20" style="4" customWidth="1"/>
    <col min="3" max="3" width="0.26953125" style="5" customWidth="1"/>
    <col min="4" max="4" width="47.26953125" style="6" customWidth="1"/>
    <col min="5" max="6" width="13.54296875" style="5" customWidth="1"/>
    <col min="7" max="9" width="11.26953125" style="5" customWidth="1"/>
    <col min="10" max="10" width="11.1796875" style="5" customWidth="1"/>
    <col min="11" max="11" width="11" style="5" customWidth="1"/>
    <col min="12" max="12" width="8.453125" style="5" customWidth="1"/>
    <col min="13" max="13" width="35.1796875" customWidth="1"/>
  </cols>
  <sheetData>
    <row r="2" spans="2:12" ht="33.75" customHeight="1">
      <c r="B2" s="41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3"/>
    </row>
    <row r="3" spans="2:12" ht="4.5" customHeight="1">
      <c r="B3" s="44"/>
      <c r="C3" s="45"/>
      <c r="D3" s="45"/>
      <c r="E3" s="45"/>
      <c r="F3" s="45"/>
      <c r="G3" s="45"/>
      <c r="H3" s="45"/>
      <c r="I3" s="45"/>
      <c r="J3" s="45"/>
      <c r="K3" s="45"/>
      <c r="L3" s="46"/>
    </row>
    <row r="4" spans="2:12" s="1" customFormat="1" ht="36" customHeight="1">
      <c r="B4" s="36" t="s">
        <v>82</v>
      </c>
      <c r="C4" s="37"/>
      <c r="D4" s="38"/>
      <c r="E4" s="7"/>
      <c r="F4" s="7"/>
      <c r="G4" s="36" t="s">
        <v>83</v>
      </c>
      <c r="H4" s="38"/>
      <c r="I4" s="36" t="s">
        <v>84</v>
      </c>
      <c r="J4" s="38"/>
      <c r="K4" s="7"/>
      <c r="L4" s="7"/>
    </row>
    <row r="5" spans="2:12" s="1" customFormat="1" ht="38.15" customHeight="1">
      <c r="B5" s="33" t="s">
        <v>1</v>
      </c>
      <c r="C5" s="34"/>
      <c r="D5" s="35"/>
      <c r="E5" s="7" t="s">
        <v>1</v>
      </c>
      <c r="F5" s="7">
        <v>300</v>
      </c>
      <c r="G5" s="8">
        <v>400</v>
      </c>
      <c r="H5" s="36" t="s">
        <v>2</v>
      </c>
      <c r="I5" s="37"/>
      <c r="J5" s="38"/>
      <c r="K5" s="8">
        <v>72</v>
      </c>
      <c r="L5" s="7"/>
    </row>
    <row r="6" spans="2:12" ht="3.75" customHeight="1">
      <c r="B6" s="39"/>
      <c r="C6" s="39"/>
      <c r="D6" s="40"/>
      <c r="E6" s="39"/>
      <c r="F6" s="39"/>
      <c r="G6" s="39"/>
      <c r="H6" s="39"/>
      <c r="I6" s="39"/>
      <c r="J6" s="39"/>
      <c r="K6" s="39"/>
      <c r="L6" s="39"/>
    </row>
    <row r="7" spans="2:12" s="2" customFormat="1" ht="20.25" customHeight="1">
      <c r="B7" s="9" t="s">
        <v>3</v>
      </c>
      <c r="C7" s="9" t="s">
        <v>4</v>
      </c>
      <c r="D7" s="10" t="s">
        <v>5</v>
      </c>
      <c r="E7" s="9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23" t="s">
        <v>11</v>
      </c>
      <c r="K7" s="24" t="s">
        <v>12</v>
      </c>
      <c r="L7" s="24" t="s">
        <v>13</v>
      </c>
    </row>
    <row r="8" spans="2:12">
      <c r="B8" s="11">
        <v>1</v>
      </c>
      <c r="C8" s="12"/>
      <c r="D8" s="13" t="s">
        <v>85</v>
      </c>
      <c r="E8" s="12"/>
      <c r="F8" s="12"/>
      <c r="G8" s="12">
        <v>30</v>
      </c>
      <c r="H8" s="12">
        <v>1</v>
      </c>
      <c r="I8" s="12">
        <f t="shared" ref="I8:I13" si="0">G8/H8</f>
        <v>30</v>
      </c>
      <c r="J8" s="25">
        <f t="shared" ref="J8:J13" si="1">I8/$K$5</f>
        <v>0.41666666666666669</v>
      </c>
      <c r="K8" s="26">
        <f t="shared" ref="K8:K13" si="2">3600/I8</f>
        <v>120</v>
      </c>
      <c r="L8" s="26">
        <f t="shared" ref="L8:L13" si="3">+K8*8</f>
        <v>960</v>
      </c>
    </row>
    <row r="9" spans="2:12">
      <c r="B9" s="11">
        <v>2</v>
      </c>
      <c r="C9" s="12"/>
      <c r="D9" s="13" t="s">
        <v>86</v>
      </c>
      <c r="E9" s="12"/>
      <c r="F9" s="12"/>
      <c r="G9" s="12">
        <v>50</v>
      </c>
      <c r="H9" s="12">
        <v>1</v>
      </c>
      <c r="I9" s="12">
        <f t="shared" si="0"/>
        <v>50</v>
      </c>
      <c r="J9" s="25">
        <f t="shared" si="1"/>
        <v>0.69444444444444442</v>
      </c>
      <c r="K9" s="26">
        <f t="shared" si="2"/>
        <v>72</v>
      </c>
      <c r="L9" s="26">
        <f t="shared" si="3"/>
        <v>576</v>
      </c>
    </row>
    <row r="10" spans="2:12">
      <c r="B10" s="11">
        <v>3</v>
      </c>
      <c r="C10" s="12"/>
      <c r="D10" s="13" t="s">
        <v>86</v>
      </c>
      <c r="E10" s="12"/>
      <c r="F10" s="12"/>
      <c r="G10" s="12">
        <v>35</v>
      </c>
      <c r="H10" s="12">
        <v>1</v>
      </c>
      <c r="I10" s="27">
        <f t="shared" si="0"/>
        <v>35</v>
      </c>
      <c r="J10" s="25">
        <f t="shared" si="1"/>
        <v>0.4861111111111111</v>
      </c>
      <c r="K10" s="26">
        <f t="shared" si="2"/>
        <v>102.85714285714286</v>
      </c>
      <c r="L10" s="26">
        <f t="shared" si="3"/>
        <v>822.85714285714289</v>
      </c>
    </row>
    <row r="11" spans="2:12">
      <c r="B11" s="11">
        <v>4</v>
      </c>
      <c r="C11" s="12"/>
      <c r="D11" s="13" t="s">
        <v>87</v>
      </c>
      <c r="E11" s="12"/>
      <c r="F11" s="12"/>
      <c r="G11" s="12">
        <v>20</v>
      </c>
      <c r="H11" s="12">
        <v>1</v>
      </c>
      <c r="I11" s="12">
        <f t="shared" si="0"/>
        <v>20</v>
      </c>
      <c r="J11" s="25">
        <f t="shared" si="1"/>
        <v>0.27777777777777779</v>
      </c>
      <c r="K11" s="26">
        <f t="shared" si="2"/>
        <v>180</v>
      </c>
      <c r="L11" s="26">
        <f t="shared" si="3"/>
        <v>1440</v>
      </c>
    </row>
    <row r="12" spans="2:12">
      <c r="B12" s="11">
        <v>5</v>
      </c>
      <c r="C12" s="12"/>
      <c r="D12" s="13" t="s">
        <v>88</v>
      </c>
      <c r="E12" s="12"/>
      <c r="F12" s="12"/>
      <c r="G12" s="12">
        <v>60</v>
      </c>
      <c r="H12" s="12">
        <v>1</v>
      </c>
      <c r="I12" s="12">
        <f t="shared" si="0"/>
        <v>60</v>
      </c>
      <c r="J12" s="25">
        <f t="shared" si="1"/>
        <v>0.83333333333333337</v>
      </c>
      <c r="K12" s="26">
        <f t="shared" si="2"/>
        <v>60</v>
      </c>
      <c r="L12" s="26">
        <f t="shared" si="3"/>
        <v>480</v>
      </c>
    </row>
    <row r="13" spans="2:12" ht="20.25" customHeight="1">
      <c r="B13" s="11"/>
      <c r="C13" s="14"/>
      <c r="D13" s="15"/>
      <c r="E13" s="16"/>
      <c r="F13" s="16"/>
      <c r="G13" s="17">
        <f>SUM(G8:G12)</f>
        <v>195</v>
      </c>
      <c r="H13" s="17">
        <f>SUM(H8:H12)</f>
        <v>5</v>
      </c>
      <c r="I13" s="28">
        <f t="shared" si="0"/>
        <v>39</v>
      </c>
      <c r="J13" s="29">
        <f t="shared" si="1"/>
        <v>0.54166666666666663</v>
      </c>
      <c r="K13" s="30">
        <f t="shared" si="2"/>
        <v>92.307692307692307</v>
      </c>
      <c r="L13" s="30">
        <f t="shared" si="3"/>
        <v>738.46153846153845</v>
      </c>
    </row>
    <row r="14" spans="2:12" s="3" customFormat="1" ht="20.25" customHeight="1">
      <c r="B14" s="18"/>
      <c r="C14" s="19"/>
      <c r="D14" s="20" t="s">
        <v>79</v>
      </c>
      <c r="E14" s="17"/>
      <c r="F14" s="17"/>
      <c r="G14" s="21">
        <f>G13/(H13*MAX(I8:I12))</f>
        <v>0.65</v>
      </c>
      <c r="H14" s="17"/>
      <c r="I14" s="17"/>
      <c r="J14" s="17"/>
      <c r="K14" s="31"/>
      <c r="L14" s="31"/>
    </row>
    <row r="15" spans="2:12" s="3" customFormat="1" ht="20.25" customHeight="1">
      <c r="B15" s="18"/>
      <c r="C15" s="19"/>
      <c r="D15" s="20" t="s">
        <v>80</v>
      </c>
      <c r="E15" s="17"/>
      <c r="F15" s="17"/>
      <c r="G15" s="22">
        <f>G13/3600</f>
        <v>5.4166666666666669E-2</v>
      </c>
      <c r="H15" s="17"/>
      <c r="I15" s="17"/>
      <c r="J15" s="17"/>
      <c r="K15" s="31"/>
      <c r="L15" s="31"/>
    </row>
    <row r="16" spans="2:12" s="3" customFormat="1" ht="20.25" customHeight="1">
      <c r="B16" s="18"/>
      <c r="C16" s="19"/>
      <c r="D16" s="20" t="s">
        <v>81</v>
      </c>
      <c r="E16" s="17"/>
      <c r="F16" s="17"/>
      <c r="G16" s="21">
        <f>(300*G15)/(H13*7.9)</f>
        <v>0.41139240506329117</v>
      </c>
      <c r="H16" s="17"/>
      <c r="I16" s="17"/>
      <c r="J16" s="17"/>
      <c r="K16" s="31"/>
      <c r="L16" s="31"/>
    </row>
    <row r="17" ht="46.5" customHeight="1"/>
    <row r="18" ht="44.25" customHeight="1"/>
    <row r="30" ht="23.25" customHeight="1"/>
  </sheetData>
  <mergeCells count="8">
    <mergeCell ref="B5:D5"/>
    <mergeCell ref="H5:J5"/>
    <mergeCell ref="B6:L6"/>
    <mergeCell ref="B2:L2"/>
    <mergeCell ref="B3:L3"/>
    <mergeCell ref="B4:D4"/>
    <mergeCell ref="G4:H4"/>
    <mergeCell ref="I4:J4"/>
  </mergeCells>
  <printOptions horizontalCentered="1"/>
  <pageMargins left="0" right="0" top="0" bottom="0" header="0" footer="0"/>
  <pageSetup scale="89" fitToHeight="2" orientation="landscape"/>
  <headerFoot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GAFOOR1</vt:lpstr>
      <vt:lpstr>RAHMAN 2</vt:lpstr>
      <vt:lpstr>GAFOOR1!Print_Area</vt:lpstr>
      <vt:lpstr>'RAHMAN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Ilyas Ahamed</cp:lastModifiedBy>
  <cp:lastPrinted>2026-01-07T04:11:38Z</cp:lastPrinted>
  <dcterms:created xsi:type="dcterms:W3CDTF">2006-09-16T00:00:00Z</dcterms:created>
  <dcterms:modified xsi:type="dcterms:W3CDTF">2026-01-14T09:47:14Z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1033-12.2.0.13193</vt:lpwstr>
  </property>
  <property fmtid="{D5CDD505-2E9C-101B-9397-08002B2CF9AE}" pid="3" name="KSOReadingLayout">
    <vt:bool>false</vt:bool>
  </property>
  <property fmtid="{D5CDD505-2E9C-101B-9397-08002B2CF9AE}" pid="4" name="ICV">
    <vt:lpwstr>47D6AAA1112241589E1EED482529E773</vt:lpwstr>
  </property>
</Properties>
</file>