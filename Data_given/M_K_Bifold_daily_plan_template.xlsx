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e Plan" state="visible" r:id="rId4"/>
    <sheet sheetId="2" name="Config" state="hidden" r:id="rId5"/>
  </sheets>
  <calcPr calcId="171027"/>
</workbook>
</file>

<file path=xl/sharedStrings.xml><?xml version="1.0" encoding="utf-8"?>
<sst xmlns="http://schemas.openxmlformats.org/spreadsheetml/2006/main" count="5931" uniqueCount="3629">
  <si>
    <t>LINE PLAN UPLOAD</t>
  </si>
  <si>
    <t>LINE CODE</t>
  </si>
  <si>
    <t/>
  </si>
  <si>
    <t>Production line code. Auto-created if not in system.</t>
  </si>
  <si>
    <t>HALL NAME</t>
  </si>
  <si>
    <t>Hall/area name (used as line name if auto-creating the line).</t>
  </si>
  <si>
    <t>DATE</t>
  </si>
  <si>
    <t>Work date — YYYY-MM-DD format.</t>
  </si>
  <si>
    <t>PRODUCT CODE</t>
  </si>
  <si>
    <t>35F2GTVF6V</t>
  </si>
  <si>
    <t>Style/product code. Auto-created if new.</t>
  </si>
  <si>
    <t>PRODUCT NAME</t>
  </si>
  <si>
    <t>BILLFOLD WALLET</t>
  </si>
  <si>
    <t>Full product name.</t>
  </si>
  <si>
    <t>BUYER NAME</t>
  </si>
  <si>
    <t>Buyer / brand name. Optional.</t>
  </si>
  <si>
    <t>PLAN MONTH</t>
  </si>
  <si>
    <t>Plan month (e.g. 2026-04). Optional.</t>
  </si>
  <si>
    <t>TARGET UNITS</t>
  </si>
  <si>
    <t>Daily target for this line. Required.</t>
  </si>
  <si>
    <t>CO PRODUCT CODE</t>
  </si>
  <si>
    <t>Optional — changeover product code.</t>
  </si>
  <si>
    <t>CO TARGET</t>
  </si>
  <si>
    <t>Optional — changeover target units.</t>
  </si>
  <si>
    <t>LINE LEADER</t>
  </si>
  <si>
    <t>Line leader name.</t>
  </si>
  <si>
    <t>WORKING TIME (s)</t>
  </si>
  <si>
    <t>Total working seconds per shift (9h). Used for Takt Time = Working Time ÷ Target.</t>
  </si>
  <si>
    <t>GROUP</t>
  </si>
  <si>
    <t>OSM ☑</t>
  </si>
  <si>
    <t>WORKSTATION ▼</t>
  </si>
  <si>
    <t>OP CODE (auto)</t>
  </si>
  <si>
    <t>SELECT OPERATION ▼</t>
  </si>
  <si>
    <t>PROCESS TIME (s)</t>
  </si>
  <si>
    <t>CYCLE TIME (s)</t>
  </si>
  <si>
    <t>TAKT TIME (s)</t>
  </si>
  <si>
    <t>WORKLOAD</t>
  </si>
  <si>
    <t>SAH</t>
  </si>
  <si>
    <t>EMP CODE (auto)</t>
  </si>
  <si>
    <t>SELECT EMPLOYEE ▼</t>
  </si>
  <si>
    <t>Pasting over First Patti &amp; Kimlon</t>
  </si>
  <si>
    <t>Attaching Kimlon over First Patti Lining</t>
  </si>
  <si>
    <t>Stitching First Patti with Lining on Bottom Side (1-No)</t>
  </si>
  <si>
    <t>Stitching Step Patti with Lining on Bottom Side (6-Nos)</t>
  </si>
  <si>
    <t>Stitching Step Patti with Lining on Top Side (6-Nos)</t>
  </si>
  <si>
    <t>Stitching Last Patti with Lining on Bottom Side (1-No)</t>
  </si>
  <si>
    <t>Stitching Last Patti with Lining on Top Side (1-No)</t>
  </si>
  <si>
    <t>Stitching Window on Top Side &amp; Cutting (1-No)</t>
  </si>
  <si>
    <t>Pasting over Top Patti &amp; Step Patti (4-Nos)</t>
  </si>
  <si>
    <t>Attaching Step Patti over First Patti</t>
  </si>
  <si>
    <t>Stitching Step Patti with First Patti in AMS (Card Showing 2-Nos)</t>
  </si>
  <si>
    <t>Stitching Step Patti with First Patti in AMS (Card Showing 3-Nos)</t>
  </si>
  <si>
    <t>Stitching Stamp with Lining on Top Side &amp; Cutting in AMS (1-No)</t>
  </si>
  <si>
    <t>Stitching Stamp Lining with Patti Lining in AMS (Card Showing 1-No)</t>
  </si>
  <si>
    <t>Pasting over Top Patti &amp; Step Patti (3-Nos)</t>
  </si>
  <si>
    <t>Pasting over Stamp &amp; Patti Lining</t>
  </si>
  <si>
    <t>Attaching Stamp over Step Patti</t>
  </si>
  <si>
    <t>Pasting &amp; Closing Attaching Stamp Lining on Bottom Side (1-No)</t>
  </si>
  <si>
    <t>Trimming CC pkt on Sides</t>
  </si>
  <si>
    <t>Pasting on Pkt Side for Folding (1-No)</t>
  </si>
  <si>
    <t>Creasing on CC Pkt on Side for Folding (1-No)</t>
  </si>
  <si>
    <t>Creasing on Windoe CC Pkt on Side for Folding (1-No)</t>
  </si>
  <si>
    <t>Pasting over Window &amp; Patti Lining</t>
  </si>
  <si>
    <t>Attaching Window over Step Patti</t>
  </si>
  <si>
    <t>Pasting &amp; Closing Attaching Window Lining on Bottom Side (1-No)</t>
  </si>
  <si>
    <t>Trimming Window CC pkt on Sides</t>
  </si>
  <si>
    <t>Folding CC Pkt on Sides (1-No)</t>
  </si>
  <si>
    <t>Folding Window CC Pkt on Sides (1-No)</t>
  </si>
  <si>
    <t>Pasting on Covering Lining on Side (1-No)</t>
  </si>
  <si>
    <t>Folding Covering Lining on Sides (1-No)</t>
  </si>
  <si>
    <t>Pasting on CC Pkt &amp; Cover Lining (4-Sides)</t>
  </si>
  <si>
    <t>Attaching Covering Lining over CC Pkt</t>
  </si>
  <si>
    <t>Pasting on Windoe CC Pkt &amp; Cover Lining (4-Sides)</t>
  </si>
  <si>
    <t>Attaching Covering Lining over Windoe CC Pkt</t>
  </si>
  <si>
    <t>Stitching CC Pkt on Sides (1-No)</t>
  </si>
  <si>
    <t>Thread Pull, Pasting &amp; Cutting (2-Nos)</t>
  </si>
  <si>
    <t>Pasting over lining on Bottom Side for Folding (4-Nos)</t>
  </si>
  <si>
    <t>Folding Attaching Lining on Bottom Side (4-Nos)</t>
  </si>
  <si>
    <t>Pasting over Divider Lining for Folding Attaching</t>
  </si>
  <si>
    <t>Folding Attaching Divider Patti over Lining</t>
  </si>
  <si>
    <t>Stitching Divider Patti with Lining (2-Nos)</t>
  </si>
  <si>
    <t>Sitching Divider Patti on Top Side</t>
  </si>
  <si>
    <t>Stitching Back wall Patti with Lining</t>
  </si>
  <si>
    <t>Lamping (4-Thread)</t>
  </si>
  <si>
    <t>Pasting over Center Stay Lining &amp; CC Pkt</t>
  </si>
  <si>
    <t>Attaching CC Pkt over Center Stay Lining</t>
  </si>
  <si>
    <t>Pasting over Center Stay Lining &amp; Window CC Pkt</t>
  </si>
  <si>
    <t>Recutting Window CC Pkt (1:2) 1-No</t>
  </si>
  <si>
    <t>Recutting CC Pkt (1:2) 1-No</t>
  </si>
  <si>
    <t>Recutting Wallet Center Stay (1:1)</t>
  </si>
  <si>
    <t>Recutting Zip Comp Center Stay (1:1)</t>
  </si>
  <si>
    <t>Recutting F&amp;B Leather (1:2) 2-Nos</t>
  </si>
  <si>
    <t>Pasting over Center Stay on Top Side for Beeding Attaching</t>
  </si>
  <si>
    <t>Attaching Beeding over Center Stay Inside</t>
  </si>
  <si>
    <t>Embossing on CC Pkt (PU)</t>
  </si>
  <si>
    <t>Stitching Case on Top Side (Half)</t>
  </si>
  <si>
    <t>Stitching Gusset on Top Side (2-Nos)</t>
  </si>
  <si>
    <t>Thread Pull, Pasting &amp; Cutting (4-Nos)</t>
  </si>
  <si>
    <t>Small Gusset EI (Both Sides) - Heating</t>
  </si>
  <si>
    <t>Small Gusset EI (Both Sides) - Primer-1</t>
  </si>
  <si>
    <t>Small Gusset EI (Both Sides) - Primer-2</t>
  </si>
  <si>
    <t>Small Gusset EI (Both Sides) - Dye</t>
  </si>
  <si>
    <t>Big Gusset EI (Bottom Shape) - Dye</t>
  </si>
  <si>
    <t>Tab Bit EI (Shape) - Primer 1</t>
  </si>
  <si>
    <t>Tab Bit EI (Shape) - Primer 2</t>
  </si>
  <si>
    <t>Tab Bit EI (Shape) - Buffing</t>
  </si>
  <si>
    <t>Tab Bit EI (Shape) - Primer 3</t>
  </si>
  <si>
    <t>Tab Bit EI (Shape) - Primer 4</t>
  </si>
  <si>
    <t>Tab Bit EI (Shape) - Dye</t>
  </si>
  <si>
    <t>Top Case EI (Top Side) - Pressing</t>
  </si>
  <si>
    <t>Top Case EI (Top Side) - Primer 1</t>
  </si>
  <si>
    <t>Top Case EI (Top Side) - Primer 2</t>
  </si>
  <si>
    <t>Top Case EI (Top Side) - Buffing</t>
  </si>
  <si>
    <t>Top Case EI (Top Side) - Primer 3</t>
  </si>
  <si>
    <t>Top Case EI (Top Side) - Primer 4</t>
  </si>
  <si>
    <t>Top Case EI (Top Side) - Dye</t>
  </si>
  <si>
    <t>Pasting over Top Fabric, L&amp;R Kimlon &amp; Center Kimlon</t>
  </si>
  <si>
    <t>Attacing Center &amp; L&amp;R Kimlon over Top</t>
  </si>
  <si>
    <t>Pasting over Top &amp; Mica (2-Nos)</t>
  </si>
  <si>
    <t>Attaching Mica over Top (1-No)</t>
  </si>
  <si>
    <t>Pasting over Center Stay Both Sides &amp; Lining</t>
  </si>
  <si>
    <t>Attaching L&amp;R Lining over Center Stay</t>
  </si>
  <si>
    <t>Stitching L&amp;R Lining with Center Stay PU</t>
  </si>
  <si>
    <t>Pasting over Center Stay &amp; Cover Lining (4-Sides)</t>
  </si>
  <si>
    <t>Attaching Covering Lining over Center Stay</t>
  </si>
  <si>
    <t>Pasting over Zip Comp Center Stay PU &amp; Kimlon (4-Sides)</t>
  </si>
  <si>
    <t>Attaching Kimlon over Center Stay PU using Mould</t>
  </si>
  <si>
    <t>Pasting over Center Stay PU on Bottom Side for Folding (1-No)</t>
  </si>
  <si>
    <t>Folding Center Stay PU on Bottom Side (1-No)</t>
  </si>
  <si>
    <t>Stitching Center Stay Lining on Bottom Side (1-No)</t>
  </si>
  <si>
    <t>Stitching Top Back wall Mouse Hole in AMS</t>
  </si>
  <si>
    <t>Pasting over Gusset PU &amp; Lining (4-Sides)</t>
  </si>
  <si>
    <t>Attaching Lining over Gusset PU &amp; Shapping (1-No)</t>
  </si>
  <si>
    <t>Pasting on Gusset Top Side for Folding (2-Nos)</t>
  </si>
  <si>
    <t>Folding Attaching Gusset on Top Sides (2-Nos)</t>
  </si>
  <si>
    <t>Recutting Gusset (1:2) 2-Nos</t>
  </si>
  <si>
    <t>Recutting Tab Bit Facing PU(1:4) 1-No</t>
  </si>
  <si>
    <t>Recutting Tab Bit Top Leather (1:4) 1-No</t>
  </si>
  <si>
    <t>Recutting of Top backwall (1:1)</t>
  </si>
  <si>
    <t>Recutting Top (1:1)</t>
  </si>
  <si>
    <t>Inserting Button &amp; Buttoning on Tab Bit (1-No)</t>
  </si>
  <si>
    <t>Inserting MK Logo &amp; Pressing with Top (2-Nos)</t>
  </si>
  <si>
    <t>Dummy Pressing After Logo Pressing (1-No)</t>
  </si>
  <si>
    <t>Gluing over Top on Inside Logo (1-No)</t>
  </si>
  <si>
    <t>Inserting Nylon Filler &amp; Buttoning on Top (1-No)</t>
  </si>
  <si>
    <t>Pasting over Mica &amp; Tab Facing</t>
  </si>
  <si>
    <t>Attaching Mica over  Tab Facing Inside</t>
  </si>
  <si>
    <t>Pasting over Tab Bit Top Leather &amp; Facing PU</t>
  </si>
  <si>
    <t>Attaching Facing PU over Mould</t>
  </si>
  <si>
    <t>Attaching Top Leather over Facing PU in Mould</t>
  </si>
  <si>
    <t>Final Stitching of Tab Bit</t>
  </si>
  <si>
    <t>Lamping (2-Thread)</t>
  </si>
  <si>
    <t>Full Pasting over Texon Board &amp; Top aroung Logo (1-No)</t>
  </si>
  <si>
    <t>Attaching Texon Board over Top Around the Logo</t>
  </si>
  <si>
    <t>Pasting over Top on Logo Inside &amp; Kimlon</t>
  </si>
  <si>
    <t>Attaching Kimlon over Top on Logo Inside (1-No)</t>
  </si>
  <si>
    <t>Pasting &amp; Closing Attaching Nylon over Snap Buttion</t>
  </si>
  <si>
    <t>Pasting over Top &amp; Top Backwall Lining (2-Nos)</t>
  </si>
  <si>
    <t>Attaching Backwall Lining with Top</t>
  </si>
  <si>
    <t>Stitching Top On Top Side</t>
  </si>
  <si>
    <t>Stitching Top On Bottom Moon Bit Side</t>
  </si>
  <si>
    <t>Pasting over Divider Patti Lining on Both Sides &amp; Gusset</t>
  </si>
  <si>
    <t>Attaching Gusset with Divider Lining on Both Side</t>
  </si>
  <si>
    <t>Stitching Gusset with Divider lining on Both Sides</t>
  </si>
  <si>
    <t>Pasting over Lining for Folding on Top Side (2-Nos)</t>
  </si>
  <si>
    <t>Folding &amp; Cornering Zip Comp Lining on Top &amp; Sides (2-Nos)</t>
  </si>
  <si>
    <t>Pasting over Divider Patti lining &amp; Zip Comp Lining</t>
  </si>
  <si>
    <t>Attaching Zip Comp Lining with Divider Lining on Bottom Side</t>
  </si>
  <si>
    <t>Stitching Zip Comp Lining with Divider Patti Lining</t>
  </si>
  <si>
    <t>Folding Attaching Zipper at one End</t>
  </si>
  <si>
    <t>Pasting over Zipper &amp; Inside Case Lining</t>
  </si>
  <si>
    <t>Attaching Lining with Mould</t>
  </si>
  <si>
    <t>Attaching Zipper with Lining in Mould</t>
  </si>
  <si>
    <t>Cornnering Zipper over Lining (2-Nos)</t>
  </si>
  <si>
    <t>Removing Zip Case from Mould</t>
  </si>
  <si>
    <t>Pasting ove Zip Shell on Both Sides &amp; Kimlon</t>
  </si>
  <si>
    <t>Attaching Kimlon over Zip Shell on Both Sides (2-Nos)</t>
  </si>
  <si>
    <t>Direct Stitching Tab Bit with Coller Patti in AMS</t>
  </si>
  <si>
    <t>Pasting over Front  &amp; Back Wall Leather &amp; Zip Case Lining</t>
  </si>
  <si>
    <t>Attaching Zip Case Lining with Front &amp; Back Wall Leather</t>
  </si>
  <si>
    <t>Stitching Lining Case with Gusset &amp; Wall PU on Front &amp; Back Side (2-Nos)</t>
  </si>
  <si>
    <t>Stitching Lining Case with Gusset &amp; Wall PU on Top Side (2-Nos)</t>
  </si>
  <si>
    <t>Lamping (12-Thread)</t>
  </si>
  <si>
    <t>Pasting over Divider Gusset &amp; Zip Comp Lining</t>
  </si>
  <si>
    <t>Attaching Gusset over Zip Compt Lining (2-Nos)</t>
  </si>
  <si>
    <t>Pasting over Zip Comp On Both Sides &amp; Kimlon</t>
  </si>
  <si>
    <t>Attaching Kimlon over Zip Comp Lining on Both Sides</t>
  </si>
  <si>
    <t>Pasting for Folding Gusset over Lining</t>
  </si>
  <si>
    <t>Folding Attaching Gusset over Lining (2-Nos)</t>
  </si>
  <si>
    <t>Pasting over Zip Comp Center Stay &amp; Zip Comp Case</t>
  </si>
  <si>
    <t>Attaching Center Stay Case over Zip Comp Shell</t>
  </si>
  <si>
    <t>Final Stitching Shell Case (3-Sides)</t>
  </si>
  <si>
    <t>Pasting over Shell Case &amp; Wallet Center Stay</t>
  </si>
  <si>
    <t>Attaching Shell Case over Center Stay</t>
  </si>
  <si>
    <t>Stitching CC PKT Center Stay with Zip Case (Half)</t>
  </si>
  <si>
    <t>Thread Pull, Pasting &amp; Cutting (1-Nos)</t>
  </si>
  <si>
    <t>Lamping (8-Thread)</t>
  </si>
  <si>
    <t>Zip Shell Final EI &amp; Case EI (Top Side)  - Buffing</t>
  </si>
  <si>
    <t>Zip Shell Final EI &amp; Case EI (Top Side)  - Shell Pressing</t>
  </si>
  <si>
    <t>Zip Shell Final EI &amp; Case EI (Top Side)  - Primer 1</t>
  </si>
  <si>
    <t>Zip Shell Final EI &amp; Case EI (Top Side)  - Primer 2</t>
  </si>
  <si>
    <t>Zip Shell Final EI &amp; Case EI (Top Side)  - Primer 3</t>
  </si>
  <si>
    <t>Zip Shell Final EI &amp; Case EI (Top Side)  - Primer 4</t>
  </si>
  <si>
    <t>Zip Shell Final EI &amp; Case EI (Top Side)  - Dye</t>
  </si>
  <si>
    <t>Label Prep (1-Nos)</t>
  </si>
  <si>
    <t>Attaching Label over Top Case (1-Nos)</t>
  </si>
  <si>
    <t>Pasting on Top &amp; Case (3-Sides)</t>
  </si>
  <si>
    <t>Final Attaching of MD Billfold Zip CN Wallet</t>
  </si>
  <si>
    <t>Final Stitching of Md Bifld Zip CN Wallet Shell Side</t>
  </si>
  <si>
    <t>Cleaning of Zip Coin Wallet</t>
  </si>
  <si>
    <t>Puller Fixing (1-No)</t>
  </si>
  <si>
    <t>Final Shapping of Md Bifld Zip CN Wallet</t>
  </si>
  <si>
    <t>WS01</t>
  </si>
  <si>
    <t>G1</t>
  </si>
  <si>
    <t>OP-0011</t>
  </si>
  <si>
    <t>Cleaning</t>
  </si>
  <si>
    <t>OP-0011 | Cleaning</t>
  </si>
  <si>
    <t>LPDS95715</t>
  </si>
  <si>
    <t>A ANWAR BASHA</t>
  </si>
  <si>
    <t>LPDS95715 | A ANWAR BASHA</t>
  </si>
  <si>
    <t>☐</t>
  </si>
  <si>
    <t>WS02</t>
  </si>
  <si>
    <t>G2</t>
  </si>
  <si>
    <t>OP-0014</t>
  </si>
  <si>
    <t>Heating</t>
  </si>
  <si>
    <t>OP-0014 | Heating</t>
  </si>
  <si>
    <t>LPDS95761</t>
  </si>
  <si>
    <t>A FATHIMA</t>
  </si>
  <si>
    <t>LPDS95761 | A FATHIMA</t>
  </si>
  <si>
    <t>☑</t>
  </si>
  <si>
    <t>WS03</t>
  </si>
  <si>
    <t>G3</t>
  </si>
  <si>
    <t>OP-0015</t>
  </si>
  <si>
    <t>board with lining attatching &amp;  1st primer</t>
  </si>
  <si>
    <t>OP-0015 | board with lining attatching &amp;  1st primer</t>
  </si>
  <si>
    <t>LPDS95657</t>
  </si>
  <si>
    <t>A JOTHI</t>
  </si>
  <si>
    <t>LPDS95657 | A JOTHI</t>
  </si>
  <si>
    <t>WS04</t>
  </si>
  <si>
    <t>G4</t>
  </si>
  <si>
    <t>OP-0016</t>
  </si>
  <si>
    <t>die process</t>
  </si>
  <si>
    <t>OP-0016 | die process</t>
  </si>
  <si>
    <t>LPD11959</t>
  </si>
  <si>
    <t>A MEENAKSHI</t>
  </si>
  <si>
    <t>LPD11959 | A MEENAKSHI</t>
  </si>
  <si>
    <t>WS05</t>
  </si>
  <si>
    <t>G5</t>
  </si>
  <si>
    <t>OP-0017</t>
  </si>
  <si>
    <t>Pasting on patti (5*1 Nos)</t>
  </si>
  <si>
    <t>OP-0017 | Pasting on patti (5*1 Nos)</t>
  </si>
  <si>
    <t>LPD12059</t>
  </si>
  <si>
    <t>A MUBARAK BASHA</t>
  </si>
  <si>
    <t>LPD12059 | A MUBARAK BASHA</t>
  </si>
  <si>
    <t>WS06</t>
  </si>
  <si>
    <t>G6</t>
  </si>
  <si>
    <t>OP-0018</t>
  </si>
  <si>
    <t>Attaching step patti (4*1 Nos)</t>
  </si>
  <si>
    <t>OP-0018 | Attaching step patti (4*1 Nos)</t>
  </si>
  <si>
    <t>LPDS95642</t>
  </si>
  <si>
    <t>A MUNNI</t>
  </si>
  <si>
    <t>LPDS95642 | A MUNNI</t>
  </si>
  <si>
    <t>WS07</t>
  </si>
  <si>
    <t>G7</t>
  </si>
  <si>
    <t>OP-0019</t>
  </si>
  <si>
    <t>Pasting on stamp &amp; pkt  (1-Nos)</t>
  </si>
  <si>
    <t>OP-0019 | Pasting on stamp &amp; pkt  (1-Nos)</t>
  </si>
  <si>
    <t>LPD12207</t>
  </si>
  <si>
    <t>A P MD ASIF</t>
  </si>
  <si>
    <t>LPD12207 | A P MD ASIF</t>
  </si>
  <si>
    <t>WS08</t>
  </si>
  <si>
    <t>G8</t>
  </si>
  <si>
    <t>OP-0020</t>
  </si>
  <si>
    <t>Attaching stamp with cc pkt</t>
  </si>
  <si>
    <t>OP-0020 | Attaching stamp with cc pkt</t>
  </si>
  <si>
    <t>LPDS95379</t>
  </si>
  <si>
    <t>A PARVEEN</t>
  </si>
  <si>
    <t>LPDS95379 | A PARVEEN</t>
  </si>
  <si>
    <t>WS09</t>
  </si>
  <si>
    <t>G9</t>
  </si>
  <si>
    <t>OP-0021</t>
  </si>
  <si>
    <t>Pasting on patti (4*1 Nos)</t>
  </si>
  <si>
    <t>OP-0021 | Pasting on patti (4*1 Nos)</t>
  </si>
  <si>
    <t>LPDS95268</t>
  </si>
  <si>
    <t>A RASHEEDA</t>
  </si>
  <si>
    <t>LPDS95268 | A RASHEEDA</t>
  </si>
  <si>
    <t>WS10</t>
  </si>
  <si>
    <t>G10</t>
  </si>
  <si>
    <t>OP-0022</t>
  </si>
  <si>
    <t>Attaching step patti (3*1 Nos)</t>
  </si>
  <si>
    <t>OP-0022 | Attaching step patti (3*1 Nos)</t>
  </si>
  <si>
    <t>LPDS94966</t>
  </si>
  <si>
    <t>A SHARMILA</t>
  </si>
  <si>
    <t>LPDS94966 | A SHARMILA</t>
  </si>
  <si>
    <t>WS11</t>
  </si>
  <si>
    <t>G11</t>
  </si>
  <si>
    <t>OP-0023</t>
  </si>
  <si>
    <t>Stitching the lining (4*1 Nos)</t>
  </si>
  <si>
    <t>OP-0023 | Stitching the lining (4*1 Nos)</t>
  </si>
  <si>
    <t>LPDS95012</t>
  </si>
  <si>
    <t>A SUMAIYA BANU</t>
  </si>
  <si>
    <t>LPDS95012 | A SUMAIYA BANU</t>
  </si>
  <si>
    <t>WS12</t>
  </si>
  <si>
    <t>G12</t>
  </si>
  <si>
    <t>OP-0024</t>
  </si>
  <si>
    <t>Stitching closing  lining (1*1 Nos)</t>
  </si>
  <si>
    <t>OP-0024 | Stitching closing  lining (1*1 Nos)</t>
  </si>
  <si>
    <t>LPD09853</t>
  </si>
  <si>
    <t>A. ABDUL SUBAN</t>
  </si>
  <si>
    <t>LPD09853 | A. ABDUL SUBAN</t>
  </si>
  <si>
    <t>WS13</t>
  </si>
  <si>
    <t>G13</t>
  </si>
  <si>
    <t>OP-0025</t>
  </si>
  <si>
    <t>Stitching the lining (3*1 Nos)</t>
  </si>
  <si>
    <t>OP-0025 | Stitching the lining (3*1 Nos)</t>
  </si>
  <si>
    <t>LPD02946</t>
  </si>
  <si>
    <t>A. ALEMELU</t>
  </si>
  <si>
    <t>LPD02946 | A. ALEMELU</t>
  </si>
  <si>
    <t>WS14</t>
  </si>
  <si>
    <t>G14</t>
  </si>
  <si>
    <t>OP-0026</t>
  </si>
  <si>
    <t>Stitching the lining (1*1 Nos)</t>
  </si>
  <si>
    <t>OP-0026 | Stitching the lining (1*1 Nos)</t>
  </si>
  <si>
    <t>LPD10931</t>
  </si>
  <si>
    <t>A. AMEEN BASHA</t>
  </si>
  <si>
    <t>LPD10931 | A. AMEEN BASHA</t>
  </si>
  <si>
    <t>WS15</t>
  </si>
  <si>
    <t>G15</t>
  </si>
  <si>
    <t>OP-0027</t>
  </si>
  <si>
    <t>Recutting of cc pkt (1:2) 1-Nos</t>
  </si>
  <si>
    <t>OP-0027 | Recutting of cc pkt (1:2) 1-Nos</t>
  </si>
  <si>
    <t>LPD08808</t>
  </si>
  <si>
    <t>A. AMMU</t>
  </si>
  <si>
    <t>LPD08808 | A. AMMU</t>
  </si>
  <si>
    <t>WS16</t>
  </si>
  <si>
    <t>G16</t>
  </si>
  <si>
    <t>OP-0028</t>
  </si>
  <si>
    <t>Recutting of center stay  (1:2)</t>
  </si>
  <si>
    <t>OP-0028 | Recutting of center stay  (1:2)</t>
  </si>
  <si>
    <t>LPD11783</t>
  </si>
  <si>
    <t>LPD11783 | A. AMMU</t>
  </si>
  <si>
    <t>WS17</t>
  </si>
  <si>
    <t>G17</t>
  </si>
  <si>
    <t>OP-0029</t>
  </si>
  <si>
    <t>Pasting on lining (1-Nos)</t>
  </si>
  <si>
    <t>OP-0029 | Pasting on lining (1-Nos)</t>
  </si>
  <si>
    <t>LPD10005</t>
  </si>
  <si>
    <t>A. AMUDHA</t>
  </si>
  <si>
    <t>LPD10005 | A. AMUDHA</t>
  </si>
  <si>
    <t>WS18</t>
  </si>
  <si>
    <t>G18</t>
  </si>
  <si>
    <t>OP-0030</t>
  </si>
  <si>
    <t>Attaching with lining closing(1-Nos)</t>
  </si>
  <si>
    <t>OP-0030 | Attaching with lining closing(1-Nos)</t>
  </si>
  <si>
    <t>LPD08637</t>
  </si>
  <si>
    <t>A. ARCHANA</t>
  </si>
  <si>
    <t>LPD08637 | A. ARCHANA</t>
  </si>
  <si>
    <t>WS19</t>
  </si>
  <si>
    <t>G19</t>
  </si>
  <si>
    <t>OP-0031</t>
  </si>
  <si>
    <t>Pasting cover lining and cc pkt (1-Nos)</t>
  </si>
  <si>
    <t>OP-0031 | Pasting cover lining and cc pkt (1-Nos)</t>
  </si>
  <si>
    <t>LPD11037</t>
  </si>
  <si>
    <t>A. ARIF HUSAIN</t>
  </si>
  <si>
    <t>LPD11037 | A. ARIF HUSAIN</t>
  </si>
  <si>
    <t>WS20</t>
  </si>
  <si>
    <t>G20</t>
  </si>
  <si>
    <t>OP-0032</t>
  </si>
  <si>
    <t>Attaching cover lining and cc pkt (1-Nos)</t>
  </si>
  <si>
    <t>OP-0032 | Attaching cover lining and cc pkt (1-Nos)</t>
  </si>
  <si>
    <t>LPD10084</t>
  </si>
  <si>
    <t>A. ASEENA</t>
  </si>
  <si>
    <t>LPD10084 | A. ASEENA</t>
  </si>
  <si>
    <t>WS21</t>
  </si>
  <si>
    <t>G21</t>
  </si>
  <si>
    <t>OP-0033</t>
  </si>
  <si>
    <t>Pasting lining</t>
  </si>
  <si>
    <t>OP-0033 | Pasting lining</t>
  </si>
  <si>
    <t>LPD10953</t>
  </si>
  <si>
    <t>A. CHAND BASHA</t>
  </si>
  <si>
    <t>LPD10953 | A. CHAND BASHA</t>
  </si>
  <si>
    <t>WS22</t>
  </si>
  <si>
    <t>G22</t>
  </si>
  <si>
    <t>OP-0034</t>
  </si>
  <si>
    <t>Lining folding</t>
  </si>
  <si>
    <t>OP-0034 | Lining folding</t>
  </si>
  <si>
    <t>LPD00026</t>
  </si>
  <si>
    <t>A. FAIZULLAH</t>
  </si>
  <si>
    <t>LPD00026 | A. FAIZULLAH</t>
  </si>
  <si>
    <t>WS23</t>
  </si>
  <si>
    <t>G23</t>
  </si>
  <si>
    <t>OP-0035</t>
  </si>
  <si>
    <t>Pasting on lining &amp; beeding</t>
  </si>
  <si>
    <t>OP-0035 | Pasting on lining &amp; beeding</t>
  </si>
  <si>
    <t>LPD10419</t>
  </si>
  <si>
    <t>A. FARHANA BEGAM</t>
  </si>
  <si>
    <t>LPD10419 | A. FARHANA BEGAM</t>
  </si>
  <si>
    <t>WS24</t>
  </si>
  <si>
    <t>G24</t>
  </si>
  <si>
    <t>OP-0036</t>
  </si>
  <si>
    <t>Attaching lining with beeding</t>
  </si>
  <si>
    <t>OP-0036 | Attaching lining with beeding</t>
  </si>
  <si>
    <t>LPD07716</t>
  </si>
  <si>
    <t>A. FAROOK BASHA</t>
  </si>
  <si>
    <t>LPD07716 | A. FAROOK BASHA</t>
  </si>
  <si>
    <t>WS25</t>
  </si>
  <si>
    <t>G25</t>
  </si>
  <si>
    <t>OP-0037</t>
  </si>
  <si>
    <t>Pasting on patti</t>
  </si>
  <si>
    <t>OP-0037 | Pasting on patti</t>
  </si>
  <si>
    <t>LPD11685</t>
  </si>
  <si>
    <t>A. FASNA</t>
  </si>
  <si>
    <t>LPD11685 | A. FASNA</t>
  </si>
  <si>
    <t>WS26</t>
  </si>
  <si>
    <t>G26</t>
  </si>
  <si>
    <t>OP-0038</t>
  </si>
  <si>
    <t>Attaching step patti (1*1Nos)</t>
  </si>
  <si>
    <t>OP-0038 | Attaching step patti (1*1Nos)</t>
  </si>
  <si>
    <t>LPD09998</t>
  </si>
  <si>
    <t>A. GOWRI</t>
  </si>
  <si>
    <t>LPD09998 | A. GOWRI</t>
  </si>
  <si>
    <t>WS27</t>
  </si>
  <si>
    <t>G27</t>
  </si>
  <si>
    <t>OP-0039</t>
  </si>
  <si>
    <t>Pasting on window side patti lining</t>
  </si>
  <si>
    <t>OP-0039 | Pasting on window side patti lining</t>
  </si>
  <si>
    <t>LPD07739</t>
  </si>
  <si>
    <t>A. JAMEELA</t>
  </si>
  <si>
    <t>LPD07739 | A. JAMEELA</t>
  </si>
  <si>
    <t>WS28</t>
  </si>
  <si>
    <t>G28</t>
  </si>
  <si>
    <t>OP-0040</t>
  </si>
  <si>
    <t>Pasting on cc pkt</t>
  </si>
  <si>
    <t>OP-0040 | Pasting on cc pkt</t>
  </si>
  <si>
    <t>LPD10049</t>
  </si>
  <si>
    <t>A. JAYANTHI</t>
  </si>
  <si>
    <t>LPD10049 | A. JAYANTHI</t>
  </si>
  <si>
    <t>WS29</t>
  </si>
  <si>
    <t>G29</t>
  </si>
  <si>
    <t>OP-0041</t>
  </si>
  <si>
    <t>Attaching step patti (1Nos)</t>
  </si>
  <si>
    <t>OP-0041 | Attaching step patti (1Nos)</t>
  </si>
  <si>
    <t>LPD11507</t>
  </si>
  <si>
    <t>A. KADHAR</t>
  </si>
  <si>
    <t>LPD11507 | A. KADHAR</t>
  </si>
  <si>
    <t>WS30</t>
  </si>
  <si>
    <t>G30</t>
  </si>
  <si>
    <t>OP-0042</t>
  </si>
  <si>
    <t>Pasting on window</t>
  </si>
  <si>
    <t>OP-0042 | Pasting on window</t>
  </si>
  <si>
    <t>LPD10996</t>
  </si>
  <si>
    <t>A. KALEEL AHMED</t>
  </si>
  <si>
    <t>LPD10996 | A. KALEEL AHMED</t>
  </si>
  <si>
    <t>WS31</t>
  </si>
  <si>
    <t>G31</t>
  </si>
  <si>
    <t>OP-0043</t>
  </si>
  <si>
    <t>Attaching window with cc pkt</t>
  </si>
  <si>
    <t>OP-0043 | Attaching window with cc pkt</t>
  </si>
  <si>
    <t>LPD05076</t>
  </si>
  <si>
    <t>A. KAVITHA</t>
  </si>
  <si>
    <t>LPD05076 | A. KAVITHA</t>
  </si>
  <si>
    <t>WS32</t>
  </si>
  <si>
    <t>G32</t>
  </si>
  <si>
    <t>OP-0044</t>
  </si>
  <si>
    <t>Stitching the window side</t>
  </si>
  <si>
    <t>OP-0044 | Stitching the window side</t>
  </si>
  <si>
    <t>LPD11272</t>
  </si>
  <si>
    <t>A. MOHAMMED IRFAN</t>
  </si>
  <si>
    <t>LPD11272 | A. MOHAMMED IRFAN</t>
  </si>
  <si>
    <t>WS33</t>
  </si>
  <si>
    <t>G33</t>
  </si>
  <si>
    <t>OP-0045</t>
  </si>
  <si>
    <t>Stitching the cc pkt on Sides</t>
  </si>
  <si>
    <t>OP-0045 | Stitching the cc pkt on Sides</t>
  </si>
  <si>
    <t>LPD10088</t>
  </si>
  <si>
    <t>A. MOHAMMED KHALID</t>
  </si>
  <si>
    <t>LPD10088 | A. MOHAMMED KHALID</t>
  </si>
  <si>
    <t>WS34</t>
  </si>
  <si>
    <t>G34</t>
  </si>
  <si>
    <t>OP-0046</t>
  </si>
  <si>
    <t>Stitching cc pkt lining side ( half stitch)</t>
  </si>
  <si>
    <t>OP-0046 | Stitching cc pkt lining side ( half stitch)</t>
  </si>
  <si>
    <t>LPD11562</t>
  </si>
  <si>
    <t>A. MUBARAK KHAN</t>
  </si>
  <si>
    <t>LPD11562 | A. MUBARAK KHAN</t>
  </si>
  <si>
    <t>WS35</t>
  </si>
  <si>
    <t>G35</t>
  </si>
  <si>
    <t>OP-0047</t>
  </si>
  <si>
    <t>Thread pulling at both sides</t>
  </si>
  <si>
    <t>OP-0047 | Thread pulling at both sides</t>
  </si>
  <si>
    <t>LPD11453</t>
  </si>
  <si>
    <t>A. MUNNI</t>
  </si>
  <si>
    <t>LPD11453 | A. MUNNI</t>
  </si>
  <si>
    <t>WS36</t>
  </si>
  <si>
    <t>G36</t>
  </si>
  <si>
    <t>OP-0048</t>
  </si>
  <si>
    <t>Stitching window with pkt</t>
  </si>
  <si>
    <t>OP-0048 | Stitching window with pkt</t>
  </si>
  <si>
    <t>LPD09416</t>
  </si>
  <si>
    <t>A. MUSTAK</t>
  </si>
  <si>
    <t>LPD09416 | A. MUSTAK</t>
  </si>
  <si>
    <t>WS37</t>
  </si>
  <si>
    <t>G37</t>
  </si>
  <si>
    <t>OP-0049</t>
  </si>
  <si>
    <t>CC Pkt side stitching ( 2nd half stitch)</t>
  </si>
  <si>
    <t>OP-0049 | CC Pkt side stitching ( 2nd half stitch)</t>
  </si>
  <si>
    <t>LPD08894</t>
  </si>
  <si>
    <t>A. NASINI</t>
  </si>
  <si>
    <t>LPD08894 | A. NASINI</t>
  </si>
  <si>
    <t>WS38</t>
  </si>
  <si>
    <t>G38</t>
  </si>
  <si>
    <t>OP-0050</t>
  </si>
  <si>
    <t>Decorative Stitching of Anchor Bit</t>
  </si>
  <si>
    <t>OP-0050 | Decorative Stitching of Anchor Bit</t>
  </si>
  <si>
    <t>LPD06277</t>
  </si>
  <si>
    <t>A. NASRUNNISA</t>
  </si>
  <si>
    <t>LPD06277 | A. NASRUNNISA</t>
  </si>
  <si>
    <t>WS39</t>
  </si>
  <si>
    <t>G39</t>
  </si>
  <si>
    <t>OP-0051</t>
  </si>
  <si>
    <t>Pasting top leather &amp; facing leather</t>
  </si>
  <si>
    <t>OP-0051 | Pasting top leather &amp; facing leather</t>
  </si>
  <si>
    <t>LPD10036</t>
  </si>
  <si>
    <t>A. NATEERA</t>
  </si>
  <si>
    <t>LPD10036 | A. NATEERA</t>
  </si>
  <si>
    <t>WS40</t>
  </si>
  <si>
    <t>G40</t>
  </si>
  <si>
    <t>OP-0052</t>
  </si>
  <si>
    <t>Attaching top &amp; facing leather</t>
  </si>
  <si>
    <t>OP-0052 | Attaching top &amp; facing leather</t>
  </si>
  <si>
    <t>LPD03353</t>
  </si>
  <si>
    <t>A. RAFI</t>
  </si>
  <si>
    <t>LPD03353 | A. RAFI</t>
  </si>
  <si>
    <t>WS41</t>
  </si>
  <si>
    <t>G41</t>
  </si>
  <si>
    <t>OP-0053</t>
  </si>
  <si>
    <t>Lamping</t>
  </si>
  <si>
    <t>OP-0053 | Lamping</t>
  </si>
  <si>
    <t>LPD10745</t>
  </si>
  <si>
    <t>A. RAHMATHULLAH</t>
  </si>
  <si>
    <t>LPD10745 | A. RAHMATHULLAH</t>
  </si>
  <si>
    <t>WS42</t>
  </si>
  <si>
    <t>G42</t>
  </si>
  <si>
    <t>OP-0054</t>
  </si>
  <si>
    <t>Lamping of anchor tab bit</t>
  </si>
  <si>
    <t>OP-0054 | Lamping of anchor tab bit</t>
  </si>
  <si>
    <t>LPD07294</t>
  </si>
  <si>
    <t>A. RAMEZA</t>
  </si>
  <si>
    <t>LPD07294 | A. RAMEZA</t>
  </si>
  <si>
    <t>WS43</t>
  </si>
  <si>
    <t>G43</t>
  </si>
  <si>
    <t>OP-0055</t>
  </si>
  <si>
    <t>Pressing</t>
  </si>
  <si>
    <t>OP-0055 | Pressing</t>
  </si>
  <si>
    <t>LPD11737</t>
  </si>
  <si>
    <t>A. RANJITHA</t>
  </si>
  <si>
    <t>LPD11737 | A. RANJITHA</t>
  </si>
  <si>
    <t>WS44</t>
  </si>
  <si>
    <t>G44</t>
  </si>
  <si>
    <t>OP-0056</t>
  </si>
  <si>
    <t>Primer</t>
  </si>
  <si>
    <t>OP-0056 | Primer</t>
  </si>
  <si>
    <t>LPD04923</t>
  </si>
  <si>
    <t>A. ROOPA</t>
  </si>
  <si>
    <t>LPD04923 | A. ROOPA</t>
  </si>
  <si>
    <t>WS45</t>
  </si>
  <si>
    <t>G45</t>
  </si>
  <si>
    <t>OP-0057</t>
  </si>
  <si>
    <t>Edge Inking</t>
  </si>
  <si>
    <t>OP-0057 | Edge Inking</t>
  </si>
  <si>
    <t>LPD10418</t>
  </si>
  <si>
    <t>A. SADAM</t>
  </si>
  <si>
    <t>LPD10418 | A. SADAM</t>
  </si>
  <si>
    <t>WS46</t>
  </si>
  <si>
    <t>G46</t>
  </si>
  <si>
    <t>OP-0058</t>
  </si>
  <si>
    <t>Primer 1</t>
  </si>
  <si>
    <t>OP-0058 | Primer 1</t>
  </si>
  <si>
    <t>LPD00601</t>
  </si>
  <si>
    <t>A. SADIKHA</t>
  </si>
  <si>
    <t>LPD00601 | A. SADIKHA</t>
  </si>
  <si>
    <t>WS47</t>
  </si>
  <si>
    <t>G47</t>
  </si>
  <si>
    <t>OP-0059</t>
  </si>
  <si>
    <t>Primer 2</t>
  </si>
  <si>
    <t>OP-0059 | Primer 2</t>
  </si>
  <si>
    <t>LPD11480</t>
  </si>
  <si>
    <t>A. SADIQUA SULTANA</t>
  </si>
  <si>
    <t>LPD11480 | A. SADIQUA SULTANA</t>
  </si>
  <si>
    <t>WS48</t>
  </si>
  <si>
    <t>G48</t>
  </si>
  <si>
    <t>OP-0060</t>
  </si>
  <si>
    <t>Primer 3</t>
  </si>
  <si>
    <t>OP-0060 | Primer 3</t>
  </si>
  <si>
    <t>LPD10937</t>
  </si>
  <si>
    <t>A. SAJEETHA BANU</t>
  </si>
  <si>
    <t>LPD10937 | A. SAJEETHA BANU</t>
  </si>
  <si>
    <t>WS49</t>
  </si>
  <si>
    <t>G49</t>
  </si>
  <si>
    <t>OP-0061</t>
  </si>
  <si>
    <t>Buffing</t>
  </si>
  <si>
    <t>OP-0061 | Buffing</t>
  </si>
  <si>
    <t>LPD08019</t>
  </si>
  <si>
    <t>A. SALEEM BASHA</t>
  </si>
  <si>
    <t>LPD08019 | A. SALEEM BASHA</t>
  </si>
  <si>
    <t>WS50</t>
  </si>
  <si>
    <t>G50</t>
  </si>
  <si>
    <t>OP-0062</t>
  </si>
  <si>
    <t>Recutting facing Leather (1:5)</t>
  </si>
  <si>
    <t>OP-0062 | Recutting facing Leather (1:5)</t>
  </si>
  <si>
    <t>LPD07027</t>
  </si>
  <si>
    <t>A. SAMIULLAH</t>
  </si>
  <si>
    <t>LPD07027 | A. SAMIULLAH</t>
  </si>
  <si>
    <t>WS51</t>
  </si>
  <si>
    <t>OP-0063</t>
  </si>
  <si>
    <t>Recutting Top Leather (1:5)</t>
  </si>
  <si>
    <t>OP-0063 | Recutting Top Leather (1:5)</t>
  </si>
  <si>
    <t>LPD07993</t>
  </si>
  <si>
    <t>A. SHABEENA</t>
  </si>
  <si>
    <t>LPD07993 | A. SHABEENA</t>
  </si>
  <si>
    <t>WS52</t>
  </si>
  <si>
    <t>OP-0064</t>
  </si>
  <si>
    <t>Recutting Top</t>
  </si>
  <si>
    <t>OP-0064 | Recutting Top</t>
  </si>
  <si>
    <t>LPD09931</t>
  </si>
  <si>
    <t>A. SHAHUL HAMEED</t>
  </si>
  <si>
    <t>LPD09931 | A. SHAHUL HAMEED</t>
  </si>
  <si>
    <t>WS53</t>
  </si>
  <si>
    <t>OP-0065</t>
  </si>
  <si>
    <t>Recutting zip collar PU</t>
  </si>
  <si>
    <t>OP-0065 | Recutting zip collar PU</t>
  </si>
  <si>
    <t>LPD07673</t>
  </si>
  <si>
    <t>A. SHAKILA</t>
  </si>
  <si>
    <t>LPD07673 | A. SHAKILA</t>
  </si>
  <si>
    <t>WS54</t>
  </si>
  <si>
    <t>OP-0066</t>
  </si>
  <si>
    <t>Foil Embossing on cc pkt</t>
  </si>
  <si>
    <t>OP-0066 | Foil Embossing on cc pkt</t>
  </si>
  <si>
    <t>LPD09740</t>
  </si>
  <si>
    <t>A. SHAMSHAD</t>
  </si>
  <si>
    <t>LPD09740 | A. SHAMSHAD</t>
  </si>
  <si>
    <t>WS55</t>
  </si>
  <si>
    <t>OP-0067</t>
  </si>
  <si>
    <t>inserting &amp; Pressing snap male button  (1-Nos)</t>
  </si>
  <si>
    <t>OP-0067 | inserting &amp; Pressing snap male button  (1-Nos)</t>
  </si>
  <si>
    <t>LPD10936</t>
  </si>
  <si>
    <t>A. SHAMSHATH BI</t>
  </si>
  <si>
    <t>LPD10936 | A. SHAMSHATH BI</t>
  </si>
  <si>
    <t>WS56</t>
  </si>
  <si>
    <t>OP-0068</t>
  </si>
  <si>
    <t>Revitting Female button on Top</t>
  </si>
  <si>
    <t>OP-0068 | Revitting Female button on Top</t>
  </si>
  <si>
    <t>LPD11215</t>
  </si>
  <si>
    <t>A. SHYAMALA</t>
  </si>
  <si>
    <t>LPD11215 | A. SHYAMALA</t>
  </si>
  <si>
    <t>WS57</t>
  </si>
  <si>
    <t>OP-0069</t>
  </si>
  <si>
    <t>Grinding  Logo on Top</t>
  </si>
  <si>
    <t>OP-0069 | Grinding  Logo on Top</t>
  </si>
  <si>
    <t>LPD05396</t>
  </si>
  <si>
    <t>A. SIVA SAKTHI</t>
  </si>
  <si>
    <t>LPD05396 | A. SIVA SAKTHI</t>
  </si>
  <si>
    <t>WS58</t>
  </si>
  <si>
    <t>OP-0070</t>
  </si>
  <si>
    <t>Pressing logo on Top</t>
  </si>
  <si>
    <t>OP-0070 | Pressing logo on Top</t>
  </si>
  <si>
    <t>LPD10040</t>
  </si>
  <si>
    <t>A. SUBEDHA</t>
  </si>
  <si>
    <t>LPD10040 | A. SUBEDHA</t>
  </si>
  <si>
    <t>WS59</t>
  </si>
  <si>
    <t>OP-0071</t>
  </si>
  <si>
    <t>Attaching Self adhesive logo cover kimlon</t>
  </si>
  <si>
    <t>OP-0071 | Attaching Self adhesive logo cover kimlon</t>
  </si>
  <si>
    <t>LPD11513</t>
  </si>
  <si>
    <t>A. SUHAIL AHMED</t>
  </si>
  <si>
    <t>LPD11513 | A. SUHAIL AHMED</t>
  </si>
  <si>
    <t>WS60</t>
  </si>
  <si>
    <t>OP-0072</t>
  </si>
  <si>
    <t>Pasting on top</t>
  </si>
  <si>
    <t>OP-0072 | Pasting on top</t>
  </si>
  <si>
    <t>LPD07362</t>
  </si>
  <si>
    <t>A. SUNDHARI</t>
  </si>
  <si>
    <t>LPD07362 | A. SUNDHARI</t>
  </si>
  <si>
    <t>WS61</t>
  </si>
  <si>
    <t>OP-0073</t>
  </si>
  <si>
    <t>Pasting on nonwoven(L/R)</t>
  </si>
  <si>
    <t>OP-0073 | Pasting on nonwoven(L/R)</t>
  </si>
  <si>
    <t>LPD05724</t>
  </si>
  <si>
    <t>A. VIJAYALAKSHMI</t>
  </si>
  <si>
    <t>LPD05724 | A. VIJAYALAKSHMI</t>
  </si>
  <si>
    <t>WS62</t>
  </si>
  <si>
    <t>OP-0074</t>
  </si>
  <si>
    <t>Pasting &amp; Attaching mica (2) over top</t>
  </si>
  <si>
    <t>OP-0074 | Pasting &amp; Attaching mica (2) over top</t>
  </si>
  <si>
    <t>LPD07910</t>
  </si>
  <si>
    <t>A. WAHIDA BANU</t>
  </si>
  <si>
    <t>LPD07910 | A. WAHIDA BANU</t>
  </si>
  <si>
    <t>WS63</t>
  </si>
  <si>
    <t>OP-0075</t>
  </si>
  <si>
    <t>Pasting on top &amp; kimlon</t>
  </si>
  <si>
    <t>OP-0075 | Pasting on top &amp; kimlon</t>
  </si>
  <si>
    <t>LPD09996</t>
  </si>
  <si>
    <t>A. YASEEN BEE</t>
  </si>
  <si>
    <t>LPD09996 | A. YASEEN BEE</t>
  </si>
  <si>
    <t>WS64</t>
  </si>
  <si>
    <t>OP-0076</t>
  </si>
  <si>
    <t>Pasting on Top  &amp; center nonwoven(1)</t>
  </si>
  <si>
    <t>OP-0076 | Pasting on Top  &amp; center nonwoven(1)</t>
  </si>
  <si>
    <t>LPD11747</t>
  </si>
  <si>
    <t>A. YOUSUF KHAN</t>
  </si>
  <si>
    <t>LPD11747 | A. YOUSUF KHAN</t>
  </si>
  <si>
    <t>WS65</t>
  </si>
  <si>
    <t>OP-0077</t>
  </si>
  <si>
    <t>Pasting on Top &amp; moon bit</t>
  </si>
  <si>
    <t>OP-0077 | Pasting on Top &amp; moon bit</t>
  </si>
  <si>
    <t>LPD09047</t>
  </si>
  <si>
    <t>A. YUSUF</t>
  </si>
  <si>
    <t>LPD09047 | A. YUSUF</t>
  </si>
  <si>
    <t>WS66</t>
  </si>
  <si>
    <t>OP-0078</t>
  </si>
  <si>
    <t>Attaching kimlon over top</t>
  </si>
  <si>
    <t>OP-0078 | Attaching kimlon over top</t>
  </si>
  <si>
    <t>LPD10751</t>
  </si>
  <si>
    <t>A. ZAKEER</t>
  </si>
  <si>
    <t>LPD10751 | A. ZAKEER</t>
  </si>
  <si>
    <t>WS67</t>
  </si>
  <si>
    <t>OP-0079</t>
  </si>
  <si>
    <t>Attaching nonwoven with top</t>
  </si>
  <si>
    <t>OP-0079 | Attaching nonwoven with top</t>
  </si>
  <si>
    <t>LPD08626</t>
  </si>
  <si>
    <t>A.M. MUNEERA BEGAM</t>
  </si>
  <si>
    <t>LPD08626 | A.M. MUNEERA BEGAM</t>
  </si>
  <si>
    <t>WS68</t>
  </si>
  <si>
    <t>OP-0080</t>
  </si>
  <si>
    <t>Attaching center nonwoven with top</t>
  </si>
  <si>
    <t>OP-0080 | Attaching center nonwoven with top</t>
  </si>
  <si>
    <t>LPD08897</t>
  </si>
  <si>
    <t>A.M. SABIYA KOWSAR</t>
  </si>
  <si>
    <t>LPD08897 | A.M. SABIYA KOWSAR</t>
  </si>
  <si>
    <t>WS69</t>
  </si>
  <si>
    <t>OP-0081</t>
  </si>
  <si>
    <t>Attaching moon bit</t>
  </si>
  <si>
    <t>OP-0081 | Attaching moon bit</t>
  </si>
  <si>
    <t>LPD10530</t>
  </si>
  <si>
    <t>ABAD UDDIN</t>
  </si>
  <si>
    <t>LPD10530 | ABAD UDDIN</t>
  </si>
  <si>
    <t>WS70</t>
  </si>
  <si>
    <t>OP-0082</t>
  </si>
  <si>
    <t>Stitching center stay</t>
  </si>
  <si>
    <t>OP-0082 | Stitching center stay</t>
  </si>
  <si>
    <t>LPD11956</t>
  </si>
  <si>
    <t>ABDUL H HASLIM</t>
  </si>
  <si>
    <t>LPD11956 | ABDUL H HASLIM</t>
  </si>
  <si>
    <t>WS71</t>
  </si>
  <si>
    <t>OP-0083</t>
  </si>
  <si>
    <t>Stitching  left &amp; right gusset on Top Sides</t>
  </si>
  <si>
    <t>OP-0083 | Stitching  left &amp; right gusset on Top Sides</t>
  </si>
  <si>
    <t>LPD12100</t>
  </si>
  <si>
    <t>ABDUL HASIM</t>
  </si>
  <si>
    <t>LPD12100 | ABDUL HASIM</t>
  </si>
  <si>
    <t>WS72</t>
  </si>
  <si>
    <t>OP-0084</t>
  </si>
  <si>
    <t>Stitching  left  gusset  pu &amp; lining on bottom Sides</t>
  </si>
  <si>
    <t>OP-0084 | Stitching  left  gusset  pu &amp; lining on bottom Sides</t>
  </si>
  <si>
    <t>LPD11166</t>
  </si>
  <si>
    <t>ABDUL KATHIR</t>
  </si>
  <si>
    <t>LPD11166 | ABDUL KATHIR</t>
  </si>
  <si>
    <t>WS73</t>
  </si>
  <si>
    <t>OP-0085</t>
  </si>
  <si>
    <t>Stitching zipper with lining</t>
  </si>
  <si>
    <t>OP-0085 | Stitching zipper with lining</t>
  </si>
  <si>
    <t>LPDS94773</t>
  </si>
  <si>
    <t>ABDUL LATHIP</t>
  </si>
  <si>
    <t>LPDS94773 | ABDUL LATHIP</t>
  </si>
  <si>
    <t>WS74</t>
  </si>
  <si>
    <t>OP-0086</t>
  </si>
  <si>
    <t>Top moon bit stitching</t>
  </si>
  <si>
    <t>OP-0086 | Top moon bit stitching</t>
  </si>
  <si>
    <t>LPD12010</t>
  </si>
  <si>
    <t>ABDUL OHID</t>
  </si>
  <si>
    <t>LPD12010 | ABDUL OHID</t>
  </si>
  <si>
    <t>WS75</t>
  </si>
  <si>
    <t>OP-0087</t>
  </si>
  <si>
    <t>Stitching top side of cc pkt   &amp;  bottom centerstay</t>
  </si>
  <si>
    <t>OP-0087 | Stitching top side of cc pkt   &amp;  bottom centerstay</t>
  </si>
  <si>
    <t>LPDS95751</t>
  </si>
  <si>
    <t>ABDUL RAHAMANA A</t>
  </si>
  <si>
    <t>LPDS95751 | ABDUL RAHAMANA A</t>
  </si>
  <si>
    <t>WS76</t>
  </si>
  <si>
    <t>OP-0088</t>
  </si>
  <si>
    <t>Stitching shell pkt left side</t>
  </si>
  <si>
    <t>OP-0088 | Stitching shell pkt left side</t>
  </si>
  <si>
    <t>LPDS95442</t>
  </si>
  <si>
    <t>ABDUL WAJITH A</t>
  </si>
  <si>
    <t>LPDS95442 | ABDUL WAJITH A</t>
  </si>
  <si>
    <t>WS77</t>
  </si>
  <si>
    <t>OP-0089</t>
  </si>
  <si>
    <t>Direct stitching zip collar  &amp; tab bit in AMS</t>
  </si>
  <si>
    <t>OP-0089 | Direct stitching zip collar  &amp; tab bit in AMS</t>
  </si>
  <si>
    <t>LPD12262</t>
  </si>
  <si>
    <t>ABDUR RAHIM LASKAR</t>
  </si>
  <si>
    <t>LPD12262 | ABDUR RAHIM LASKAR</t>
  </si>
  <si>
    <t>WS78</t>
  </si>
  <si>
    <t>OP-0090</t>
  </si>
  <si>
    <t>Pasting on lining &amp; kimlon</t>
  </si>
  <si>
    <t>OP-0090 | Pasting on lining &amp; kimlon</t>
  </si>
  <si>
    <t>LPD10864</t>
  </si>
  <si>
    <t>ABUL BASAR MOLLA</t>
  </si>
  <si>
    <t>LPD10864 | ABUL BASAR MOLLA</t>
  </si>
  <si>
    <t>WS79</t>
  </si>
  <si>
    <t>OP-0091</t>
  </si>
  <si>
    <t>Attaching lining with kimlon</t>
  </si>
  <si>
    <t>OP-0091 | Attaching lining with kimlon</t>
  </si>
  <si>
    <t>LPD11996</t>
  </si>
  <si>
    <t>ABUL HASSAIN</t>
  </si>
  <si>
    <t>LPD11996 | ABUL HASSAIN</t>
  </si>
  <si>
    <t>WS80</t>
  </si>
  <si>
    <t>OP-0092</t>
  </si>
  <si>
    <t>Lining folding &amp; cornering</t>
  </si>
  <si>
    <t>OP-0092 | Lining folding &amp; cornering</t>
  </si>
  <si>
    <t>LPD12076</t>
  </si>
  <si>
    <t>AHMADULLA ALI</t>
  </si>
  <si>
    <t>LPD12076 | AHMADULLA ALI</t>
  </si>
  <si>
    <t>WS81</t>
  </si>
  <si>
    <t>OP-0093</t>
  </si>
  <si>
    <t>Pasting on Left  Gusset 2 Side</t>
  </si>
  <si>
    <t>OP-0093 | Pasting on Left  Gusset 2 Side</t>
  </si>
  <si>
    <t>LPD12279</t>
  </si>
  <si>
    <t>AJIJUL MOLLA</t>
  </si>
  <si>
    <t>LPD12279 | AJIJUL MOLLA</t>
  </si>
  <si>
    <t>WS82</t>
  </si>
  <si>
    <t>OP-0094</t>
  </si>
  <si>
    <t>Pasting over Zip Lining</t>
  </si>
  <si>
    <t>OP-0094 | Pasting over Zip Lining</t>
  </si>
  <si>
    <t>LPDS95023</t>
  </si>
  <si>
    <t>AKBAR A</t>
  </si>
  <si>
    <t>LPDS95023 | AKBAR A</t>
  </si>
  <si>
    <t>WS83</t>
  </si>
  <si>
    <t>OP-0095</t>
  </si>
  <si>
    <t>Attaching Left Gusset 2 Side  With zipper Lining</t>
  </si>
  <si>
    <t>OP-0095 | Attaching Left Gusset 2 Side  With zipper Lining</t>
  </si>
  <si>
    <t>LPD09926</t>
  </si>
  <si>
    <t>AKBAR NIZAMUDDIN</t>
  </si>
  <si>
    <t>LPD09926 | AKBAR NIZAMUDDIN</t>
  </si>
  <si>
    <t>WS84</t>
  </si>
  <si>
    <t>OP-0096</t>
  </si>
  <si>
    <t>Pasting on zip collar</t>
  </si>
  <si>
    <t>OP-0096 | Pasting on zip collar</t>
  </si>
  <si>
    <t>LPDS94717</t>
  </si>
  <si>
    <t>AKMAL A</t>
  </si>
  <si>
    <t>LPDS94717 | AKMAL A</t>
  </si>
  <si>
    <t>WS85</t>
  </si>
  <si>
    <t>OP-0097</t>
  </si>
  <si>
    <t>Pasting on shell</t>
  </si>
  <si>
    <t>OP-0097 | Pasting on shell</t>
  </si>
  <si>
    <t>LPD12177</t>
  </si>
  <si>
    <t>AKRABUL LASKAR</t>
  </si>
  <si>
    <t>LPD12177 | AKRABUL LASKAR</t>
  </si>
  <si>
    <t>WS86</t>
  </si>
  <si>
    <t>OP-0098</t>
  </si>
  <si>
    <t>Attaching Shell &amp;  zip collar</t>
  </si>
  <si>
    <t>OP-0098 | Attaching Shell &amp;  zip collar</t>
  </si>
  <si>
    <t>LPD09146</t>
  </si>
  <si>
    <t>ALAMELU</t>
  </si>
  <si>
    <t>LPD09146 | ALAMELU</t>
  </si>
  <si>
    <t>WS87</t>
  </si>
  <si>
    <t>OP-0099</t>
  </si>
  <si>
    <t>Pasting on Right  Gusset 2- Side</t>
  </si>
  <si>
    <t>OP-0099 | Pasting on Right  Gusset 2- Side</t>
  </si>
  <si>
    <t>LPD12080</t>
  </si>
  <si>
    <t>ALI AJGAR MOLLA</t>
  </si>
  <si>
    <t>LPD12080 | ALI AJGAR MOLLA</t>
  </si>
  <si>
    <t>WS88</t>
  </si>
  <si>
    <t>OP-0100</t>
  </si>
  <si>
    <t>Pasting over  shell</t>
  </si>
  <si>
    <t>OP-0100 | Pasting over  shell</t>
  </si>
  <si>
    <t>LPD11823</t>
  </si>
  <si>
    <t>ALI AKBAR MOLYA</t>
  </si>
  <si>
    <t>LPD11823 | ALI AKBAR MOLYA</t>
  </si>
  <si>
    <t>WS89</t>
  </si>
  <si>
    <t>OP-0101</t>
  </si>
  <si>
    <t>Attaching  Right  Gusset 2-Side  With shell</t>
  </si>
  <si>
    <t>OP-0101 | Attaching  Right  Gusset 2-Side  With shell</t>
  </si>
  <si>
    <t>LPD12250</t>
  </si>
  <si>
    <t>ALINUR MOLLA</t>
  </si>
  <si>
    <t>LPD12250 | ALINUR MOLLA</t>
  </si>
  <si>
    <t>WS90</t>
  </si>
  <si>
    <t>OP-0102</t>
  </si>
  <si>
    <t>Pasting on zipper collar support kimlon bit  &amp;  zip collar back</t>
  </si>
  <si>
    <t>OP-0102 | Pasting on zipper collar support kimlon bit  &amp;  zip collar back</t>
  </si>
  <si>
    <t>LPDS95019</t>
  </si>
  <si>
    <t>AMEERUNNISA SAMIULLA</t>
  </si>
  <si>
    <t>LPDS95019 | AMEERUNNISA SAMIULLA</t>
  </si>
  <si>
    <t>WS91</t>
  </si>
  <si>
    <t>OP-0103</t>
  </si>
  <si>
    <t>Attaching zipper collar support kimlon bit over zip collar back</t>
  </si>
  <si>
    <t>OP-0103 | Attaching zipper collar support kimlon bit over zip collar back</t>
  </si>
  <si>
    <t>LPD12187</t>
  </si>
  <si>
    <t>AMIRUL AHMED</t>
  </si>
  <si>
    <t>LPD12187 | AMIRUL AHMED</t>
  </si>
  <si>
    <t>WS92</t>
  </si>
  <si>
    <t>OP-0104</t>
  </si>
  <si>
    <t>Pasting on kimlon (2nos)</t>
  </si>
  <si>
    <t>OP-0104 | Pasting on kimlon (2nos)</t>
  </si>
  <si>
    <t>LPD09152</t>
  </si>
  <si>
    <t>AMMU</t>
  </si>
  <si>
    <t>LPD09152 | AMMU</t>
  </si>
  <si>
    <t>WS93</t>
  </si>
  <si>
    <t>OP-0105</t>
  </si>
  <si>
    <t>Pasting over Cc pkt lining</t>
  </si>
  <si>
    <t>OP-0105 | Pasting over Cc pkt lining</t>
  </si>
  <si>
    <t>LPD11698</t>
  </si>
  <si>
    <t>LPD11698 | AMMU</t>
  </si>
  <si>
    <t>WS94</t>
  </si>
  <si>
    <t>OP-0106</t>
  </si>
  <si>
    <t>Attaching kimlon over cc pkt lining</t>
  </si>
  <si>
    <t>OP-0106 | Attaching kimlon over cc pkt lining</t>
  </si>
  <si>
    <t>LPD10099</t>
  </si>
  <si>
    <t>LPD10099 | AMMU</t>
  </si>
  <si>
    <t>WS95</t>
  </si>
  <si>
    <t>OP-0107</t>
  </si>
  <si>
    <t>Pasting over Cc pkt</t>
  </si>
  <si>
    <t>OP-0107 | Pasting over Cc pkt</t>
  </si>
  <si>
    <t>LPDS95254</t>
  </si>
  <si>
    <t>AMREEN S</t>
  </si>
  <si>
    <t>LPDS95254 | AMREEN S</t>
  </si>
  <si>
    <t>WS96</t>
  </si>
  <si>
    <t>OP-0108</t>
  </si>
  <si>
    <t>Pasting over Center stay</t>
  </si>
  <si>
    <t>OP-0108 | Pasting over Center stay</t>
  </si>
  <si>
    <t>LPD07998</t>
  </si>
  <si>
    <t>AMUDHA</t>
  </si>
  <si>
    <t>LPD07998 | AMUDHA</t>
  </si>
  <si>
    <t>WS97</t>
  </si>
  <si>
    <t>OP-0109</t>
  </si>
  <si>
    <t>Attaching center stay over cc pkt</t>
  </si>
  <si>
    <t>OP-0109 | Attaching center stay over cc pkt</t>
  </si>
  <si>
    <t>LPDS95477</t>
  </si>
  <si>
    <t>AMUL R MURALI K</t>
  </si>
  <si>
    <t>LPDS95477 | AMUL R MURALI K</t>
  </si>
  <si>
    <t>WS98</t>
  </si>
  <si>
    <t>OP-0110</t>
  </si>
  <si>
    <t>Pasting over window pkt</t>
  </si>
  <si>
    <t>OP-0110 | Pasting over window pkt</t>
  </si>
  <si>
    <t>LPDS95796</t>
  </si>
  <si>
    <t>AMUTHA</t>
  </si>
  <si>
    <t>LPDS95796 | AMUTHA</t>
  </si>
  <si>
    <t>WS99</t>
  </si>
  <si>
    <t>OP-0111</t>
  </si>
  <si>
    <t>Attaching center stay over window pkt</t>
  </si>
  <si>
    <t>OP-0111 | Attaching center stay over window pkt</t>
  </si>
  <si>
    <t>LPD07312</t>
  </si>
  <si>
    <t>LPD07312 | AMUTHA</t>
  </si>
  <si>
    <t>WS100</t>
  </si>
  <si>
    <t>OP-0112</t>
  </si>
  <si>
    <t>Pasting over shell</t>
  </si>
  <si>
    <t>OP-0112 | Pasting over shell</t>
  </si>
  <si>
    <t>LPD11755</t>
  </si>
  <si>
    <t>ANGEL ROSELIN</t>
  </si>
  <si>
    <t>LPD11755 | ANGEL ROSELIN</t>
  </si>
  <si>
    <t>OP-0113</t>
  </si>
  <si>
    <t>Pasting over Center stay pkt</t>
  </si>
  <si>
    <t>OP-0113 | Pasting over Center stay pkt</t>
  </si>
  <si>
    <t>LPD08664</t>
  </si>
  <si>
    <t>ANITHA</t>
  </si>
  <si>
    <t>LPD08664 | ANITHA</t>
  </si>
  <si>
    <t>OP-0114</t>
  </si>
  <si>
    <t>Attaching center pkt with shell</t>
  </si>
  <si>
    <t>OP-0114 | Attaching center pkt with shell</t>
  </si>
  <si>
    <t>LPDS95480</t>
  </si>
  <si>
    <t>ANITHA SASIKUMAR</t>
  </si>
  <si>
    <t>LPDS95480 | ANITHA SASIKUMAR</t>
  </si>
  <si>
    <t>OP-0115</t>
  </si>
  <si>
    <t>Pasting over Center stay lining</t>
  </si>
  <si>
    <t>OP-0115 | Pasting over Center stay lining</t>
  </si>
  <si>
    <t>LPD10617</t>
  </si>
  <si>
    <t>ANJALI</t>
  </si>
  <si>
    <t>LPD10617 | ANJALI</t>
  </si>
  <si>
    <t>OP-0116</t>
  </si>
  <si>
    <t>Attaching with closing center stay lining  with shell closing</t>
  </si>
  <si>
    <t>OP-0116 | Attaching with closing center stay lining  with shell closing</t>
  </si>
  <si>
    <t>LPDS94796</t>
  </si>
  <si>
    <t>ANJUGAM S</t>
  </si>
  <si>
    <t>LPDS94796 | ANJUGAM S</t>
  </si>
  <si>
    <t>OP-0117</t>
  </si>
  <si>
    <t>Stitching L&amp;R Shell &amp; zip collar</t>
  </si>
  <si>
    <t>OP-0117 | Stitching L&amp;R Shell &amp; zip collar</t>
  </si>
  <si>
    <t>LPD10566</t>
  </si>
  <si>
    <t>ANOWAR HUSSIAN</t>
  </si>
  <si>
    <t>LPD10566 | ANOWAR HUSSIAN</t>
  </si>
  <si>
    <t>OP-0118</t>
  </si>
  <si>
    <t>Stitching center stay over cc pkt</t>
  </si>
  <si>
    <t>OP-0118 | Stitching center stay over cc pkt</t>
  </si>
  <si>
    <t>LPD12199</t>
  </si>
  <si>
    <t>ANUSUYA</t>
  </si>
  <si>
    <t>LPD12199 | ANUSUYA</t>
  </si>
  <si>
    <t>OP-0119</t>
  </si>
  <si>
    <t>Pasting over backwall lining</t>
  </si>
  <si>
    <t>OP-0119 | Pasting over backwall lining</t>
  </si>
  <si>
    <t>LPD11479</t>
  </si>
  <si>
    <t>ARAVALLI</t>
  </si>
  <si>
    <t>LPD11479 | ARAVALLI</t>
  </si>
  <si>
    <t>OP-0120</t>
  </si>
  <si>
    <t>Attaching  centerstay /window pkt over backwall lining</t>
  </si>
  <si>
    <t>OP-0120 | Attaching  centerstay /window pkt over backwall lining</t>
  </si>
  <si>
    <t>LPD12068</t>
  </si>
  <si>
    <t>ASADUL GAIN</t>
  </si>
  <si>
    <t>LPD12068 | ASADUL GAIN</t>
  </si>
  <si>
    <t>OP-0121</t>
  </si>
  <si>
    <t>Pasting over  Right shell</t>
  </si>
  <si>
    <t>OP-0121 | Pasting over  Right shell</t>
  </si>
  <si>
    <t>LPDS95282</t>
  </si>
  <si>
    <t>ASEENA M</t>
  </si>
  <si>
    <t>LPDS95282 | ASEENA M</t>
  </si>
  <si>
    <t>OP-0122</t>
  </si>
  <si>
    <t>Pasting over Left Window Center stay pkt</t>
  </si>
  <si>
    <t>OP-0122 | Pasting over Left Window Center stay pkt</t>
  </si>
  <si>
    <t>LPD12283</t>
  </si>
  <si>
    <t>ASHIK ALI MOLLA</t>
  </si>
  <si>
    <t>LPD12283 | ASHIK ALI MOLLA</t>
  </si>
  <si>
    <t>OP-0123</t>
  </si>
  <si>
    <t>Attaching left center pkt with right shell</t>
  </si>
  <si>
    <t>OP-0123 | Attaching left center pkt with right shell</t>
  </si>
  <si>
    <t>LPDS95711</t>
  </si>
  <si>
    <t>ASIFA BANU</t>
  </si>
  <si>
    <t>LPDS95711 | ASIFA BANU</t>
  </si>
  <si>
    <t>OP-0124</t>
  </si>
  <si>
    <t>Stitching top side of cc pkt &amp;bottom centerstay</t>
  </si>
  <si>
    <t>OP-0124 | Stitching top side of cc pkt &amp;bottom centerstay</t>
  </si>
  <si>
    <t>LPD12275</t>
  </si>
  <si>
    <t>AYABUL MOLLA</t>
  </si>
  <si>
    <t>LPD12275 | AYABUL MOLLA</t>
  </si>
  <si>
    <t>OP-0125</t>
  </si>
  <si>
    <t>Promoter</t>
  </si>
  <si>
    <t>OP-0125 | Promoter</t>
  </si>
  <si>
    <t>LPD08506</t>
  </si>
  <si>
    <t>AYESHA</t>
  </si>
  <si>
    <t>LPD08506 | AYESHA</t>
  </si>
  <si>
    <t>OP-0126</t>
  </si>
  <si>
    <t>Dye</t>
  </si>
  <si>
    <t>OP-0126 | Dye</t>
  </si>
  <si>
    <t>LPDS94700</t>
  </si>
  <si>
    <t>AYESHA BANU K</t>
  </si>
  <si>
    <t>LPDS94700 | AYESHA BANU K</t>
  </si>
  <si>
    <t>OP-0127</t>
  </si>
  <si>
    <t>Pasting  Top backwall &amp; top</t>
  </si>
  <si>
    <t>OP-0127 | Pasting  Top backwall &amp; top</t>
  </si>
  <si>
    <t>LPDS95384</t>
  </si>
  <si>
    <t>B HAJIRA</t>
  </si>
  <si>
    <t>LPDS95384 | B HAJIRA</t>
  </si>
  <si>
    <t>OP-0128</t>
  </si>
  <si>
    <t>Attaching lining on top backwall&amp; top</t>
  </si>
  <si>
    <t>OP-0128 | Attaching lining on top backwall&amp; top</t>
  </si>
  <si>
    <t>LPDS95276</t>
  </si>
  <si>
    <t>B LAKSHMI</t>
  </si>
  <si>
    <t>LPDS95276 | B LAKSHMI</t>
  </si>
  <si>
    <t>OP-0129</t>
  </si>
  <si>
    <t>Stitching Lining with backwall &amp; moon bit</t>
  </si>
  <si>
    <t>OP-0129 | Stitching Lining with backwall &amp; moon bit</t>
  </si>
  <si>
    <t>LPDS95005</t>
  </si>
  <si>
    <t>B MEHAR TAJ</t>
  </si>
  <si>
    <t>LPDS95005 | B MEHAR TAJ</t>
  </si>
  <si>
    <t>OP-0130</t>
  </si>
  <si>
    <t>Thread Pull, Pasting</t>
  </si>
  <si>
    <t>OP-0130 | Thread Pull, Pasting</t>
  </si>
  <si>
    <t>LPDS95155</t>
  </si>
  <si>
    <t>B METTA</t>
  </si>
  <si>
    <t>LPDS95155 | B METTA</t>
  </si>
  <si>
    <t>OP-0131</t>
  </si>
  <si>
    <t>Pasting over Zip shell</t>
  </si>
  <si>
    <t>OP-0131 | Pasting over Zip shell</t>
  </si>
  <si>
    <t>LPDS95765</t>
  </si>
  <si>
    <t>B SARALA</t>
  </si>
  <si>
    <t>LPDS95765 | B SARALA</t>
  </si>
  <si>
    <t>OP-0132</t>
  </si>
  <si>
    <t>Inserting mould</t>
  </si>
  <si>
    <t>OP-0132 | Inserting mould</t>
  </si>
  <si>
    <t>LPDS95703</t>
  </si>
  <si>
    <t>B SIVA SANKARI</t>
  </si>
  <si>
    <t>LPDS95703 | B SIVA SANKARI</t>
  </si>
  <si>
    <t>OP-0133</t>
  </si>
  <si>
    <t>Attaching Zipper with case in Mould  &amp; Cornnering Zipper over Lining  &amp; mould removing</t>
  </si>
  <si>
    <t>OP-0133 | Attaching Zipper with case in Mould  &amp; Cornnering Zipper over Lining  &amp; mould removing</t>
  </si>
  <si>
    <t>LPDS95726</t>
  </si>
  <si>
    <t>B YASMIN</t>
  </si>
  <si>
    <t>LPDS95726 | B YASMIN</t>
  </si>
  <si>
    <t>OP-0134</t>
  </si>
  <si>
    <t>Pasting over shell final</t>
  </si>
  <si>
    <t>OP-0134 | Pasting over shell final</t>
  </si>
  <si>
    <t>LPD11655</t>
  </si>
  <si>
    <t>B. BALKEES</t>
  </si>
  <si>
    <t>LPD11655 | B. BALKEES</t>
  </si>
  <si>
    <t>OP-0135</t>
  </si>
  <si>
    <t>Label prepration</t>
  </si>
  <si>
    <t>OP-0135 | Label prepration</t>
  </si>
  <si>
    <t>LPD09919</t>
  </si>
  <si>
    <t>LPD09919 | B. BALKEES</t>
  </si>
  <si>
    <t>OP-0136</t>
  </si>
  <si>
    <t>Pasting on label</t>
  </si>
  <si>
    <t>OP-0136 | Pasting on label</t>
  </si>
  <si>
    <t>LPD08083</t>
  </si>
  <si>
    <t>B. BATHULA</t>
  </si>
  <si>
    <t>LPD08083 | B. BATHULA</t>
  </si>
  <si>
    <t>OP-0137</t>
  </si>
  <si>
    <t>Attaching label</t>
  </si>
  <si>
    <t>OP-0137 | Attaching label</t>
  </si>
  <si>
    <t>LPD09078</t>
  </si>
  <si>
    <t>B. KOWSALYA</t>
  </si>
  <si>
    <t>LPD09078 | B. KOWSALYA</t>
  </si>
  <si>
    <t>OP-0138</t>
  </si>
  <si>
    <t>Final Attaching</t>
  </si>
  <si>
    <t>OP-0138 | Final Attaching</t>
  </si>
  <si>
    <t>LPD11677</t>
  </si>
  <si>
    <t>B. LAKSHMI</t>
  </si>
  <si>
    <t>LPD11677 | B. LAKSHMI</t>
  </si>
  <si>
    <t>OP-0139</t>
  </si>
  <si>
    <t>Final Stitching</t>
  </si>
  <si>
    <t>OP-0139 | Final Stitching</t>
  </si>
  <si>
    <t>LPD08680</t>
  </si>
  <si>
    <t>B. MALATHI</t>
  </si>
  <si>
    <t>LPD08680 | B. MALATHI</t>
  </si>
  <si>
    <t>OP-0140</t>
  </si>
  <si>
    <t>Puller fixing</t>
  </si>
  <si>
    <t>OP-0140 | Puller fixing</t>
  </si>
  <si>
    <t>LPD06263</t>
  </si>
  <si>
    <t>LPD06263 | B. MALATHI</t>
  </si>
  <si>
    <t>OP-0141</t>
  </si>
  <si>
    <t>TOP PASTING</t>
  </si>
  <si>
    <t>OP-0141 | TOP PASTING</t>
  </si>
  <si>
    <t>LPD10728</t>
  </si>
  <si>
    <t>B. MUBARAK BASHA</t>
  </si>
  <si>
    <t>LPD10728 | B. MUBARAK BASHA</t>
  </si>
  <si>
    <t>OP-0142</t>
  </si>
  <si>
    <t>KIMLON PASTING</t>
  </si>
  <si>
    <t>OP-0142 | KIMLON PASTING</t>
  </si>
  <si>
    <t>LPD11308</t>
  </si>
  <si>
    <t>B. MUHAMMED NAWAZ</t>
  </si>
  <si>
    <t>LPD11308 | B. MUHAMMED NAWAZ</t>
  </si>
  <si>
    <t>OP-0143</t>
  </si>
  <si>
    <t>ATTACHING TOP &amp; KIMLON</t>
  </si>
  <si>
    <t>OP-0143 | ATTACHING TOP &amp; KIMLON</t>
  </si>
  <si>
    <t>LPD04052</t>
  </si>
  <si>
    <t>B. MUKTHIYAR</t>
  </si>
  <si>
    <t>LPD04052 | B. MUKTHIYAR</t>
  </si>
  <si>
    <t>OP-0144</t>
  </si>
  <si>
    <t>GUSSET STITCHING -2NOS</t>
  </si>
  <si>
    <t>OP-0144 | GUSSET STITCHING -2NOS</t>
  </si>
  <si>
    <t>LPD04827</t>
  </si>
  <si>
    <t>B. NASEEMA</t>
  </si>
  <si>
    <t>LPD04827 | B. NASEEMA</t>
  </si>
  <si>
    <t>OP-0145</t>
  </si>
  <si>
    <t>GUSSET LAMPING -2NOS</t>
  </si>
  <si>
    <t>OP-0145 | GUSSET LAMPING -2NOS</t>
  </si>
  <si>
    <t>LPD01611</t>
  </si>
  <si>
    <t>B. SARASWATHI</t>
  </si>
  <si>
    <t>LPD01611 | B. SARASWATHI</t>
  </si>
  <si>
    <t>OP-0146</t>
  </si>
  <si>
    <t>GUSSET SHAPING</t>
  </si>
  <si>
    <t>OP-0146 | GUSSET SHAPING</t>
  </si>
  <si>
    <t>LPD09951</t>
  </si>
  <si>
    <t>B. SHAHEEN</t>
  </si>
  <si>
    <t>LPD09951 | B. SHAHEEN</t>
  </si>
  <si>
    <t>OP-0147</t>
  </si>
  <si>
    <t>PATTI PROMOTOR</t>
  </si>
  <si>
    <t>OP-0147 | PATTI PROMOTOR</t>
  </si>
  <si>
    <t>LPD10984</t>
  </si>
  <si>
    <t>B. SHANTHI</t>
  </si>
  <si>
    <t>LPD10984 | B. SHANTHI</t>
  </si>
  <si>
    <t>OP-0148</t>
  </si>
  <si>
    <t>PATTI PRIMER 1</t>
  </si>
  <si>
    <t>OP-0148 | PATTI PRIMER 1</t>
  </si>
  <si>
    <t>LPD12183</t>
  </si>
  <si>
    <t>BADRUL ISLAM</t>
  </si>
  <si>
    <t>LPD12183 | BADRUL ISLAM</t>
  </si>
  <si>
    <t>OP-0149</t>
  </si>
  <si>
    <t>PATTI PRIMER 2</t>
  </si>
  <si>
    <t>OP-0149 | PATTI PRIMER 2</t>
  </si>
  <si>
    <t>LPD10701</t>
  </si>
  <si>
    <t>BADRUNNISA</t>
  </si>
  <si>
    <t>LPD10701 | BADRUNNISA</t>
  </si>
  <si>
    <t>OP-0150</t>
  </si>
  <si>
    <t>PATTI DYE</t>
  </si>
  <si>
    <t>OP-0150 | PATTI DYE</t>
  </si>
  <si>
    <t>LPD05182</t>
  </si>
  <si>
    <t>BAGAWATHI</t>
  </si>
  <si>
    <t>LPD05182 | BAGAWATHI</t>
  </si>
  <si>
    <t>OP-0151</t>
  </si>
  <si>
    <t>Kimlon Attaching Over FIrst Patti Lining</t>
  </si>
  <si>
    <t>OP-0151 | Kimlon Attaching Over FIrst Patti Lining</t>
  </si>
  <si>
    <t>LPD12216</t>
  </si>
  <si>
    <t>BAHAUDDIN MOLLA</t>
  </si>
  <si>
    <t>LPD12216 | BAHAUDDIN MOLLA</t>
  </si>
  <si>
    <t>OP-0152</t>
  </si>
  <si>
    <t>OP-0152 | Pasting over First Patti &amp; Kimlon</t>
  </si>
  <si>
    <t>LPD12075</t>
  </si>
  <si>
    <t>BAKIBULLA GAZI</t>
  </si>
  <si>
    <t>LPD12075 | BAKIBULLA GAZI</t>
  </si>
  <si>
    <t>OP-0153</t>
  </si>
  <si>
    <t>OP-0153 | Attaching Kimlon over First Patti Lining</t>
  </si>
  <si>
    <t>LPD12061</t>
  </si>
  <si>
    <t>BAKIBULLA MOLLA</t>
  </si>
  <si>
    <t>LPD12061 | BAKIBULLA MOLLA</t>
  </si>
  <si>
    <t>OP-0154</t>
  </si>
  <si>
    <t>OP-0154 | Stitching First Patti with Lining on Bottom Side (1-No)</t>
  </si>
  <si>
    <t>LPD11779</t>
  </si>
  <si>
    <t>BANU</t>
  </si>
  <si>
    <t>LPD11779 | BANU</t>
  </si>
  <si>
    <t>OP-0155</t>
  </si>
  <si>
    <t>OP-0155 | Stitching Step Patti with Lining on Bottom Side (6-Nos)</t>
  </si>
  <si>
    <t>LPD08004</t>
  </si>
  <si>
    <t>LPD08004 | BANU</t>
  </si>
  <si>
    <t>OP-0156</t>
  </si>
  <si>
    <t>OP-0156 | Stitching Step Patti with Lining on Top Side (6-Nos)</t>
  </si>
  <si>
    <t>LPDS95771</t>
  </si>
  <si>
    <t>BAVANI</t>
  </si>
  <si>
    <t>LPDS95771 | BAVANI</t>
  </si>
  <si>
    <t>OP-0157</t>
  </si>
  <si>
    <t>OP-0157 | Stitching Last Patti with Lining on Bottom Side (1-No)</t>
  </si>
  <si>
    <t>LPDS94797</t>
  </si>
  <si>
    <t>BEBE FATHIMA S</t>
  </si>
  <si>
    <t>LPDS94797 | BEBE FATHIMA S</t>
  </si>
  <si>
    <t>OP-0158</t>
  </si>
  <si>
    <t>OP-0158 | Stitching Last Patti with Lining on Top Side (1-No)</t>
  </si>
  <si>
    <t>LPDS95651</t>
  </si>
  <si>
    <t>C HALIMA</t>
  </si>
  <si>
    <t>LPDS95651 | C HALIMA</t>
  </si>
  <si>
    <t>OP-0159</t>
  </si>
  <si>
    <t>OP-0159 | Stitching Window on Top Side &amp; Cutting (1-No)</t>
  </si>
  <si>
    <t>LPD12206</t>
  </si>
  <si>
    <t>C MOHAMED HUZAIFA</t>
  </si>
  <si>
    <t>LPD12206 | C MOHAMED HUZAIFA</t>
  </si>
  <si>
    <t>OP-0160</t>
  </si>
  <si>
    <t>OP-0160 | Pasting over Top Patti &amp; Step Patti (4-Nos)</t>
  </si>
  <si>
    <t>LPDS95400</t>
  </si>
  <si>
    <t>C SHABREEN</t>
  </si>
  <si>
    <t>LPDS95400 | C SHABREEN</t>
  </si>
  <si>
    <t>OP-0161</t>
  </si>
  <si>
    <t>OP-0161 | Attaching Step Patti over First Patti</t>
  </si>
  <si>
    <t>LPD11745</t>
  </si>
  <si>
    <t>C. KALAISELVI</t>
  </si>
  <si>
    <t>LPD11745 | C. KALAISELVI</t>
  </si>
  <si>
    <t>OP-0162</t>
  </si>
  <si>
    <t>OP-0162 | Stitching Step Patti with First Patti in AMS (Card Showing 2-Nos)</t>
  </si>
  <si>
    <t>LPD11040</t>
  </si>
  <si>
    <t>C. MOHAMMED AMEEN</t>
  </si>
  <si>
    <t>LPD11040 | C. MOHAMMED AMEEN</t>
  </si>
  <si>
    <t>OP-0163</t>
  </si>
  <si>
    <t>OP-0163 | Stitching Step Patti with First Patti in AMS (Card Showing 3-Nos)</t>
  </si>
  <si>
    <t>LPDS95743</t>
  </si>
  <si>
    <t>C. THILAGAWATHI</t>
  </si>
  <si>
    <t>LPDS95743 | C. THILAGAWATHI</t>
  </si>
  <si>
    <t>OP-0164</t>
  </si>
  <si>
    <t>OP-0164 | Stitching Stamp with Lining on Top Side &amp; Cutting in AMS (1-No)</t>
  </si>
  <si>
    <t>LPDS95728</t>
  </si>
  <si>
    <t>CHANDHINI NASEER</t>
  </si>
  <si>
    <t>LPDS95728 | CHANDHINI NASEER</t>
  </si>
  <si>
    <t>OP-0165</t>
  </si>
  <si>
    <t>OP-0165 | Stitching Stamp Lining with Patti Lining in AMS (Card Showing 1-No)</t>
  </si>
  <si>
    <t>LPD10777</t>
  </si>
  <si>
    <t>CHITHRA</t>
  </si>
  <si>
    <t>LPD10777 | CHITHRA</t>
  </si>
  <si>
    <t>OP-0166</t>
  </si>
  <si>
    <t>OP-0166 | Pasting over Top Patti &amp; Step Patti (3-Nos)</t>
  </si>
  <si>
    <t>LPDS95256</t>
  </si>
  <si>
    <t>D SHOBANA</t>
  </si>
  <si>
    <t>LPDS95256 | D SHOBANA</t>
  </si>
  <si>
    <t>OP-0167</t>
  </si>
  <si>
    <t>OP-0167 | Pasting over Stamp &amp; Patti Lining</t>
  </si>
  <si>
    <t>LPD12060</t>
  </si>
  <si>
    <t>D VIJAYALAKSHMI</t>
  </si>
  <si>
    <t>LPD12060 | D VIJAYALAKSHMI</t>
  </si>
  <si>
    <t>OP-0168</t>
  </si>
  <si>
    <t>OP-0168 | Attaching Stamp over Step Patti</t>
  </si>
  <si>
    <t>LPD08098</t>
  </si>
  <si>
    <t>D. DEEPA</t>
  </si>
  <si>
    <t>LPD08098 | D. DEEPA</t>
  </si>
  <si>
    <t>OP-0169</t>
  </si>
  <si>
    <t>OP-0169 | Pasting &amp; Closing Attaching Stamp Lining on Bottom Side (1-No)</t>
  </si>
  <si>
    <t>LPD08276</t>
  </si>
  <si>
    <t>D. JAYANTHI</t>
  </si>
  <si>
    <t>LPD08276 | D. JAYANTHI</t>
  </si>
  <si>
    <t>OP-0170</t>
  </si>
  <si>
    <t>OP-0170 | Trimming CC pkt on Sides</t>
  </si>
  <si>
    <t>LPD09233</t>
  </si>
  <si>
    <t>D. JEELANI</t>
  </si>
  <si>
    <t>LPD09233 | D. JEELANI</t>
  </si>
  <si>
    <t>OP-0171</t>
  </si>
  <si>
    <t>OP-0171 | Pasting on Pkt Side for Folding (1-No)</t>
  </si>
  <si>
    <t>LPD07590</t>
  </si>
  <si>
    <t>D. LATHA</t>
  </si>
  <si>
    <t>LPD07590 | D. LATHA</t>
  </si>
  <si>
    <t>OP-0172</t>
  </si>
  <si>
    <t>OP-0172 | Creasing on CC Pkt on Side for Folding (1-No)</t>
  </si>
  <si>
    <t>LPD06026</t>
  </si>
  <si>
    <t>D. USHA</t>
  </si>
  <si>
    <t>LPD06026 | D. USHA</t>
  </si>
  <si>
    <t>OP-0173</t>
  </si>
  <si>
    <t>OP-0173 | Creasing on Windoe CC Pkt on Side for Folding (1-No)</t>
  </si>
  <si>
    <t>LPDS95641</t>
  </si>
  <si>
    <t>DEEPIKA VASUDEVAN</t>
  </si>
  <si>
    <t>LPDS95641 | DEEPIKA VASUDEVAN</t>
  </si>
  <si>
    <t>OP-0174</t>
  </si>
  <si>
    <t>OP-0174 | Pasting over Window &amp; Patti Lining</t>
  </si>
  <si>
    <t>LPD07972</t>
  </si>
  <si>
    <t>DEIVANAI</t>
  </si>
  <si>
    <t>LPD07972 | DEIVANAI</t>
  </si>
  <si>
    <t>OP-0175</t>
  </si>
  <si>
    <t>OP-0175 | Attaching Window over Step Patti</t>
  </si>
  <si>
    <t>LPD08523</t>
  </si>
  <si>
    <t>DEVI</t>
  </si>
  <si>
    <t>LPD08523 | DEVI</t>
  </si>
  <si>
    <t>OP-0176</t>
  </si>
  <si>
    <t>OP-0176 | Pasting &amp; Closing Attaching Window Lining on Bottom Side (1-No)</t>
  </si>
  <si>
    <t>LPDS94626</t>
  </si>
  <si>
    <t>LPDS94626 | DEVI</t>
  </si>
  <si>
    <t>OP-0177</t>
  </si>
  <si>
    <t>OP-0177 | Trimming Window CC pkt on Sides</t>
  </si>
  <si>
    <t>LPD09702</t>
  </si>
  <si>
    <t>LPD09702 | DEVI</t>
  </si>
  <si>
    <t>OP-0178</t>
  </si>
  <si>
    <t>OP-0178 | Folding CC Pkt on Sides (1-No)</t>
  </si>
  <si>
    <t>LPDS95554</t>
  </si>
  <si>
    <t>DEVI S</t>
  </si>
  <si>
    <t>LPDS95554 | DEVI S</t>
  </si>
  <si>
    <t>OP-0179</t>
  </si>
  <si>
    <t>OP-0179 | Folding Window CC Pkt on Sides (1-No)</t>
  </si>
  <si>
    <t>LPDS95018</t>
  </si>
  <si>
    <t>DIVYA</t>
  </si>
  <si>
    <t>LPDS95018 | DIVYA</t>
  </si>
  <si>
    <t>OP-0180</t>
  </si>
  <si>
    <t>OP-0180 | Pasting on Covering Lining on Side (1-No)</t>
  </si>
  <si>
    <t>LPD10282</t>
  </si>
  <si>
    <t>LPD10282 | DIVYA</t>
  </si>
  <si>
    <t>OP-0181</t>
  </si>
  <si>
    <t>OP-0181 | Folding Covering Lining on Sides (1-No)</t>
  </si>
  <si>
    <t>LPDS95650</t>
  </si>
  <si>
    <t>DIVYABARATHI PURUSHOTHAMAN</t>
  </si>
  <si>
    <t>LPDS95650 | DIVYABARATHI PURUSHOTHAMAN</t>
  </si>
  <si>
    <t>OP-0182</t>
  </si>
  <si>
    <t>OP-0182 | Pasting on CC Pkt &amp; Cover Lining (4-Sides)</t>
  </si>
  <si>
    <t>LPDS95157</t>
  </si>
  <si>
    <t>E MEENA</t>
  </si>
  <si>
    <t>LPDS95157 | E MEENA</t>
  </si>
  <si>
    <t>OP-0183</t>
  </si>
  <si>
    <t>OP-0183 | Attaching Covering Lining over CC Pkt</t>
  </si>
  <si>
    <t>LPD11733</t>
  </si>
  <si>
    <t>E. BHUVANESWARI</t>
  </si>
  <si>
    <t>LPD11733 | E. BHUVANESWARI</t>
  </si>
  <si>
    <t>OP-0184</t>
  </si>
  <si>
    <t>OP-0184 | Pasting on Windoe CC Pkt &amp; Cover Lining (4-Sides)</t>
  </si>
  <si>
    <t>LPDS95733</t>
  </si>
  <si>
    <t>E. GEETHA</t>
  </si>
  <si>
    <t>LPDS95733 | E. GEETHA</t>
  </si>
  <si>
    <t>OP-0185</t>
  </si>
  <si>
    <t>OP-0185 | Attaching Covering Lining over Windoe CC Pkt</t>
  </si>
  <si>
    <t>LPD11396</t>
  </si>
  <si>
    <t>E. PRECILA</t>
  </si>
  <si>
    <t>LPD11396 | E. PRECILA</t>
  </si>
  <si>
    <t>OP-0186</t>
  </si>
  <si>
    <t>OP-0186 | Stitching CC Pkt on Sides (1-No)</t>
  </si>
  <si>
    <t>LPD07572</t>
  </si>
  <si>
    <t>E. SARMILA</t>
  </si>
  <si>
    <t>LPD07572 | E. SARMILA</t>
  </si>
  <si>
    <t>OP-0187</t>
  </si>
  <si>
    <t>OP-0187 | Thread Pull, Pasting &amp; Cutting (2-Nos)</t>
  </si>
  <si>
    <t>LPD09001</t>
  </si>
  <si>
    <t>E. SHANTHI</t>
  </si>
  <si>
    <t>LPD09001 | E. SHANTHI</t>
  </si>
  <si>
    <t>OP-0188</t>
  </si>
  <si>
    <t>OP-0188 | Pasting over lining on Bottom Side for Folding (4-Nos)</t>
  </si>
  <si>
    <t>LPD11714</t>
  </si>
  <si>
    <t>E. SHARMILA</t>
  </si>
  <si>
    <t>LPD11714 | E. SHARMILA</t>
  </si>
  <si>
    <t>OP-0189</t>
  </si>
  <si>
    <t>OP-0189 | Folding Attaching Lining on Bottom Side (4-Nos)</t>
  </si>
  <si>
    <t>LPD12282</t>
  </si>
  <si>
    <t>EJARUL MOLLA</t>
  </si>
  <si>
    <t>LPD12282 | EJARUL MOLLA</t>
  </si>
  <si>
    <t>OP-0190</t>
  </si>
  <si>
    <t>OP-0190 | Pasting over Divider Lining for Folding Attaching</t>
  </si>
  <si>
    <t>LPD08404</t>
  </si>
  <si>
    <t>ESWARI</t>
  </si>
  <si>
    <t>LPD08404 | ESWARI</t>
  </si>
  <si>
    <t>OP-0191</t>
  </si>
  <si>
    <t>OP-0191 | Folding Attaching Divider Patti over Lining</t>
  </si>
  <si>
    <t>LPD08441</t>
  </si>
  <si>
    <t>LPD08441 | ESWARI</t>
  </si>
  <si>
    <t>OP-0192</t>
  </si>
  <si>
    <t>OP-0192 | Stitching Divider Patti with Lining (2-Nos)</t>
  </si>
  <si>
    <t>LPD10695</t>
  </si>
  <si>
    <t>EZHILARASI</t>
  </si>
  <si>
    <t>LPD10695 | EZHILARASI</t>
  </si>
  <si>
    <t>OP-0193</t>
  </si>
  <si>
    <t>OP-0193 | Sitching Divider Patti on Top Side</t>
  </si>
  <si>
    <t>LPD11988</t>
  </si>
  <si>
    <t>F GULZAR</t>
  </si>
  <si>
    <t>LPD11988 | F GULZAR</t>
  </si>
  <si>
    <t>OP-0194</t>
  </si>
  <si>
    <t>OP-0194 | Stitching Back wall Patti with Lining</t>
  </si>
  <si>
    <t>LPD03193</t>
  </si>
  <si>
    <t>F. HADHI BASHA</t>
  </si>
  <si>
    <t>LPD03193 | F. HADHI BASHA</t>
  </si>
  <si>
    <t>OP-0195</t>
  </si>
  <si>
    <t>OP-0195 | Lamping (4-Thread)</t>
  </si>
  <si>
    <t>LPD09533</t>
  </si>
  <si>
    <t>F. MOHAMMED AMEEN</t>
  </si>
  <si>
    <t>LPD09533 | F. MOHAMMED AMEEN</t>
  </si>
  <si>
    <t>OP-0196</t>
  </si>
  <si>
    <t>OP-0196 | Pasting over Center Stay Lining &amp; CC Pkt</t>
  </si>
  <si>
    <t>LPD07960</t>
  </si>
  <si>
    <t>F. ZAINATHBEE</t>
  </si>
  <si>
    <t>LPD07960 | F. ZAINATHBEE</t>
  </si>
  <si>
    <t>OP-0197</t>
  </si>
  <si>
    <t>OP-0197 | Attaching CC Pkt over Center Stay Lining</t>
  </si>
  <si>
    <t>LPD10407</t>
  </si>
  <si>
    <t>FAIROZ KHAN</t>
  </si>
  <si>
    <t>LPD10407 | FAIROZ KHAN</t>
  </si>
  <si>
    <t>OP-0198</t>
  </si>
  <si>
    <t>OP-0198 | Pasting over Center Stay Lining &amp; Window CC Pkt</t>
  </si>
  <si>
    <t>LPDS94740</t>
  </si>
  <si>
    <t>FAMITHA</t>
  </si>
  <si>
    <t>LPDS94740 | FAMITHA</t>
  </si>
  <si>
    <t>OP-0199</t>
  </si>
  <si>
    <t>OP-0199 | Recutting Window CC Pkt (1:2) 1-No</t>
  </si>
  <si>
    <t>LPD12284</t>
  </si>
  <si>
    <t>FARHANA BANU</t>
  </si>
  <si>
    <t>LPD12284 | FARHANA BANU</t>
  </si>
  <si>
    <t>OP-0200</t>
  </si>
  <si>
    <t>OP-0200 | Recutting CC Pkt (1:2) 1-No</t>
  </si>
  <si>
    <t>LPDS95723</t>
  </si>
  <si>
    <t>FARIDHA A</t>
  </si>
  <si>
    <t>LPDS95723 | FARIDHA A</t>
  </si>
  <si>
    <t>OP-0201</t>
  </si>
  <si>
    <t>OP-0201 | Recutting Wallet Center Stay (1:1)</t>
  </si>
  <si>
    <t>LPD07795</t>
  </si>
  <si>
    <t>FARITHA</t>
  </si>
  <si>
    <t>LPD07795 | FARITHA</t>
  </si>
  <si>
    <t>OP-0202</t>
  </si>
  <si>
    <t>OP-0202 | Recutting Zip Comp Center Stay (1:1)</t>
  </si>
  <si>
    <t>LPD10424</t>
  </si>
  <si>
    <t>LPD10424 | FARITHA</t>
  </si>
  <si>
    <t>OP-0203</t>
  </si>
  <si>
    <t>OP-0203 | Recutting F&amp;B Leather (1:2) 2-Nos</t>
  </si>
  <si>
    <t>LPD12271</t>
  </si>
  <si>
    <t>FARUK MOLLA</t>
  </si>
  <si>
    <t>LPD12271 | FARUK MOLLA</t>
  </si>
  <si>
    <t>OP-0204</t>
  </si>
  <si>
    <t>OP-0204 | Pasting over Center Stay on Top Side for Beeding Attaching</t>
  </si>
  <si>
    <t>LPDS95510</t>
  </si>
  <si>
    <t>FARZANA TAJ</t>
  </si>
  <si>
    <t>LPDS95510 | FARZANA TAJ</t>
  </si>
  <si>
    <t>OP-0205</t>
  </si>
  <si>
    <t>OP-0205 | Attaching Beeding over Center Stay Inside</t>
  </si>
  <si>
    <t>LPD12137</t>
  </si>
  <si>
    <t>FATHIMUTHU</t>
  </si>
  <si>
    <t>LPD12137 | FATHIMUTHU</t>
  </si>
  <si>
    <t>OP-0206</t>
  </si>
  <si>
    <t>OP-0206 | Embossing on CC Pkt (PU)</t>
  </si>
  <si>
    <t>LPD12152</t>
  </si>
  <si>
    <t>FOKHRUL ISLAM</t>
  </si>
  <si>
    <t>LPD12152 | FOKHRUL ISLAM</t>
  </si>
  <si>
    <t>OP-0207</t>
  </si>
  <si>
    <t>OP-0207 | Stitching Case on Top Side (Half)</t>
  </si>
  <si>
    <t>LPDS95161</t>
  </si>
  <si>
    <t>FOUSIYA</t>
  </si>
  <si>
    <t>LPDS95161 | FOUSIYA</t>
  </si>
  <si>
    <t>OP-0208</t>
  </si>
  <si>
    <t>OP-0208 | Stitching Gusset on Top Side (2-Nos)</t>
  </si>
  <si>
    <t>LPDS95078</t>
  </si>
  <si>
    <t>G IRFAN AHMED</t>
  </si>
  <si>
    <t>LPDS95078 | G IRFAN AHMED</t>
  </si>
  <si>
    <t>OP-0209</t>
  </si>
  <si>
    <t>OP-0209 | Thread Pull, Pasting &amp; Cutting (4-Nos)</t>
  </si>
  <si>
    <t>LPDS95185</t>
  </si>
  <si>
    <t>G SARIDHA</t>
  </si>
  <si>
    <t>LPDS95185 | G SARIDHA</t>
  </si>
  <si>
    <t>OP-0210</t>
  </si>
  <si>
    <t>OP-0210 | Small Gusset EI (Both Sides) - Heating</t>
  </si>
  <si>
    <t>LPDS95736</t>
  </si>
  <si>
    <t>G. CHITRA</t>
  </si>
  <si>
    <t>LPDS95736 | G. CHITRA</t>
  </si>
  <si>
    <t>OP-0211</t>
  </si>
  <si>
    <t>OP-0211 | Small Gusset EI (Both Sides) - Primer-1</t>
  </si>
  <si>
    <t>LPD10052</t>
  </si>
  <si>
    <t>G. HUSSAIN SHARIFF</t>
  </si>
  <si>
    <t>LPD10052 | G. HUSSAIN SHARIFF</t>
  </si>
  <si>
    <t>OP-0212</t>
  </si>
  <si>
    <t>OP-0212 | Small Gusset EI (Both Sides) - Primer-2</t>
  </si>
  <si>
    <t>LPD11732</t>
  </si>
  <si>
    <t>G. KOMATHI</t>
  </si>
  <si>
    <t>LPD11732 | G. KOMATHI</t>
  </si>
  <si>
    <t>OP-0213</t>
  </si>
  <si>
    <t>OP-0213 | Small Gusset EI (Both Sides) - Dye</t>
  </si>
  <si>
    <t>LPD08199</t>
  </si>
  <si>
    <t>G. LATHA</t>
  </si>
  <si>
    <t>LPD08199 | G. LATHA</t>
  </si>
  <si>
    <t>OP-0214</t>
  </si>
  <si>
    <t>OP-0214 | Big Gusset EI (Bottom Shape) - Dye</t>
  </si>
  <si>
    <t>LPD11669</t>
  </si>
  <si>
    <t>G. LIVINA</t>
  </si>
  <si>
    <t>LPD11669 | G. LIVINA</t>
  </si>
  <si>
    <t>OP-0215</t>
  </si>
  <si>
    <t>OP-0215 | Tab Bit EI (Shape) - Primer 1</t>
  </si>
  <si>
    <t>LPD03298</t>
  </si>
  <si>
    <t>G. PADMINI</t>
  </si>
  <si>
    <t>LPD03298 | G. PADMINI</t>
  </si>
  <si>
    <t>OP-0216</t>
  </si>
  <si>
    <t>OP-0216 | Tab Bit EI (Shape) - Primer 2</t>
  </si>
  <si>
    <t>LPD10554</t>
  </si>
  <si>
    <t>G. SATHYA</t>
  </si>
  <si>
    <t>LPD10554 | G. SATHYA</t>
  </si>
  <si>
    <t>OP-0217</t>
  </si>
  <si>
    <t>OP-0217 | Tab Bit EI (Shape) - Buffing</t>
  </si>
  <si>
    <t>LPD10561</t>
  </si>
  <si>
    <t>G. SELVARANI</t>
  </si>
  <si>
    <t>LPD10561 | G. SELVARANI</t>
  </si>
  <si>
    <t>OP-0218</t>
  </si>
  <si>
    <t>OP-0218 | Tab Bit EI (Shape) - Primer 3</t>
  </si>
  <si>
    <t>LPD11438</t>
  </si>
  <si>
    <t>G. SHAGUFA</t>
  </si>
  <si>
    <t>LPD11438 | G. SHAGUFA</t>
  </si>
  <si>
    <t>OP-0219</t>
  </si>
  <si>
    <t>OP-0219 | Tab Bit EI (Shape) - Primer 4</t>
  </si>
  <si>
    <t>LPD10039</t>
  </si>
  <si>
    <t>G. SHAMALAVATHI</t>
  </si>
  <si>
    <t>LPD10039 | G. SHAMALAVATHI</t>
  </si>
  <si>
    <t>OP-0220</t>
  </si>
  <si>
    <t>OP-0220 | Tab Bit EI (Shape) - Dye</t>
  </si>
  <si>
    <t>LPD11750</t>
  </si>
  <si>
    <t>G. SIVAGANGAI</t>
  </si>
  <si>
    <t>LPD11750 | G. SIVAGANGAI</t>
  </si>
  <si>
    <t>OP-0221</t>
  </si>
  <si>
    <t>OP-0221 | Top Case EI (Top Side) - Pressing</t>
  </si>
  <si>
    <t>LPD07833</t>
  </si>
  <si>
    <t>GAYATHRI</t>
  </si>
  <si>
    <t>LPD07833 | GAYATHRI</t>
  </si>
  <si>
    <t>OP-0222</t>
  </si>
  <si>
    <t>OP-0222 | Top Case EI (Top Side) - Primer 1</t>
  </si>
  <si>
    <t>LPD08363</t>
  </si>
  <si>
    <t>GEETHA</t>
  </si>
  <si>
    <t>LPD08363 | GEETHA</t>
  </si>
  <si>
    <t>OP-0223</t>
  </si>
  <si>
    <t>OP-0223 | Top Case EI (Top Side) - Primer 2</t>
  </si>
  <si>
    <t>LPD09683</t>
  </si>
  <si>
    <t>GIRIJA</t>
  </si>
  <si>
    <t>LPD09683 | GIRIJA</t>
  </si>
  <si>
    <t>OP-0224</t>
  </si>
  <si>
    <t>OP-0224 | Top Case EI (Top Side) - Buffing</t>
  </si>
  <si>
    <t>LPD07628</t>
  </si>
  <si>
    <t>GNANAMMAL</t>
  </si>
  <si>
    <t>LPD07628 | GNANAMMAL</t>
  </si>
  <si>
    <t>OP-0225</t>
  </si>
  <si>
    <t>OP-0225 | Top Case EI (Top Side) - Primer 3</t>
  </si>
  <si>
    <t>LPDS94747</t>
  </si>
  <si>
    <t>GNANASUNDARI B</t>
  </si>
  <si>
    <t>LPDS94747 | GNANASUNDARI B</t>
  </si>
  <si>
    <t>OP-0226</t>
  </si>
  <si>
    <t>OP-0226 | Top Case EI (Top Side) - Primer 4</t>
  </si>
  <si>
    <t>LPD11751</t>
  </si>
  <si>
    <t>GOUSI</t>
  </si>
  <si>
    <t>LPD11751 | GOUSI</t>
  </si>
  <si>
    <t>OP-0227</t>
  </si>
  <si>
    <t>OP-0227 | Top Case EI (Top Side) - Dye</t>
  </si>
  <si>
    <t>LPD09497</t>
  </si>
  <si>
    <t>H. AFSAR</t>
  </si>
  <si>
    <t>LPD09497 | H. AFSAR</t>
  </si>
  <si>
    <t>OP-0228</t>
  </si>
  <si>
    <t>OP-0228 | Pasting over Top Fabric, L&amp;R Kimlon &amp; Center Kimlon</t>
  </si>
  <si>
    <t>LPD05352</t>
  </si>
  <si>
    <t>H. AHAMADI BANU</t>
  </si>
  <si>
    <t>LPD05352 | H. AHAMADI BANU</t>
  </si>
  <si>
    <t>OP-0229</t>
  </si>
  <si>
    <t>OP-0229 | Attacing Center &amp; L&amp;R Kimlon over Top</t>
  </si>
  <si>
    <t>LPD10918</t>
  </si>
  <si>
    <t>H. GAYATHRI</t>
  </si>
  <si>
    <t>LPD10918 | H. GAYATHRI</t>
  </si>
  <si>
    <t>OP-0230</t>
  </si>
  <si>
    <t>OP-0230 | Pasting over Top &amp; Mica (2-Nos)</t>
  </si>
  <si>
    <t>LPD11233</t>
  </si>
  <si>
    <t>H. MOHAMMED TOWFEEQUE</t>
  </si>
  <si>
    <t>LPD11233 | H. MOHAMMED TOWFEEQUE</t>
  </si>
  <si>
    <t>OP-0231</t>
  </si>
  <si>
    <t>OP-0231 | Attaching Mica over Top (1-No)</t>
  </si>
  <si>
    <t>LPD06499</t>
  </si>
  <si>
    <t>H. RESHMA</t>
  </si>
  <si>
    <t>LPD06499 | H. RESHMA</t>
  </si>
  <si>
    <t>OP-0232</t>
  </si>
  <si>
    <t>OP-0232 | Pasting over Center Stay Both Sides &amp; Lining</t>
  </si>
  <si>
    <t>LPD08233</t>
  </si>
  <si>
    <t>H. SUJATHA</t>
  </si>
  <si>
    <t>LPD08233 | H. SUJATHA</t>
  </si>
  <si>
    <t>OP-0233</t>
  </si>
  <si>
    <t>OP-0233 | Attaching L&amp;R Lining over Center Stay</t>
  </si>
  <si>
    <t>LPD10209</t>
  </si>
  <si>
    <t>HAJEERA</t>
  </si>
  <si>
    <t>LPD10209 | HAJEERA</t>
  </si>
  <si>
    <t>OP-0234</t>
  </si>
  <si>
    <t>OP-0234 | Stitching L&amp;R Lining with Center Stay PU</t>
  </si>
  <si>
    <t>LPDS94616</t>
  </si>
  <si>
    <t>HAJEERA T</t>
  </si>
  <si>
    <t>LPDS94616 | HAJEERA T</t>
  </si>
  <si>
    <t>OP-0235</t>
  </si>
  <si>
    <t>OP-0235 | Pasting over Center Stay &amp; Cover Lining (4-Sides)</t>
  </si>
  <si>
    <t>LPDS95402</t>
  </si>
  <si>
    <t>HAJIRA ABDUL SALAM</t>
  </si>
  <si>
    <t>LPDS95402 | HAJIRA ABDUL SALAM</t>
  </si>
  <si>
    <t>OP-0236</t>
  </si>
  <si>
    <t>OP-0236 | Attaching Covering Lining over Center Stay</t>
  </si>
  <si>
    <t>LPDS94682</t>
  </si>
  <si>
    <t>HAJIRA B</t>
  </si>
  <si>
    <t>LPDS94682 | HAJIRA B</t>
  </si>
  <si>
    <t>OP-0237</t>
  </si>
  <si>
    <t>OP-0237 | Pasting over Zip Comp Center Stay PU &amp; Kimlon (4-Sides)</t>
  </si>
  <si>
    <t>LPDS94954</t>
  </si>
  <si>
    <t>HANNA MURUGAN</t>
  </si>
  <si>
    <t>LPDS94954 | HANNA MURUGAN</t>
  </si>
  <si>
    <t>OP-0238</t>
  </si>
  <si>
    <t>OP-0238 | Attaching Kimlon over Center Stay PU using Mould</t>
  </si>
  <si>
    <t>LPD12164</t>
  </si>
  <si>
    <t>HARUN SARDAR</t>
  </si>
  <si>
    <t>LPD12164 | HARUN SARDAR</t>
  </si>
  <si>
    <t>OP-0239</t>
  </si>
  <si>
    <t>OP-0239 | Pasting over Center Stay PU on Bottom Side for Folding (1-No)</t>
  </si>
  <si>
    <t>LPD12069</t>
  </si>
  <si>
    <t>HASAN ALI</t>
  </si>
  <si>
    <t>LPD12069 | HASAN ALI</t>
  </si>
  <si>
    <t>OP-0240</t>
  </si>
  <si>
    <t>OP-0240 | Folding Center Stay PU on Bottom Side (1-No)</t>
  </si>
  <si>
    <t>LPD11974</t>
  </si>
  <si>
    <t>HASAN UDDIN</t>
  </si>
  <si>
    <t>LPD11974 | HASAN UDDIN</t>
  </si>
  <si>
    <t>OP-0241</t>
  </si>
  <si>
    <t>OP-0241 | Stitching Center Stay Lining on Bottom Side (1-No)</t>
  </si>
  <si>
    <t>LPD12148</t>
  </si>
  <si>
    <t>HASANUR JAMAN MOLLA</t>
  </si>
  <si>
    <t>LPD12148 | HASANUR JAMAN MOLLA</t>
  </si>
  <si>
    <t>OP-0242</t>
  </si>
  <si>
    <t>OP-0242 | Stitching Top Back wall Mouse Hole in AMS</t>
  </si>
  <si>
    <t>LPD09343</t>
  </si>
  <si>
    <t>HASSAN BASHA</t>
  </si>
  <si>
    <t>LPD09343 | HASSAN BASHA</t>
  </si>
  <si>
    <t>OP-0243</t>
  </si>
  <si>
    <t>OP-0243 | Pasting over Gusset PU &amp; Lining (4-Sides)</t>
  </si>
  <si>
    <t>LPD04963</t>
  </si>
  <si>
    <t>HAYATH</t>
  </si>
  <si>
    <t>LPD04963 | HAYATH</t>
  </si>
  <si>
    <t>OP-0244</t>
  </si>
  <si>
    <t>OP-0244 | Attaching Lining over Gusset PU &amp; Shapping (1-No)</t>
  </si>
  <si>
    <t>LPD12028</t>
  </si>
  <si>
    <t>HELAL UDDIN</t>
  </si>
  <si>
    <t>LPD12028 | HELAL UDDIN</t>
  </si>
  <si>
    <t>OP-0245</t>
  </si>
  <si>
    <t>OP-0245 | Pasting on Gusset Top Side for Folding (2-Nos)</t>
  </si>
  <si>
    <t>LPD12188</t>
  </si>
  <si>
    <t>HIRAJUL HAQUE</t>
  </si>
  <si>
    <t>LPD12188 | HIRAJUL HAQUE</t>
  </si>
  <si>
    <t>OP-0246</t>
  </si>
  <si>
    <t>OP-0246 | Folding Attaching Gusset on Top Sides (2-Nos)</t>
  </si>
  <si>
    <t>LPD11987</t>
  </si>
  <si>
    <t>I AFROSE</t>
  </si>
  <si>
    <t>LPD11987 | I AFROSE</t>
  </si>
  <si>
    <t>OP-0247</t>
  </si>
  <si>
    <t>OP-0247 | Recutting Gusset (1:2) 2-Nos</t>
  </si>
  <si>
    <t>LPDS95790</t>
  </si>
  <si>
    <t>I PARVEEN</t>
  </si>
  <si>
    <t>LPDS95790 | I PARVEEN</t>
  </si>
  <si>
    <t>OP-0248</t>
  </si>
  <si>
    <t>OP-0248 | Recutting Tab Bit Facing PU(1:4) 1-No</t>
  </si>
  <si>
    <t>LPD12233</t>
  </si>
  <si>
    <t>I RESHMA</t>
  </si>
  <si>
    <t>LPD12233 | I RESHMA</t>
  </si>
  <si>
    <t>OP-0249</t>
  </si>
  <si>
    <t>OP-0249 | Recutting Tab Bit Top Leather (1:4) 1-No</t>
  </si>
  <si>
    <t>LPD05966</t>
  </si>
  <si>
    <t>I. AKBAR</t>
  </si>
  <si>
    <t>LPD05966 | I. AKBAR</t>
  </si>
  <si>
    <t>OP-0250</t>
  </si>
  <si>
    <t>OP-0250 | Recutting of Top backwall (1:1)</t>
  </si>
  <si>
    <t>LPD10854</t>
  </si>
  <si>
    <t>I. IMRAN</t>
  </si>
  <si>
    <t>LPD10854 | I. IMRAN</t>
  </si>
  <si>
    <t>OP-0251</t>
  </si>
  <si>
    <t>OP-0251 | Recutting Top (1:1)</t>
  </si>
  <si>
    <t>LPD11068</t>
  </si>
  <si>
    <t>I. IRFAN</t>
  </si>
  <si>
    <t>LPD11068 | I. IRFAN</t>
  </si>
  <si>
    <t>OP-0252</t>
  </si>
  <si>
    <t>OP-0252 | Inserting Button &amp; Buttoning on Tab Bit (1-No)</t>
  </si>
  <si>
    <t>LPD08628</t>
  </si>
  <si>
    <t>I. KURSHEED BEGAM</t>
  </si>
  <si>
    <t>LPD08628 | I. KURSHEED BEGAM</t>
  </si>
  <si>
    <t>OP-0253</t>
  </si>
  <si>
    <t>OP-0253 | Inserting MK Logo &amp; Pressing with Top (2-Nos)</t>
  </si>
  <si>
    <t>LPD10815</t>
  </si>
  <si>
    <t>I. MD. ASLAM</t>
  </si>
  <si>
    <t>LPD10815 | I. MD. ASLAM</t>
  </si>
  <si>
    <t>OP-0254</t>
  </si>
  <si>
    <t>OP-0254 | Dummy Pressing After Logo Pressing (1-No)</t>
  </si>
  <si>
    <t>LPD10993</t>
  </si>
  <si>
    <t>I. MOHAMMED IRFAN</t>
  </si>
  <si>
    <t>LPD10993 | I. MOHAMMED IRFAN</t>
  </si>
  <si>
    <t>OP-0255</t>
  </si>
  <si>
    <t>OP-0255 | Gluing over Top on Inside Logo (1-No)</t>
  </si>
  <si>
    <t>LPD10059</t>
  </si>
  <si>
    <t>I. NIYAS AHMED</t>
  </si>
  <si>
    <t>LPD10059 | I. NIYAS AHMED</t>
  </si>
  <si>
    <t>OP-0256</t>
  </si>
  <si>
    <t>OP-0256 | Inserting Nylon Filler &amp; Buttoning on Top (1-No)</t>
  </si>
  <si>
    <t>LPD11499</t>
  </si>
  <si>
    <t>I. RESHMA</t>
  </si>
  <si>
    <t>LPD11499 | I. RESHMA</t>
  </si>
  <si>
    <t>OP-0257</t>
  </si>
  <si>
    <t>OP-0257 | Pasting over Mica &amp; Tab Facing</t>
  </si>
  <si>
    <t>LPD09580</t>
  </si>
  <si>
    <t>I. SADIQ BASHA</t>
  </si>
  <si>
    <t>LPD09580 | I. SADIQ BASHA</t>
  </si>
  <si>
    <t>OP-0258</t>
  </si>
  <si>
    <t>OP-0258 | Attaching Mica over  Tab Facing Inside</t>
  </si>
  <si>
    <t>LPD12040</t>
  </si>
  <si>
    <t>ILIYAS PIYADA</t>
  </si>
  <si>
    <t>LPD12040 | ILIYAS PIYADA</t>
  </si>
  <si>
    <t>OP-0259</t>
  </si>
  <si>
    <t>OP-0259 | Pasting over Tab Bit Top Leather &amp; Facing PU</t>
  </si>
  <si>
    <t>LPD11772</t>
  </si>
  <si>
    <t>IMRAN</t>
  </si>
  <si>
    <t>LPD11772 | IMRAN</t>
  </si>
  <si>
    <t>OP-0260</t>
  </si>
  <si>
    <t>OP-0260 | Attaching Facing PU over Mould</t>
  </si>
  <si>
    <t>LPD11490</t>
  </si>
  <si>
    <t>LPD11490 | IMRAN</t>
  </si>
  <si>
    <t>OP-0261</t>
  </si>
  <si>
    <t>OP-0261 | Attaching Top Leather over Facing PU in Mould</t>
  </si>
  <si>
    <t>LPD09976</t>
  </si>
  <si>
    <t>INDHUMATHI</t>
  </si>
  <si>
    <t>LPD09976 | INDHUMATHI</t>
  </si>
  <si>
    <t>OP-0262</t>
  </si>
  <si>
    <t>OP-0262 | Final Stitching of Tab Bit</t>
  </si>
  <si>
    <t>LPDS95072</t>
  </si>
  <si>
    <t>ISHAMA S</t>
  </si>
  <si>
    <t>LPDS95072 | ISHAMA S</t>
  </si>
  <si>
    <t>OP-0263</t>
  </si>
  <si>
    <t>OP-0263 | Lamping (2-Thread)</t>
  </si>
  <si>
    <t>LPD12154</t>
  </si>
  <si>
    <t>ISMAIL AHMED</t>
  </si>
  <si>
    <t>LPD12154 | ISMAIL AHMED</t>
  </si>
  <si>
    <t>OP-0264</t>
  </si>
  <si>
    <t>OP-0264 | Full Pasting over Texon Board &amp; Top aroung Logo (1-No)</t>
  </si>
  <si>
    <t>LPDS95630</t>
  </si>
  <si>
    <t>J AFROSE BASHA</t>
  </si>
  <si>
    <t>LPDS95630 | J AFROSE BASHA</t>
  </si>
  <si>
    <t>OP-0265</t>
  </si>
  <si>
    <t>OP-0265 | Attaching Texon Board over Top Around the Logo</t>
  </si>
  <si>
    <t>LPDS95210</t>
  </si>
  <si>
    <t>J AYISHA</t>
  </si>
  <si>
    <t>LPDS95210 | J AYISHA</t>
  </si>
  <si>
    <t>OP-0266</t>
  </si>
  <si>
    <t>OP-0266 | Pasting over Top on Logo Inside &amp; Kimlon</t>
  </si>
  <si>
    <t>LPDS95200</t>
  </si>
  <si>
    <t>J MD BASHA</t>
  </si>
  <si>
    <t>LPDS95200 | J MD BASHA</t>
  </si>
  <si>
    <t>OP-0267</t>
  </si>
  <si>
    <t>OP-0267 | Attaching Kimlon over Top on Logo Inside (1-No)</t>
  </si>
  <si>
    <t>LPDS95787</t>
  </si>
  <si>
    <t>J VEDHAVALLI</t>
  </si>
  <si>
    <t>LPDS95787 | J VEDHAVALLI</t>
  </si>
  <si>
    <t>OP-0268</t>
  </si>
  <si>
    <t>OP-0268 | Pasting &amp; Closing Attaching Nylon over Snap Buttion</t>
  </si>
  <si>
    <t>LPD11286</t>
  </si>
  <si>
    <t>J. ADI BASHA</t>
  </si>
  <si>
    <t>LPD11286 | J. ADI BASHA</t>
  </si>
  <si>
    <t>OP-0269</t>
  </si>
  <si>
    <t>OP-0269 | Pasting over Top &amp; Top Backwall Lining (2-Nos)</t>
  </si>
  <si>
    <t>LPD11774</t>
  </si>
  <si>
    <t>J. NASREEN BANU</t>
  </si>
  <si>
    <t>LPD11774 | J. NASREEN BANU</t>
  </si>
  <si>
    <t>OP-0270</t>
  </si>
  <si>
    <t>OP-0270 | Attaching Backwall Lining with Top</t>
  </si>
  <si>
    <t>LPD07375</t>
  </si>
  <si>
    <t>J. PAVITHRA</t>
  </si>
  <si>
    <t>LPD07375 | J. PAVITHRA</t>
  </si>
  <si>
    <t>OP-0271</t>
  </si>
  <si>
    <t>OP-0271 | Stitching Top On Top Side</t>
  </si>
  <si>
    <t>LPD09877</t>
  </si>
  <si>
    <t>J. SAIDA</t>
  </si>
  <si>
    <t>LPD09877 | J. SAIDA</t>
  </si>
  <si>
    <t>OP-0272</t>
  </si>
  <si>
    <t>OP-0272 | Stitching Top On Bottom Moon Bit Side</t>
  </si>
  <si>
    <t>LPD11362</t>
  </si>
  <si>
    <t>J. SIVARANJANI</t>
  </si>
  <si>
    <t>LPD11362 | J. SIVARANJANI</t>
  </si>
  <si>
    <t>OP-0273</t>
  </si>
  <si>
    <t>OP-0273 | Pasting over Divider Patti Lining on Both Sides &amp; Gusset</t>
  </si>
  <si>
    <t>LPD08172</t>
  </si>
  <si>
    <t>J. SUBALAKSHMI</t>
  </si>
  <si>
    <t>LPD08172 | J. SUBALAKSHMI</t>
  </si>
  <si>
    <t>OP-0274</t>
  </si>
  <si>
    <t>OP-0274 | Attaching Gusset with Divider Lining on Both Side</t>
  </si>
  <si>
    <t>LPD11353</t>
  </si>
  <si>
    <t>J. VENNILA</t>
  </si>
  <si>
    <t>LPD11353 | J. VENNILA</t>
  </si>
  <si>
    <t>OP-0275</t>
  </si>
  <si>
    <t>OP-0275 | Stitching Gusset with Divider lining on Both Sides</t>
  </si>
  <si>
    <t>LPDS95724</t>
  </si>
  <si>
    <t>JABEENA BANU</t>
  </si>
  <si>
    <t>LPDS95724 | JABEENA BANU</t>
  </si>
  <si>
    <t>OP-0276</t>
  </si>
  <si>
    <t>OP-0276 | Pasting over Lining for Folding on Top Side (2-Nos)</t>
  </si>
  <si>
    <t>LPD09910</t>
  </si>
  <si>
    <t>JABINA BANU</t>
  </si>
  <si>
    <t>LPD09910 | JABINA BANU</t>
  </si>
  <si>
    <t>OP-0277</t>
  </si>
  <si>
    <t>OP-0277 | Folding &amp; Cornering Zip Comp Lining on Top &amp; Sides (2-Nos)</t>
  </si>
  <si>
    <t>LPD12116</t>
  </si>
  <si>
    <t>JAHIR ALI MOLLA</t>
  </si>
  <si>
    <t>LPD12116 | JAHIR ALI MOLLA</t>
  </si>
  <si>
    <t>OP-0278</t>
  </si>
  <si>
    <t>OP-0278 | Pasting over Divider Patti lining &amp; Zip Comp Lining</t>
  </si>
  <si>
    <t>LPD12105</t>
  </si>
  <si>
    <t>JAHIR MOLLA</t>
  </si>
  <si>
    <t>LPD12105 | JAHIR MOLLA</t>
  </si>
  <si>
    <t>OP-0279</t>
  </si>
  <si>
    <t>OP-0279 | Attaching Zip Comp Lining with Divider Lining on Bottom Side</t>
  </si>
  <si>
    <t>LPD11902</t>
  </si>
  <si>
    <t>JAKIR PIYADA</t>
  </si>
  <si>
    <t>LPD11902 | JAKIR PIYADA</t>
  </si>
  <si>
    <t>OP-0280</t>
  </si>
  <si>
    <t>OP-0280 | Stitching Zip Comp Lining with Divider Patti Lining</t>
  </si>
  <si>
    <t>LPD12095</t>
  </si>
  <si>
    <t>JAKIYA ANJUM</t>
  </si>
  <si>
    <t>LPD12095 | JAKIYA ANJUM</t>
  </si>
  <si>
    <t>OP-0281</t>
  </si>
  <si>
    <t>OP-0281 | Folding Attaching Zipper at one End</t>
  </si>
  <si>
    <t>LPD11759</t>
  </si>
  <si>
    <t>JAMEELA</t>
  </si>
  <si>
    <t>LPD11759 | JAMEELA</t>
  </si>
  <si>
    <t>OP-0282</t>
  </si>
  <si>
    <t>OP-0282 | Pasting over Zipper &amp; Inside Case Lining</t>
  </si>
  <si>
    <t>LPD09799</t>
  </si>
  <si>
    <t>JAMIL HUSSAIN</t>
  </si>
  <si>
    <t>LPD09799 | JAMIL HUSSAIN</t>
  </si>
  <si>
    <t>OP-0283</t>
  </si>
  <si>
    <t>OP-0283 | Attaching Lining with Mould</t>
  </si>
  <si>
    <t>LPDS95413</t>
  </si>
  <si>
    <t>JANANI G</t>
  </si>
  <si>
    <t>LPDS95413 | JANANI G</t>
  </si>
  <si>
    <t>OP-0284</t>
  </si>
  <si>
    <t>OP-0284 | Attaching Zipper with Lining in Mould</t>
  </si>
  <si>
    <t>LPD11129</t>
  </si>
  <si>
    <t>JAYACHITRA</t>
  </si>
  <si>
    <t>LPD11129 | JAYACHITRA</t>
  </si>
  <si>
    <t>OP-0285</t>
  </si>
  <si>
    <t>OP-0285 | Cornnering Zipper over Lining (2-Nos)</t>
  </si>
  <si>
    <t>LPD10251</t>
  </si>
  <si>
    <t>LPD10251 | JAYACHITRA</t>
  </si>
  <si>
    <t>OP-0286</t>
  </si>
  <si>
    <t>OP-0286 | Removing Zip Case from Mould</t>
  </si>
  <si>
    <t>LPDS94748</t>
  </si>
  <si>
    <t>JAYAKODI K</t>
  </si>
  <si>
    <t>LPDS94748 | JAYAKODI K</t>
  </si>
  <si>
    <t>OP-0287</t>
  </si>
  <si>
    <t>OP-0287 | Pasting ove Zip Shell on Both Sides &amp; Kimlon</t>
  </si>
  <si>
    <t>LPDS95750</t>
  </si>
  <si>
    <t>JAYALAKSHMI S</t>
  </si>
  <si>
    <t>LPDS95750 | JAYALAKSHMI S</t>
  </si>
  <si>
    <t>OP-0288</t>
  </si>
  <si>
    <t>OP-0288 | Attaching Kimlon over Zip Shell on Both Sides (2-Nos)</t>
  </si>
  <si>
    <t>LPDS94648</t>
  </si>
  <si>
    <t>JAYANTHI</t>
  </si>
  <si>
    <t>LPDS94648 | JAYANTHI</t>
  </si>
  <si>
    <t>OP-0289</t>
  </si>
  <si>
    <t>OP-0289 | Direct Stitching Tab Bit with Coller Patti in AMS</t>
  </si>
  <si>
    <t>LPD09685</t>
  </si>
  <si>
    <t>LPD09685 | JAYANTHI</t>
  </si>
  <si>
    <t>OP-0290</t>
  </si>
  <si>
    <t>OP-0290 | Pasting over Front  &amp; Back Wall Leather &amp; Zip Case Lining</t>
  </si>
  <si>
    <t>LPD08372</t>
  </si>
  <si>
    <t>LPD08372 | JAYANTHI</t>
  </si>
  <si>
    <t>OP-0291</t>
  </si>
  <si>
    <t>OP-0291 | Attaching Zip Case Lining with Front &amp; Back Wall Leather</t>
  </si>
  <si>
    <t>LPDS95102</t>
  </si>
  <si>
    <t>JAYAPRIYA JAGADEESAN</t>
  </si>
  <si>
    <t>LPDS95102 | JAYAPRIYA JAGADEESAN</t>
  </si>
  <si>
    <t>OP-0292</t>
  </si>
  <si>
    <t>OP-0292 | Stitching Lining Case with Gusset &amp; Wall PU on Front &amp; Back Side (2-Nos)</t>
  </si>
  <si>
    <t>LPD11740</t>
  </si>
  <si>
    <t>JAYASUTHA</t>
  </si>
  <si>
    <t>LPD11740 | JAYASUTHA</t>
  </si>
  <si>
    <t>OP-0293</t>
  </si>
  <si>
    <t>OP-0293 | Stitching Lining Case with Gusset &amp; Wall PU on Top Side (2-Nos)</t>
  </si>
  <si>
    <t>LPD10667</t>
  </si>
  <si>
    <t>JIAUR RAHMAN</t>
  </si>
  <si>
    <t>LPD10667 | JIAUR RAHMAN</t>
  </si>
  <si>
    <t>OP-0294</t>
  </si>
  <si>
    <t>OP-0294 | Lamping (12-Thread)</t>
  </si>
  <si>
    <t>LPD12066</t>
  </si>
  <si>
    <t>JIYAUL HOQUE</t>
  </si>
  <si>
    <t>LPD12066 | JIYAUL HOQUE</t>
  </si>
  <si>
    <t>OP-0295</t>
  </si>
  <si>
    <t>OP-0295 | Pasting over Divider Gusset &amp; Zip Comp Lining</t>
  </si>
  <si>
    <t>LPD12136</t>
  </si>
  <si>
    <t>JOTHI</t>
  </si>
  <si>
    <t>LPD12136 | JOTHI</t>
  </si>
  <si>
    <t>OP-0296</t>
  </si>
  <si>
    <t>OP-0296 | Attaching Gusset over Zip Compt Lining (2-Nos)</t>
  </si>
  <si>
    <t>LPD12267</t>
  </si>
  <si>
    <t>JOYNAL AHMED</t>
  </si>
  <si>
    <t>LPD12267 | JOYNAL AHMED</t>
  </si>
  <si>
    <t>OP-0297</t>
  </si>
  <si>
    <t>OP-0297 | Pasting over Zip Comp On Both Sides &amp; Kimlon</t>
  </si>
  <si>
    <t>LPD12107</t>
  </si>
  <si>
    <t>JUBEL AKTAR BARBHUIYA</t>
  </si>
  <si>
    <t>LPD12107 | JUBEL AKTAR BARBHUIYA</t>
  </si>
  <si>
    <t>OP-0298</t>
  </si>
  <si>
    <t>OP-0298 | Attaching Kimlon over Zip Comp Lining on Both Sides</t>
  </si>
  <si>
    <t>LPD12287</t>
  </si>
  <si>
    <t>JUNAID HOSSEN MOLLA</t>
  </si>
  <si>
    <t>LPD12287 | JUNAID HOSSEN MOLLA</t>
  </si>
  <si>
    <t>OP-0299</t>
  </si>
  <si>
    <t>OP-0299 | Pasting for Folding Gusset over Lining</t>
  </si>
  <si>
    <t>LPDS95451</t>
  </si>
  <si>
    <t>K ANJALAKSHI</t>
  </si>
  <si>
    <t>LPDS95451 | K ANJALAKSHI</t>
  </si>
  <si>
    <t>OP-0300</t>
  </si>
  <si>
    <t>OP-0300 | Folding Attaching Gusset over Lining (2-Nos)</t>
  </si>
  <si>
    <t>LPDS95671</t>
  </si>
  <si>
    <t>K DEEPALAKSHMI</t>
  </si>
  <si>
    <t>LPDS95671 | K DEEPALAKSHMI</t>
  </si>
  <si>
    <t>OP-0301</t>
  </si>
  <si>
    <t>OP-0301 | Pasting over Zip Comp Center Stay &amp; Zip Comp Case</t>
  </si>
  <si>
    <t>LPD12022</t>
  </si>
  <si>
    <t>K KHURSHEED BANU</t>
  </si>
  <si>
    <t>LPD12022 | K KHURSHEED BANU</t>
  </si>
  <si>
    <t>OP-0302</t>
  </si>
  <si>
    <t>OP-0302 | Attaching Center Stay Case over Zip Comp Shell</t>
  </si>
  <si>
    <t>LPDS95452</t>
  </si>
  <si>
    <t>K KOTEESWARI</t>
  </si>
  <si>
    <t>LPDS95452 | K KOTEESWARI</t>
  </si>
  <si>
    <t>OP-0303</t>
  </si>
  <si>
    <t>OP-0303 | Final Stitching Shell Case (3-Sides)</t>
  </si>
  <si>
    <t>LPD12204</t>
  </si>
  <si>
    <t>K KUMARI</t>
  </si>
  <si>
    <t>LPD12204 | K KUMARI</t>
  </si>
  <si>
    <t>OP-0304</t>
  </si>
  <si>
    <t>OP-0304 | Pasting over Shell Case &amp; Wallet Center Stay</t>
  </si>
  <si>
    <t>LPDS95174</t>
  </si>
  <si>
    <t>K MOHAMMED NADHEEM</t>
  </si>
  <si>
    <t>LPDS95174 | K MOHAMMED NADHEEM</t>
  </si>
  <si>
    <t>OP-0305</t>
  </si>
  <si>
    <t>OP-0305 | Attaching Shell Case over Center Stay</t>
  </si>
  <si>
    <t>LPD12133</t>
  </si>
  <si>
    <t>K PARVEEN BANU</t>
  </si>
  <si>
    <t>LPD12133 | K PARVEEN BANU</t>
  </si>
  <si>
    <t>OP-0306</t>
  </si>
  <si>
    <t>OP-0306 | Stitching CC PKT Center Stay with Zip Case (Half)</t>
  </si>
  <si>
    <t>LPD11986</t>
  </si>
  <si>
    <t>K SHANTHI</t>
  </si>
  <si>
    <t>LPD11986 | K SHANTHI</t>
  </si>
  <si>
    <t>OP-0307</t>
  </si>
  <si>
    <t>OP-0307 | Thread Pull, Pasting &amp; Cutting (1-Nos)</t>
  </si>
  <si>
    <t>LPDS95187</t>
  </si>
  <si>
    <t>K SHEELA</t>
  </si>
  <si>
    <t>LPDS95187 | K SHEELA</t>
  </si>
  <si>
    <t>OP-0308</t>
  </si>
  <si>
    <t>OP-0308 | Lamping (8-Thread)</t>
  </si>
  <si>
    <t>LPD11960</t>
  </si>
  <si>
    <t>K THILAGA</t>
  </si>
  <si>
    <t>LPD11960 | K THILAGA</t>
  </si>
  <si>
    <t>OP-0309</t>
  </si>
  <si>
    <t>OP-0309 | Zip Shell Final EI &amp; Case EI (Top Side)  - Buffing</t>
  </si>
  <si>
    <t>LPDS95186</t>
  </si>
  <si>
    <t>K VASANTHI</t>
  </si>
  <si>
    <t>LPDS95186 | K VASANTHI</t>
  </si>
  <si>
    <t>OP-0310</t>
  </si>
  <si>
    <t>OP-0310 | Zip Shell Final EI &amp; Case EI (Top Side)  - Shell Pressing</t>
  </si>
  <si>
    <t>LPD05789</t>
  </si>
  <si>
    <t>K. BHARATHI</t>
  </si>
  <si>
    <t>LPD05789 | K. BHARATHI</t>
  </si>
  <si>
    <t>OP-0311</t>
  </si>
  <si>
    <t>OP-0311 | Zip Shell Final EI &amp; Case EI (Top Side)  - Primer 1</t>
  </si>
  <si>
    <t>LPD02794</t>
  </si>
  <si>
    <t>K. BHUVANESWARI</t>
  </si>
  <si>
    <t>LPD02794 | K. BHUVANESWARI</t>
  </si>
  <si>
    <t>OP-0312</t>
  </si>
  <si>
    <t>OP-0312 | Zip Shell Final EI &amp; Case EI (Top Side)  - Primer 2</t>
  </si>
  <si>
    <t>LPD08988</t>
  </si>
  <si>
    <t>K. DEEPA</t>
  </si>
  <si>
    <t>LPD08988 | K. DEEPA</t>
  </si>
  <si>
    <t>OP-0313</t>
  </si>
  <si>
    <t>OP-0313 | Zip Shell Final EI &amp; Case EI (Top Side)  - Primer 3</t>
  </si>
  <si>
    <t>LPD09981</t>
  </si>
  <si>
    <t>K. ESWARI</t>
  </si>
  <si>
    <t>LPD09981 | K. ESWARI</t>
  </si>
  <si>
    <t>OP-0314</t>
  </si>
  <si>
    <t>OP-0314 | Zip Shell Final EI &amp; Case EI (Top Side)  - Primer 4</t>
  </si>
  <si>
    <t>LPD09007</t>
  </si>
  <si>
    <t>K. FAIYAZ</t>
  </si>
  <si>
    <t>LPD09007 | K. FAIYAZ</t>
  </si>
  <si>
    <t>OP-0315</t>
  </si>
  <si>
    <t>OP-0315 | Zip Shell Final EI &amp; Case EI (Top Side)  - Dye</t>
  </si>
  <si>
    <t>LPD11650</t>
  </si>
  <si>
    <t>K. FARZANA BEGAM</t>
  </si>
  <si>
    <t>LPD11650 | K. FARZANA BEGAM</t>
  </si>
  <si>
    <t>OP-0316</t>
  </si>
  <si>
    <t>OP-0316 | Label Prep (1-Nos)</t>
  </si>
  <si>
    <t>LPD05690</t>
  </si>
  <si>
    <t>K. HAROON RASHEED</t>
  </si>
  <si>
    <t>LPD05690 | K. HAROON RASHEED</t>
  </si>
  <si>
    <t>OP-0317</t>
  </si>
  <si>
    <t>OP-0317 | Attaching Label over Top Case (1-Nos)</t>
  </si>
  <si>
    <t>LPD10818</t>
  </si>
  <si>
    <t>K. IBRAHIM BASHA</t>
  </si>
  <si>
    <t>LPD10818 | K. IBRAHIM BASHA</t>
  </si>
  <si>
    <t>OP-0318</t>
  </si>
  <si>
    <t>OP-0318 | Pasting on Top &amp; Case (3-Sides)</t>
  </si>
  <si>
    <t>LPD08251</t>
  </si>
  <si>
    <t>K. JAYANTHI</t>
  </si>
  <si>
    <t>LPD08251 | K. JAYANTHI</t>
  </si>
  <si>
    <t>OP-0319</t>
  </si>
  <si>
    <t>OP-0319 | Final Attaching of MD Billfold Zip CN Wallet</t>
  </si>
  <si>
    <t>LPD09076</t>
  </si>
  <si>
    <t>K. KOMATHI</t>
  </si>
  <si>
    <t>LPD09076 | K. KOMATHI</t>
  </si>
  <si>
    <t>OP-0320</t>
  </si>
  <si>
    <t>OP-0320 | Final Stitching of Md Bifld Zip CN Wallet Shell Side</t>
  </si>
  <si>
    <t>LPD10019</t>
  </si>
  <si>
    <t>K. LAKSHMI</t>
  </si>
  <si>
    <t>LPD10019 | K. LAKSHMI</t>
  </si>
  <si>
    <t>OP-0321</t>
  </si>
  <si>
    <t>OP-0321 | Cleaning of Zip Coin Wallet</t>
  </si>
  <si>
    <t>LPD07672</t>
  </si>
  <si>
    <t>K. LATHA</t>
  </si>
  <si>
    <t>LPD07672 | K. LATHA</t>
  </si>
  <si>
    <t>OP-0322</t>
  </si>
  <si>
    <t>OP-0322 | Puller Fixing (1-No)</t>
  </si>
  <si>
    <t>LPD09189</t>
  </si>
  <si>
    <t>K. LAVANYA</t>
  </si>
  <si>
    <t>LPD09189 | K. LAVANYA</t>
  </si>
  <si>
    <t>OP-0323</t>
  </si>
  <si>
    <t>OP-0323 | Final Shapping of Md Bifld Zip CN Wallet</t>
  </si>
  <si>
    <t>LPD06407</t>
  </si>
  <si>
    <t>K. MALINI</t>
  </si>
  <si>
    <t>LPD06407 | K. MALINI</t>
  </si>
  <si>
    <t>LPD06002</t>
  </si>
  <si>
    <t>K. NADHIYA</t>
  </si>
  <si>
    <t>LPD06002 | K. NADHIYA</t>
  </si>
  <si>
    <t>LPD08667</t>
  </si>
  <si>
    <t>K. NEEVETHA</t>
  </si>
  <si>
    <t>LPD08667 | K. NEEVETHA</t>
  </si>
  <si>
    <t>LPD08541</t>
  </si>
  <si>
    <t>K. PUNITHA</t>
  </si>
  <si>
    <t>LPD08541 | K. PUNITHA</t>
  </si>
  <si>
    <t>LPD08011</t>
  </si>
  <si>
    <t>K. PUSHPA</t>
  </si>
  <si>
    <t>LPD08011 | K. PUSHPA</t>
  </si>
  <si>
    <t>LPD05936</t>
  </si>
  <si>
    <t>K. SANGEETHA</t>
  </si>
  <si>
    <t>LPD05936 | K. SANGEETHA</t>
  </si>
  <si>
    <t>LPD11464</t>
  </si>
  <si>
    <t>K. SARITHA</t>
  </si>
  <si>
    <t>LPD11464 | K. SARITHA</t>
  </si>
  <si>
    <t>LPD10074</t>
  </si>
  <si>
    <t>LPD10074 | K. SARITHA</t>
  </si>
  <si>
    <t>LPD10967</t>
  </si>
  <si>
    <t>K. SHANTHI</t>
  </si>
  <si>
    <t>LPD10967 | K. SHANTHI</t>
  </si>
  <si>
    <t>LPD10900</t>
  </si>
  <si>
    <t>K. SUMITHRA</t>
  </si>
  <si>
    <t>LPD10900 | K. SUMITHRA</t>
  </si>
  <si>
    <t>LPD10879</t>
  </si>
  <si>
    <t>K. THAGIRA BANU</t>
  </si>
  <si>
    <t>LPD10879 | K. THAGIRA BANU</t>
  </si>
  <si>
    <t>LPD04950</t>
  </si>
  <si>
    <t>K. VIJAYALAKSHMI</t>
  </si>
  <si>
    <t>LPD04950 | K. VIJAYALAKSHMI</t>
  </si>
  <si>
    <t>LPD04470</t>
  </si>
  <si>
    <t>K.K. AZHAR AHMED</t>
  </si>
  <si>
    <t>LPD04470 | K.K. AZHAR AHMED</t>
  </si>
  <si>
    <t>LPD08455</t>
  </si>
  <si>
    <t>K.S. SABEEHA SULTHANA</t>
  </si>
  <si>
    <t>LPD08455 | K.S. SABEEHA SULTHANA</t>
  </si>
  <si>
    <t>LPDS94770</t>
  </si>
  <si>
    <t>KADAR SHARIF H</t>
  </si>
  <si>
    <t>LPDS94770 | KADAR SHARIF H</t>
  </si>
  <si>
    <t>LPD11420</t>
  </si>
  <si>
    <t>KALPANA</t>
  </si>
  <si>
    <t>LPD11420 | KALPANA</t>
  </si>
  <si>
    <t>LPD08513</t>
  </si>
  <si>
    <t>KANCHANA</t>
  </si>
  <si>
    <t>LPD08513 | KANCHANA</t>
  </si>
  <si>
    <t>LPD11746</t>
  </si>
  <si>
    <t>LPD11746 | KANCHANA</t>
  </si>
  <si>
    <t>LPD11221</t>
  </si>
  <si>
    <t>KANIMOZHI</t>
  </si>
  <si>
    <t>LPD11221 | KANIMOZHI</t>
  </si>
  <si>
    <t>LPDS95411</t>
  </si>
  <si>
    <t>KANNIKAI MARY</t>
  </si>
  <si>
    <t>LPDS95411 | KANNIKAI MARY</t>
  </si>
  <si>
    <t>LPD10999</t>
  </si>
  <si>
    <t>KARISHMA</t>
  </si>
  <si>
    <t>LPD10999 | KARISHMA</t>
  </si>
  <si>
    <t>LPD10127</t>
  </si>
  <si>
    <t>KASTHURI</t>
  </si>
  <si>
    <t>LPD10127 | KASTHURI</t>
  </si>
  <si>
    <t>LPDS95785</t>
  </si>
  <si>
    <t>KAVITHA RAJESH</t>
  </si>
  <si>
    <t>LPDS95785 | KAVITHA RAJESH</t>
  </si>
  <si>
    <t>LPDS95714</t>
  </si>
  <si>
    <t>KAVITHA SURESH</t>
  </si>
  <si>
    <t>LPDS95714 | KAVITHA SURESH</t>
  </si>
  <si>
    <t>LPD11937</t>
  </si>
  <si>
    <t>KHURSID ALI MOLLA</t>
  </si>
  <si>
    <t>LPD11937 | KHURSID ALI MOLLA</t>
  </si>
  <si>
    <t>LPD09589</t>
  </si>
  <si>
    <t>KOUSALYA</t>
  </si>
  <si>
    <t>LPD09589 | KOUSALYA</t>
  </si>
  <si>
    <t>LPD07728</t>
  </si>
  <si>
    <t>KUDIMA</t>
  </si>
  <si>
    <t>LPD07728 | KUDIMA</t>
  </si>
  <si>
    <t>LPD10907</t>
  </si>
  <si>
    <t>L. SYED RASOOL</t>
  </si>
  <si>
    <t>LPD10907 | L. SYED RASOOL</t>
  </si>
  <si>
    <t>LPD10436</t>
  </si>
  <si>
    <t>LAKSHMI</t>
  </si>
  <si>
    <t>LPD10436 | LAKSHMI</t>
  </si>
  <si>
    <t>LPD09633</t>
  </si>
  <si>
    <t>LPD09633 | LAKSHMI</t>
  </si>
  <si>
    <t>LPDS95725</t>
  </si>
  <si>
    <t>LAKSHMI JANAGIRAMAN</t>
  </si>
  <si>
    <t>LPDS95725 | LAKSHMI JANAGIRAMAN</t>
  </si>
  <si>
    <t>LPD07997</t>
  </si>
  <si>
    <t>LATHA</t>
  </si>
  <si>
    <t>LPD07997 | LATHA</t>
  </si>
  <si>
    <t>LPD11294</t>
  </si>
  <si>
    <t>LUTHFUR RAHMAN</t>
  </si>
  <si>
    <t>LPD11294 | LUTHFUR RAHMAN</t>
  </si>
  <si>
    <t>LPDS95702</t>
  </si>
  <si>
    <t>M DILSHATH</t>
  </si>
  <si>
    <t>LPDS95702 | M DILSHATH</t>
  </si>
  <si>
    <t>LPDS95656</t>
  </si>
  <si>
    <t>M ESWARI</t>
  </si>
  <si>
    <t>LPDS95656 | M ESWARI</t>
  </si>
  <si>
    <t>LPDS95786</t>
  </si>
  <si>
    <t>M JARINA</t>
  </si>
  <si>
    <t>LPDS95786 | M JARINA</t>
  </si>
  <si>
    <t>LPDS95755</t>
  </si>
  <si>
    <t>M KALAIVANI</t>
  </si>
  <si>
    <t>LPDS95755 | M KALAIVANI</t>
  </si>
  <si>
    <t>LPDS95399</t>
  </si>
  <si>
    <t>M KAVITHA</t>
  </si>
  <si>
    <t>LPDS95399 | M KAVITHA</t>
  </si>
  <si>
    <t>LPDS94962</t>
  </si>
  <si>
    <t>M MEHRAJ</t>
  </si>
  <si>
    <t>LPDS94962 | M MEHRAJ</t>
  </si>
  <si>
    <t>LPDS95022</t>
  </si>
  <si>
    <t>M THAMEEM BASHA</t>
  </si>
  <si>
    <t>LPDS95022 | M THAMEEM BASHA</t>
  </si>
  <si>
    <t>LPDS95481</t>
  </si>
  <si>
    <t>M UMA</t>
  </si>
  <si>
    <t>LPDS95481 | M UMA</t>
  </si>
  <si>
    <t>LPD09977</t>
  </si>
  <si>
    <t>M. ABDUL GANI SHARIF</t>
  </si>
  <si>
    <t>LPD09977 | M. ABDUL GANI SHARIF</t>
  </si>
  <si>
    <t>LPD11349</t>
  </si>
  <si>
    <t>M. AMBIKA</t>
  </si>
  <si>
    <t>LPD11349 | M. AMBIKA</t>
  </si>
  <si>
    <t>LPD06518</t>
  </si>
  <si>
    <t>M. ANITHA</t>
  </si>
  <si>
    <t>LPD06518 | M. ANITHA</t>
  </si>
  <si>
    <t>LPD08982</t>
  </si>
  <si>
    <t>M. APSANA</t>
  </si>
  <si>
    <t>LPD08982 | M. APSANA</t>
  </si>
  <si>
    <t>LPD11765</t>
  </si>
  <si>
    <t>M. BANU</t>
  </si>
  <si>
    <t>LPD11765 | M. BANU</t>
  </si>
  <si>
    <t>LPD05776</t>
  </si>
  <si>
    <t>M. DEVI</t>
  </si>
  <si>
    <t>LPD05776 | M. DEVI</t>
  </si>
  <si>
    <t>LPD11150</t>
  </si>
  <si>
    <t>LPD11150 | M. DEVI</t>
  </si>
  <si>
    <t>LPD11605</t>
  </si>
  <si>
    <t>M. FATHIMA</t>
  </si>
  <si>
    <t>LPD11605 | M. FATHIMA</t>
  </si>
  <si>
    <t>LPD08631</t>
  </si>
  <si>
    <t>M. GANDHIMATHI</t>
  </si>
  <si>
    <t>LPD08631 | M. GANDHIMATHI</t>
  </si>
  <si>
    <t>LPD10365</t>
  </si>
  <si>
    <t>M. GEETHA</t>
  </si>
  <si>
    <t>LPD10365 | M. GEETHA</t>
  </si>
  <si>
    <t>LPD10197</t>
  </si>
  <si>
    <t>M. GIRIJA</t>
  </si>
  <si>
    <t>LPD10197 | M. GIRIJA</t>
  </si>
  <si>
    <t>LPD05609</t>
  </si>
  <si>
    <t>M. GOWRI</t>
  </si>
  <si>
    <t>LPD05609 | M. GOWRI</t>
  </si>
  <si>
    <t>LPD12240</t>
  </si>
  <si>
    <t>M. HAJIRA</t>
  </si>
  <si>
    <t>LPD12240 | M. HAJIRA</t>
  </si>
  <si>
    <t>LPD10151</t>
  </si>
  <si>
    <t>M. HEERA BANU</t>
  </si>
  <si>
    <t>LPD10151 | M. HEERA BANU</t>
  </si>
  <si>
    <t>LPD11255</t>
  </si>
  <si>
    <t>M. IBRAHIM</t>
  </si>
  <si>
    <t>LPD11255 | M. IBRAHIM</t>
  </si>
  <si>
    <t>LPD10183</t>
  </si>
  <si>
    <t>M. KALAIMATHI</t>
  </si>
  <si>
    <t>LPD10183 | M. KALAIMATHI</t>
  </si>
  <si>
    <t>LPD10472</t>
  </si>
  <si>
    <t>M. KAMALEESWARI</t>
  </si>
  <si>
    <t>LPD10472 | M. KAMALEESWARI</t>
  </si>
  <si>
    <t>LPD11457</t>
  </si>
  <si>
    <t>M. KANEESH JAHARA</t>
  </si>
  <si>
    <t>LPD11457 | M. KANEESH JAHARA</t>
  </si>
  <si>
    <t>LPD08676</t>
  </si>
  <si>
    <t>M. KASEEP</t>
  </si>
  <si>
    <t>LPD08676 | M. KASEEP</t>
  </si>
  <si>
    <t>LPD08346</t>
  </si>
  <si>
    <t>M. KHADAR BEE</t>
  </si>
  <si>
    <t>LPD08346 | M. KHADAR BEE</t>
  </si>
  <si>
    <t>LPD11288</t>
  </si>
  <si>
    <t>M. LAEEQ AHMED</t>
  </si>
  <si>
    <t>LPD11288 | M. LAEEQ AHMED</t>
  </si>
  <si>
    <t>LPD02752</t>
  </si>
  <si>
    <t>M. LATHA</t>
  </si>
  <si>
    <t>LPD02752 | M. LATHA</t>
  </si>
  <si>
    <t>LPD10050</t>
  </si>
  <si>
    <t>M. MAGESHWARI</t>
  </si>
  <si>
    <t>LPD10050 | M. MAGESHWARI</t>
  </si>
  <si>
    <t>LPD11287</t>
  </si>
  <si>
    <t>M. MOHAMMED IMRAN</t>
  </si>
  <si>
    <t>LPD11287 | M. MOHAMMED IMRAN</t>
  </si>
  <si>
    <t>LPD08142</t>
  </si>
  <si>
    <t>M. MUMTAJ</t>
  </si>
  <si>
    <t>LPD08142 | M. MUMTAJ</t>
  </si>
  <si>
    <t>LPD10426</t>
  </si>
  <si>
    <t>M. MUZAMMIL AHAMED</t>
  </si>
  <si>
    <t>LPD10426 | M. MUZAMMIL AHAMED</t>
  </si>
  <si>
    <t>LPD08905</t>
  </si>
  <si>
    <t>M. NEELA</t>
  </si>
  <si>
    <t>LPD08905 | M. NEELA</t>
  </si>
  <si>
    <t>LPD07870</t>
  </si>
  <si>
    <t>M. NIROSHA</t>
  </si>
  <si>
    <t>LPD07870 | M. NIROSHA</t>
  </si>
  <si>
    <t>LPD04943</t>
  </si>
  <si>
    <t>M. NOORJAHAN</t>
  </si>
  <si>
    <t>LPD04943 | M. NOORJAHAN</t>
  </si>
  <si>
    <t>LPD11066</t>
  </si>
  <si>
    <t>M. PARVEZ</t>
  </si>
  <si>
    <t>LPD11066 | M. PARVEZ</t>
  </si>
  <si>
    <t>LPD10316</t>
  </si>
  <si>
    <t>M. POONGODI</t>
  </si>
  <si>
    <t>LPD10316 | M. POONGODI</t>
  </si>
  <si>
    <t>LPD11448</t>
  </si>
  <si>
    <t>M. RAJESHWARI</t>
  </si>
  <si>
    <t>LPD11448 | M. RAJESHWARI</t>
  </si>
  <si>
    <t>LPD10078</t>
  </si>
  <si>
    <t>M. RAMYA</t>
  </si>
  <si>
    <t>LPD10078 | M. RAMYA</t>
  </si>
  <si>
    <t>LPD08356</t>
  </si>
  <si>
    <t>M. REVATHI</t>
  </si>
  <si>
    <t>LPD08356 | M. REVATHI</t>
  </si>
  <si>
    <t>LPD11183</t>
  </si>
  <si>
    <t>M. RIZWANA</t>
  </si>
  <si>
    <t>LPD11183 | M. RIZWANA</t>
  </si>
  <si>
    <t>LPD11784</t>
  </si>
  <si>
    <t>M. SAMUNDEESWARI</t>
  </si>
  <si>
    <t>LPD11784 | M. SAMUNDEESWARI</t>
  </si>
  <si>
    <t>LPD09013</t>
  </si>
  <si>
    <t>M. SANGEETHA</t>
  </si>
  <si>
    <t>LPD09013 | M. SANGEETHA</t>
  </si>
  <si>
    <t>LPD02281</t>
  </si>
  <si>
    <t>M. SARALA</t>
  </si>
  <si>
    <t>LPD02281 | M. SARALA</t>
  </si>
  <si>
    <t>LPD11512</t>
  </si>
  <si>
    <t>M. SARANYA</t>
  </si>
  <si>
    <t>LPD11512 | M. SARANYA</t>
  </si>
  <si>
    <t>LPD10321</t>
  </si>
  <si>
    <t>LPD10321 | M. SARANYA</t>
  </si>
  <si>
    <t>LPD09568</t>
  </si>
  <si>
    <t>M. SATHIYA</t>
  </si>
  <si>
    <t>LPD09568 | M. SATHIYA</t>
  </si>
  <si>
    <t>LPD07556</t>
  </si>
  <si>
    <t>M. SHABANA BEGUM</t>
  </si>
  <si>
    <t>LPD07556 | M. SHABANA BEGUM</t>
  </si>
  <si>
    <t>LPD11647</t>
  </si>
  <si>
    <t>M. SHAN BEE</t>
  </si>
  <si>
    <t>LPD11647 | M. SHAN BEE</t>
  </si>
  <si>
    <t>LPD03119</t>
  </si>
  <si>
    <t>M. SHANTHI</t>
  </si>
  <si>
    <t>LPD03119 | M. SHANTHI</t>
  </si>
  <si>
    <t>LPD09670</t>
  </si>
  <si>
    <t>M. SIDDIQUA</t>
  </si>
  <si>
    <t>LPD09670 | M. SIDDIQUA</t>
  </si>
  <si>
    <t>LPD11770</t>
  </si>
  <si>
    <t>M. SIDDIQUE</t>
  </si>
  <si>
    <t>LPD11770 | M. SIDDIQUE</t>
  </si>
  <si>
    <t>LPD07162</t>
  </si>
  <si>
    <t>M. SUJATHA</t>
  </si>
  <si>
    <t>LPD07162 | M. SUJATHA</t>
  </si>
  <si>
    <t>LPD09988</t>
  </si>
  <si>
    <t>M. SUMATHI</t>
  </si>
  <si>
    <t>LPD09988 | M. SUMATHI</t>
  </si>
  <si>
    <t>LPD10114</t>
  </si>
  <si>
    <t>M. TAMIL SELVI</t>
  </si>
  <si>
    <t>LPD10114 | M. TAMIL SELVI</t>
  </si>
  <si>
    <t>LPD10063</t>
  </si>
  <si>
    <t>M. TAMILSELVI</t>
  </si>
  <si>
    <t>LPD10063 | M. TAMILSELVI</t>
  </si>
  <si>
    <t>LPD09393</t>
  </si>
  <si>
    <t>M. USHA RANI</t>
  </si>
  <si>
    <t>LPD09393 | M. USHA RANI</t>
  </si>
  <si>
    <t>LPD09441</t>
  </si>
  <si>
    <t>M. VIJAYALAKSHMI</t>
  </si>
  <si>
    <t>LPD09441 | M. VIJAYALAKSHMI</t>
  </si>
  <si>
    <t>LPD11279</t>
  </si>
  <si>
    <t>M. ZEHRA</t>
  </si>
  <si>
    <t>LPD11279 | M. ZEHRA</t>
  </si>
  <si>
    <t>LPDS95433</t>
  </si>
  <si>
    <t>MADHUMITHA VINOTH KUMAR</t>
  </si>
  <si>
    <t>LPDS95433 | MADHUMITHA VINOTH KUMAR</t>
  </si>
  <si>
    <t>LPD11307</t>
  </si>
  <si>
    <t>MAHABUF BASHA</t>
  </si>
  <si>
    <t>LPD11307 | MAHABUF BASHA</t>
  </si>
  <si>
    <t>LPD11204</t>
  </si>
  <si>
    <t>MAHALAKSHMI</t>
  </si>
  <si>
    <t>LPD11204 | MAHALAKSHMI</t>
  </si>
  <si>
    <t>LPD08106</t>
  </si>
  <si>
    <t>MAHESWARI</t>
  </si>
  <si>
    <t>LPD08106 | MAHESWARI</t>
  </si>
  <si>
    <t>LPD08301</t>
  </si>
  <si>
    <t>MALATHI</t>
  </si>
  <si>
    <t>LPD08301 | MALATHI</t>
  </si>
  <si>
    <t>LPD08552</t>
  </si>
  <si>
    <t>MANIMEGALAI</t>
  </si>
  <si>
    <t>LPD08552 | MANIMEGALAI</t>
  </si>
  <si>
    <t>LPD10534</t>
  </si>
  <si>
    <t>MANIRUL GAZI</t>
  </si>
  <si>
    <t>LPD10534 | MANIRUL GAZI</t>
  </si>
  <si>
    <t>LPD12228</t>
  </si>
  <si>
    <t>MASIBUR MOLLA</t>
  </si>
  <si>
    <t>LPD12228 | MASIBUR MOLLA</t>
  </si>
  <si>
    <t>LPD12109</t>
  </si>
  <si>
    <t>MASTAKIN SARDAR</t>
  </si>
  <si>
    <t>LPD12109 | MASTAKIN SARDAR</t>
  </si>
  <si>
    <t>LPD12231</t>
  </si>
  <si>
    <t>MASUM AHMED</t>
  </si>
  <si>
    <t>LPD12231 | MASUM AHMED</t>
  </si>
  <si>
    <t>LPDS95789</t>
  </si>
  <si>
    <t>MD ASLAM</t>
  </si>
  <si>
    <t>LPDS95789 | MD ASLAM</t>
  </si>
  <si>
    <t>LPD12285</t>
  </si>
  <si>
    <t>MD ISMAIL</t>
  </si>
  <si>
    <t>LPD12285 | MD ISMAIL</t>
  </si>
  <si>
    <t>LPD12257</t>
  </si>
  <si>
    <t>MD MAHABUB</t>
  </si>
  <si>
    <t>LPD12257 | MD MAHABUB</t>
  </si>
  <si>
    <t>LPD12234</t>
  </si>
  <si>
    <t>MD MIRJAD KHAN</t>
  </si>
  <si>
    <t>LPD12234 | MD MIRJAD KHAN</t>
  </si>
  <si>
    <t>LPD11892</t>
  </si>
  <si>
    <t>MD MONAZIR</t>
  </si>
  <si>
    <t>LPD11892 | MD MONAZIR</t>
  </si>
  <si>
    <t>LPD12189</t>
  </si>
  <si>
    <t>MD NAJM UDDIN</t>
  </si>
  <si>
    <t>LPD12189 | MD NAJM UDDIN</t>
  </si>
  <si>
    <t>LPD12244</t>
  </si>
  <si>
    <t>MD PARBEJ</t>
  </si>
  <si>
    <t>LPD12244 | MD PARBEJ</t>
  </si>
  <si>
    <t>LPD11916</t>
  </si>
  <si>
    <t>MD RAKIB</t>
  </si>
  <si>
    <t>LPD11916 | MD RAKIB</t>
  </si>
  <si>
    <t>LPD12259</t>
  </si>
  <si>
    <t>MD SAIF ALI</t>
  </si>
  <si>
    <t>LPD12259 | MD SAIF ALI</t>
  </si>
  <si>
    <t>LPD12175</t>
  </si>
  <si>
    <t>MD TANBEER</t>
  </si>
  <si>
    <t>LPD12175 | MD TANBEER</t>
  </si>
  <si>
    <t>LPD10593</t>
  </si>
  <si>
    <t>MD ZIYAUL HAQUE</t>
  </si>
  <si>
    <t>LPD10593 | MD ZIYAUL HAQUE</t>
  </si>
  <si>
    <t>LPD10983</t>
  </si>
  <si>
    <t>MD. ABUTALIB</t>
  </si>
  <si>
    <t>LPD10983 | MD. ABUTALIB</t>
  </si>
  <si>
    <t>LPD11278</t>
  </si>
  <si>
    <t>MD. INTAKHAB</t>
  </si>
  <si>
    <t>LPD11278 | MD. INTAKHAB</t>
  </si>
  <si>
    <t>LPD10638</t>
  </si>
  <si>
    <t>MD. NAHAGIR</t>
  </si>
  <si>
    <t>LPD10638 | MD. NAHAGIR</t>
  </si>
  <si>
    <t>LPD11618</t>
  </si>
  <si>
    <t>MD. NASIM</t>
  </si>
  <si>
    <t>LPD11618 | MD. NASIM</t>
  </si>
  <si>
    <t>LPD10602</t>
  </si>
  <si>
    <t>MD. NIJAM</t>
  </si>
  <si>
    <t>LPD10602 | MD. NIJAM</t>
  </si>
  <si>
    <t>LPD10828</t>
  </si>
  <si>
    <t>MD. SHAHJADA</t>
  </si>
  <si>
    <t>LPD10828 | MD. SHAHJADA</t>
  </si>
  <si>
    <t>LPD10281</t>
  </si>
  <si>
    <t>MD. SHAMIM AHAMAD</t>
  </si>
  <si>
    <t>LPD10281 | MD. SHAMIM AHAMAD</t>
  </si>
  <si>
    <t>LPD11532</t>
  </si>
  <si>
    <t>MD. TANVEER</t>
  </si>
  <si>
    <t>LPD11532 | MD. TANVEER</t>
  </si>
  <si>
    <t>LPD11608</t>
  </si>
  <si>
    <t>MEENA</t>
  </si>
  <si>
    <t>LPD11608 | MEENA</t>
  </si>
  <si>
    <t>LPD10053</t>
  </si>
  <si>
    <t>LPD10053 | MEENA</t>
  </si>
  <si>
    <t>LPD12238</t>
  </si>
  <si>
    <t>MEENA S</t>
  </si>
  <si>
    <t>LPD12238 | MEENA S</t>
  </si>
  <si>
    <t>LPD07502</t>
  </si>
  <si>
    <t>MEENAKSHI</t>
  </si>
  <si>
    <t>LPD07502 | MEENAKSHI</t>
  </si>
  <si>
    <t>LPD11948</t>
  </si>
  <si>
    <t>MEHERAB MOLLA</t>
  </si>
  <si>
    <t>LPD11948 | MEHERAB MOLLA</t>
  </si>
  <si>
    <t>LPD12280</t>
  </si>
  <si>
    <t>MIJANUR GAZI</t>
  </si>
  <si>
    <t>LPD12280 | MIJANUR GAZI</t>
  </si>
  <si>
    <t>LPD12122</t>
  </si>
  <si>
    <t>MIRAJ ALI MOLYA</t>
  </si>
  <si>
    <t>LPD12122 | MIRAJ ALI MOLYA</t>
  </si>
  <si>
    <t>LPDS94955</t>
  </si>
  <si>
    <t>MISBATAJ AMJATHKHAN</t>
  </si>
  <si>
    <t>LPDS94955 | MISBATAJ AMJATHKHAN</t>
  </si>
  <si>
    <t>LPDS95546</t>
  </si>
  <si>
    <t>MOHAMED IMRAN ABUBAKER</t>
  </si>
  <si>
    <t>LPDS95546 | MOHAMED IMRAN ABUBAKER</t>
  </si>
  <si>
    <t>LPD11039</t>
  </si>
  <si>
    <t>MOHAMMAD EJAJ ALAM</t>
  </si>
  <si>
    <t>LPD11039 | MOHAMMAD EJAJ ALAM</t>
  </si>
  <si>
    <t>LPDS95793</t>
  </si>
  <si>
    <t>MOHAMMAD IRSAD</t>
  </si>
  <si>
    <t>LPDS95793 | MOHAMMAD IRSAD</t>
  </si>
  <si>
    <t>LPD12211</t>
  </si>
  <si>
    <t>MOHAMMAD SAHEB</t>
  </si>
  <si>
    <t>LPD12211 | MOHAMMAD SAHEB</t>
  </si>
  <si>
    <t>LPD11314</t>
  </si>
  <si>
    <t>MOHAMMED ILIYAS</t>
  </si>
  <si>
    <t>LPD11314 | MOHAMMED ILIYAS</t>
  </si>
  <si>
    <t>LPD10250</t>
  </si>
  <si>
    <t>MOHAMMED IRFAAN</t>
  </si>
  <si>
    <t>LPD10250 | MOHAMMED IRFAAN</t>
  </si>
  <si>
    <t>LPD10092</t>
  </si>
  <si>
    <t>MOHAMMED SHARIQUE FOUZAN</t>
  </si>
  <si>
    <t>LPD10092 | MOHAMMED SHARIQUE FOUZAN</t>
  </si>
  <si>
    <t>LPDS95359</t>
  </si>
  <si>
    <t>MOHAMMED ZAIBAS M</t>
  </si>
  <si>
    <t>LPDS95359 | MOHAMMED ZAIBAS M</t>
  </si>
  <si>
    <t>LPD12165</t>
  </si>
  <si>
    <t>MOSARAF MOLLA</t>
  </si>
  <si>
    <t>LPD12165 | MOSARAF MOLLA</t>
  </si>
  <si>
    <t>LPD07617</t>
  </si>
  <si>
    <t>MUBARAK BASHA</t>
  </si>
  <si>
    <t>LPD07617 | MUBARAK BASHA</t>
  </si>
  <si>
    <t>LPD11459</t>
  </si>
  <si>
    <t>MUBEENA BANU</t>
  </si>
  <si>
    <t>LPD11459 | MUBEENA BANU</t>
  </si>
  <si>
    <t>LPDS95521</t>
  </si>
  <si>
    <t>MUBINA</t>
  </si>
  <si>
    <t>LPDS95521 | MUBINA</t>
  </si>
  <si>
    <t>LPD10255</t>
  </si>
  <si>
    <t>MUGINA</t>
  </si>
  <si>
    <t>LPD10255 | MUGINA</t>
  </si>
  <si>
    <t>LPD12009</t>
  </si>
  <si>
    <t>MUKITUR RAHMAN</t>
  </si>
  <si>
    <t>LPD12009 | MUKITUR RAHMAN</t>
  </si>
  <si>
    <t>LPDS95710</t>
  </si>
  <si>
    <t>MUSKAN BANU</t>
  </si>
  <si>
    <t>LPDS95710 | MUSKAN BANU</t>
  </si>
  <si>
    <t>LPDS95709</t>
  </si>
  <si>
    <t>N HEENA</t>
  </si>
  <si>
    <t>LPDS95709 | N HEENA</t>
  </si>
  <si>
    <t>LPD10727</t>
  </si>
  <si>
    <t>N. CHAND BASHA</t>
  </si>
  <si>
    <t>LPD10727 | N. CHAND BASHA</t>
  </si>
  <si>
    <t>LPD10783</t>
  </si>
  <si>
    <t>N. FAHMIDA</t>
  </si>
  <si>
    <t>LPD10783 | N. FAHMIDA</t>
  </si>
  <si>
    <t>LPD11093</t>
  </si>
  <si>
    <t>N. FAHMIDA BANU</t>
  </si>
  <si>
    <t>LPD11093 | N. FAHMIDA BANU</t>
  </si>
  <si>
    <t>LPD10247</t>
  </si>
  <si>
    <t>N. HADI BASHA</t>
  </si>
  <si>
    <t>LPD10247 | N. HADI BASHA</t>
  </si>
  <si>
    <t>LPD10916</t>
  </si>
  <si>
    <t>N. JAYACHITRA</t>
  </si>
  <si>
    <t>LPD10916 | N. JAYACHITRA</t>
  </si>
  <si>
    <t>LPDS95747</t>
  </si>
  <si>
    <t>N. JUNITH KHAN</t>
  </si>
  <si>
    <t>LPDS95747 | N. JUNITH KHAN</t>
  </si>
  <si>
    <t>LPD06058</t>
  </si>
  <si>
    <t>N. KALAIVANI</t>
  </si>
  <si>
    <t>LPD06058 | N. KALAIVANI</t>
  </si>
  <si>
    <t>LPD05412</t>
  </si>
  <si>
    <t>N. KHALEEL AHMED</t>
  </si>
  <si>
    <t>LPD05412 | N. KHALEEL AHMED</t>
  </si>
  <si>
    <t>LPD11022</t>
  </si>
  <si>
    <t>N. KOUSAR</t>
  </si>
  <si>
    <t>LPD11022 | N. KOUSAR</t>
  </si>
  <si>
    <t>LPD07671</t>
  </si>
  <si>
    <t>N. MUMTAJ BEGUM</t>
  </si>
  <si>
    <t>LPD07671 | N. MUMTAJ BEGUM</t>
  </si>
  <si>
    <t>LPD11493</t>
  </si>
  <si>
    <t>N. REEHU ANJUM</t>
  </si>
  <si>
    <t>LPD11493 | N. REEHU ANJUM</t>
  </si>
  <si>
    <t>LPD07622</t>
  </si>
  <si>
    <t>N. SUGUNA</t>
  </si>
  <si>
    <t>LPD07622 | N. SUGUNA</t>
  </si>
  <si>
    <t>LPDS95741</t>
  </si>
  <si>
    <t>N. SUMITHRA</t>
  </si>
  <si>
    <t>LPDS95741 | N. SUMITHRA</t>
  </si>
  <si>
    <t>LPDS95640</t>
  </si>
  <si>
    <t>NADHIYA D</t>
  </si>
  <si>
    <t>LPDS95640 | NADHIYA D</t>
  </si>
  <si>
    <t>LPD07631</t>
  </si>
  <si>
    <t>NAGAMMA</t>
  </si>
  <si>
    <t>LPD07631 | NAGAMMA</t>
  </si>
  <si>
    <t>LPDS95652</t>
  </si>
  <si>
    <t>NAGAVALLI APPAVU</t>
  </si>
  <si>
    <t>LPDS95652 | NAGAVALLI APPAVU</t>
  </si>
  <si>
    <t>LPD12118</t>
  </si>
  <si>
    <t>NAJIMUL MOLLA</t>
  </si>
  <si>
    <t>LPD12118 | NAJIMUL MOLLA</t>
  </si>
  <si>
    <t>LPD11690</t>
  </si>
  <si>
    <t>NANDHINI</t>
  </si>
  <si>
    <t>LPD11690 | NANDHINI</t>
  </si>
  <si>
    <t>LPDS95470</t>
  </si>
  <si>
    <t>NANDHINI KAMALADHASAN</t>
  </si>
  <si>
    <t>LPDS95470 | NANDHINI KAMALADHASAN</t>
  </si>
  <si>
    <t>LPDS95685</t>
  </si>
  <si>
    <t>NANDHINI VENGATESAN</t>
  </si>
  <si>
    <t>LPDS95685 | NANDHINI VENGATESAN</t>
  </si>
  <si>
    <t>LPDS95634</t>
  </si>
  <si>
    <t>NASEEMA S</t>
  </si>
  <si>
    <t>LPDS95634 | NASEEMA S</t>
  </si>
  <si>
    <t>LPDS94983</t>
  </si>
  <si>
    <t>NASHEEMA</t>
  </si>
  <si>
    <t>LPDS94983 | NASHEEMA</t>
  </si>
  <si>
    <t>LPD12203</t>
  </si>
  <si>
    <t>NASREEN S</t>
  </si>
  <si>
    <t>LPD12203 | NASREEN S</t>
  </si>
  <si>
    <t>LPDS95673</t>
  </si>
  <si>
    <t>NASRIN A</t>
  </si>
  <si>
    <t>LPDS95673 | NASRIN A</t>
  </si>
  <si>
    <t>LPDS94961</t>
  </si>
  <si>
    <t>NASRIN AYYUB</t>
  </si>
  <si>
    <t>LPDS94961 | NASRIN AYYUB</t>
  </si>
  <si>
    <t>LPDS95430</t>
  </si>
  <si>
    <t>NAVEEN TAJ</t>
  </si>
  <si>
    <t>LPDS95430 | NAVEEN TAJ</t>
  </si>
  <si>
    <t>LPDS95167</t>
  </si>
  <si>
    <t>NAWAZ NOORUDEEN</t>
  </si>
  <si>
    <t>LPDS95167 | NAWAZ NOORUDEEN</t>
  </si>
  <si>
    <t>LPD12184</t>
  </si>
  <si>
    <t>NAZMUL HUSSAIN</t>
  </si>
  <si>
    <t>LPD12184 | NAZMUL HUSSAIN</t>
  </si>
  <si>
    <t>LPDS94697</t>
  </si>
  <si>
    <t>NITHYA D</t>
  </si>
  <si>
    <t>LPDS94697 | NITHYA D</t>
  </si>
  <si>
    <t>LPD12272</t>
  </si>
  <si>
    <t>NUR ALAM MONDAL</t>
  </si>
  <si>
    <t>LPD12272 | NUR ALAM MONDAL</t>
  </si>
  <si>
    <t>LPD12281</t>
  </si>
  <si>
    <t>OMAR FARUK MOLLA</t>
  </si>
  <si>
    <t>LPD12281 | OMAR FARUK MOLLA</t>
  </si>
  <si>
    <t>LPDS95767</t>
  </si>
  <si>
    <t>P ARULMANI</t>
  </si>
  <si>
    <t>LPDS95767 | P ARULMANI</t>
  </si>
  <si>
    <t>LPD12230</t>
  </si>
  <si>
    <t>P DEEPA</t>
  </si>
  <si>
    <t>LPD12230 | P DEEPA</t>
  </si>
  <si>
    <t>LPDS95548</t>
  </si>
  <si>
    <t>P DIVYA</t>
  </si>
  <si>
    <t>LPDS95548 | P DIVYA</t>
  </si>
  <si>
    <t>LPDS95205</t>
  </si>
  <si>
    <t>P GEETHA</t>
  </si>
  <si>
    <t>LPDS95205 | P GEETHA</t>
  </si>
  <si>
    <t>LPDS95169</t>
  </si>
  <si>
    <t>P NAVAMANI</t>
  </si>
  <si>
    <t>LPDS95169 | P NAVAMANI</t>
  </si>
  <si>
    <t>LPD12135</t>
  </si>
  <si>
    <t>P SARASWATHI</t>
  </si>
  <si>
    <t>LPD12135 | P SARASWATHI</t>
  </si>
  <si>
    <t>LPD08204</t>
  </si>
  <si>
    <t>P. ANITHA</t>
  </si>
  <si>
    <t>LPD08204 | P. ANITHA</t>
  </si>
  <si>
    <t>LPD08812</t>
  </si>
  <si>
    <t>P. BHARATHI</t>
  </si>
  <si>
    <t>LPD08812 | P. BHARATHI</t>
  </si>
  <si>
    <t>LPD05309</t>
  </si>
  <si>
    <t>P. DEVI</t>
  </si>
  <si>
    <t>LPD05309 | P. DEVI</t>
  </si>
  <si>
    <t>LPD10195</t>
  </si>
  <si>
    <t>P. DHARANI</t>
  </si>
  <si>
    <t>LPD10195 | P. DHARANI</t>
  </si>
  <si>
    <t>LPD11712</t>
  </si>
  <si>
    <t>P. GAYATHRI</t>
  </si>
  <si>
    <t>LPD11712 | P. GAYATHRI</t>
  </si>
  <si>
    <t>LPD05496</t>
  </si>
  <si>
    <t>P. JAMUNA</t>
  </si>
  <si>
    <t>LPD05496 | P. JAMUNA</t>
  </si>
  <si>
    <t>LPD09989</t>
  </si>
  <si>
    <t>P. JAYANTHI</t>
  </si>
  <si>
    <t>LPD09989 | P. JAYANTHI</t>
  </si>
  <si>
    <t>LPD10046</t>
  </si>
  <si>
    <t>P. KAVITHA</t>
  </si>
  <si>
    <t>LPD10046 | P. KAVITHA</t>
  </si>
  <si>
    <t>LPD04824</t>
  </si>
  <si>
    <t>P. LOGANAYAGI</t>
  </si>
  <si>
    <t>LPD04824 | P. LOGANAYAGI</t>
  </si>
  <si>
    <t>LPD08517</t>
  </si>
  <si>
    <t>P. MANJULA</t>
  </si>
  <si>
    <t>LPD08517 | P. MANJULA</t>
  </si>
  <si>
    <t>LPD05861</t>
  </si>
  <si>
    <t>LPD05861 | P. MANJULA</t>
  </si>
  <si>
    <t>LPD06410</t>
  </si>
  <si>
    <t>P. MATHIVATHANA</t>
  </si>
  <si>
    <t>LPD06410 | P. MATHIVATHANA</t>
  </si>
  <si>
    <t>LPD10302</t>
  </si>
  <si>
    <t>P. NEELAVENI</t>
  </si>
  <si>
    <t>LPD10302 | P. NEELAVENI</t>
  </si>
  <si>
    <t>LPD10889</t>
  </si>
  <si>
    <t>P. PUNITHA</t>
  </si>
  <si>
    <t>LPD10889 | P. PUNITHA</t>
  </si>
  <si>
    <t>LPD07904</t>
  </si>
  <si>
    <t>P. SONIYA</t>
  </si>
  <si>
    <t>LPD07904 | P. SONIYA</t>
  </si>
  <si>
    <t>LPD11444</t>
  </si>
  <si>
    <t>P. VENDA</t>
  </si>
  <si>
    <t>LPD11444 | P. VENDA</t>
  </si>
  <si>
    <t>LPD11456</t>
  </si>
  <si>
    <t>PARIMALA</t>
  </si>
  <si>
    <t>LPD11456 | PARIMALA</t>
  </si>
  <si>
    <t>LPD11735</t>
  </si>
  <si>
    <t>LPD11735 | PARIMALA</t>
  </si>
  <si>
    <t>LPD10276</t>
  </si>
  <si>
    <t>PARVEEN</t>
  </si>
  <si>
    <t>LPD10276 | PARVEEN</t>
  </si>
  <si>
    <t>LPD09944</t>
  </si>
  <si>
    <t>LPD09944 | PARVEEN</t>
  </si>
  <si>
    <t>LPD06594</t>
  </si>
  <si>
    <t>PARVIN</t>
  </si>
  <si>
    <t>LPD06594 | PARVIN</t>
  </si>
  <si>
    <t>LPD11692</t>
  </si>
  <si>
    <t>POORNIMA VIMAL</t>
  </si>
  <si>
    <t>LPD11692 | POORNIMA VIMAL</t>
  </si>
  <si>
    <t>LPDS95792</t>
  </si>
  <si>
    <t>PRABAKARAN RAJENDIRAN</t>
  </si>
  <si>
    <t>LPDS95792 | PRABAKARAN RAJENDIRAN</t>
  </si>
  <si>
    <t>LPDS94638</t>
  </si>
  <si>
    <t>PRAVEENA  S</t>
  </si>
  <si>
    <t>LPDS94638 | PRAVEENA  S</t>
  </si>
  <si>
    <t>LPDS95361</t>
  </si>
  <si>
    <t>PREMA SHANMUGAM</t>
  </si>
  <si>
    <t>LPDS95361 | PREMA SHANMUGAM</t>
  </si>
  <si>
    <t>LPDS95764</t>
  </si>
  <si>
    <t>PRIYA</t>
  </si>
  <si>
    <t>LPDS95764 | PRIYA</t>
  </si>
  <si>
    <t>LPDS94673</t>
  </si>
  <si>
    <t>PRIYA M</t>
  </si>
  <si>
    <t>LPDS94673 | PRIYA M</t>
  </si>
  <si>
    <t>LPDS95777</t>
  </si>
  <si>
    <t>PRIYA S</t>
  </si>
  <si>
    <t>LPDS95777 | PRIYA S</t>
  </si>
  <si>
    <t>LPDS94642</t>
  </si>
  <si>
    <t>PRIYANKA</t>
  </si>
  <si>
    <t>LPDS94642 | PRIYANKA</t>
  </si>
  <si>
    <t>LPD11496</t>
  </si>
  <si>
    <t>PUNITHA</t>
  </si>
  <si>
    <t>LPD11496 | PUNITHA</t>
  </si>
  <si>
    <t>LPDS95691</t>
  </si>
  <si>
    <t>PUSHPA P</t>
  </si>
  <si>
    <t>LPDS95691 | PUSHPA P</t>
  </si>
  <si>
    <t>LPDS95388</t>
  </si>
  <si>
    <t>R AMUL</t>
  </si>
  <si>
    <t>LPDS95388 | R AMUL</t>
  </si>
  <si>
    <t>LPDS95633</t>
  </si>
  <si>
    <t>R ANITHA</t>
  </si>
  <si>
    <t>LPDS95633 | R ANITHA</t>
  </si>
  <si>
    <t>LPDS95758</t>
  </si>
  <si>
    <t>R KAMALI</t>
  </si>
  <si>
    <t>LPDS95758 | R KAMALI</t>
  </si>
  <si>
    <t>LPDS95636</t>
  </si>
  <si>
    <t>R LAKSHMI</t>
  </si>
  <si>
    <t>LPDS95636 | R LAKSHMI</t>
  </si>
  <si>
    <t>LPDS95774</t>
  </si>
  <si>
    <t>R MANJULA</t>
  </si>
  <si>
    <t>LPDS95774 | R MANJULA</t>
  </si>
  <si>
    <t>LPDS95788</t>
  </si>
  <si>
    <t>R MUMTAJ</t>
  </si>
  <si>
    <t>LPDS95788 | R MUMTAJ</t>
  </si>
  <si>
    <t>LPDS95694</t>
  </si>
  <si>
    <t>R REVATHI</t>
  </si>
  <si>
    <t>LPDS95694 | R REVATHI</t>
  </si>
  <si>
    <t>LPDS95101</t>
  </si>
  <si>
    <t>R SANGEETHA</t>
  </si>
  <si>
    <t>LPDS95101 | R SANGEETHA</t>
  </si>
  <si>
    <t>LPDS95385</t>
  </si>
  <si>
    <t>R SHABANA</t>
  </si>
  <si>
    <t>LPDS95385 | R SHABANA</t>
  </si>
  <si>
    <t>LPD11748</t>
  </si>
  <si>
    <t>R SHAKILA</t>
  </si>
  <si>
    <t>LPD11748 | R SHAKILA</t>
  </si>
  <si>
    <t>LPD12097</t>
  </si>
  <si>
    <t>R STELLA</t>
  </si>
  <si>
    <t>LPD12097 | R STELLA</t>
  </si>
  <si>
    <t>LPDS95257</t>
  </si>
  <si>
    <t>R SUBITHA</t>
  </si>
  <si>
    <t>LPDS95257 | R SUBITHA</t>
  </si>
  <si>
    <t>LPDS95173</t>
  </si>
  <si>
    <t>R SUMITHRA</t>
  </si>
  <si>
    <t>LPDS95173 | R SUMITHRA</t>
  </si>
  <si>
    <t>LPDS95783</t>
  </si>
  <si>
    <t>LPDS95783 | R SUMITHRA</t>
  </si>
  <si>
    <t>LPD09963</t>
  </si>
  <si>
    <t>R. AMBIKA</t>
  </si>
  <si>
    <t>LPD09963 | R. AMBIKA</t>
  </si>
  <si>
    <t>LPD07609</t>
  </si>
  <si>
    <t>R. AMMU</t>
  </si>
  <si>
    <t>LPD07609 | R. AMMU</t>
  </si>
  <si>
    <t>LPDS95740</t>
  </si>
  <si>
    <t>R. AMUDHA</t>
  </si>
  <si>
    <t>LPDS95740 | R. AMUDHA</t>
  </si>
  <si>
    <t>LPD07866</t>
  </si>
  <si>
    <t>R. ARIFA</t>
  </si>
  <si>
    <t>LPD07866 | R. ARIFA</t>
  </si>
  <si>
    <t>LPD07780</t>
  </si>
  <si>
    <t>R. BHARATHI</t>
  </si>
  <si>
    <t>LPD07780 | R. BHARATHI</t>
  </si>
  <si>
    <t>LPD09903</t>
  </si>
  <si>
    <t>R. DEVI</t>
  </si>
  <si>
    <t>LPD09903 | R. DEVI</t>
  </si>
  <si>
    <t>LPD11554</t>
  </si>
  <si>
    <t>R. DHANA LAKSHMI</t>
  </si>
  <si>
    <t>LPD11554 | R. DHANA LAKSHMI</t>
  </si>
  <si>
    <t>LPD06794</t>
  </si>
  <si>
    <t>R. GUNASUNDARI</t>
  </si>
  <si>
    <t>LPD06794 | R. GUNASUNDARI</t>
  </si>
  <si>
    <t>LPD07789</t>
  </si>
  <si>
    <t>R. KAVITHA</t>
  </si>
  <si>
    <t>LPD07789 | R. KAVITHA</t>
  </si>
  <si>
    <t>LPD10169</t>
  </si>
  <si>
    <t>R. MAMTHA</t>
  </si>
  <si>
    <t>LPD10169 | R. MAMTHA</t>
  </si>
  <si>
    <t>LPD11556</t>
  </si>
  <si>
    <t>R. MOHANAPRIYA</t>
  </si>
  <si>
    <t>LPD11556 | R. MOHANAPRIYA</t>
  </si>
  <si>
    <t>LPD05364</t>
  </si>
  <si>
    <t>R. RADHA</t>
  </si>
  <si>
    <t>LPD05364 | R. RADHA</t>
  </si>
  <si>
    <t>LPD10187</t>
  </si>
  <si>
    <t>R. RAJAKUMARI</t>
  </si>
  <si>
    <t>LPD10187 | R. RAJAKUMARI</t>
  </si>
  <si>
    <t>LPD10618</t>
  </si>
  <si>
    <t>R. RAMEEZA</t>
  </si>
  <si>
    <t>LPD10618 | R. RAMEEZA</t>
  </si>
  <si>
    <t>LPD08177</t>
  </si>
  <si>
    <t>R. RAMYA</t>
  </si>
  <si>
    <t>LPD08177 | R. RAMYA</t>
  </si>
  <si>
    <t>LPD02728</t>
  </si>
  <si>
    <t>R. RESHMA</t>
  </si>
  <si>
    <t>LPD02728 | R. RESHMA</t>
  </si>
  <si>
    <t>LPD08701</t>
  </si>
  <si>
    <t>R. SARANYA</t>
  </si>
  <si>
    <t>LPD08701 | R. SARANYA</t>
  </si>
  <si>
    <t>LPD10417</t>
  </si>
  <si>
    <t>R. SHAFIULLAH</t>
  </si>
  <si>
    <t>LPD10417 | R. SHAFIULLAH</t>
  </si>
  <si>
    <t>LPD11709</t>
  </si>
  <si>
    <t>R. SHANKARI</t>
  </si>
  <si>
    <t>LPD11709 | R. SHANKARI</t>
  </si>
  <si>
    <t>LPD08080</t>
  </si>
  <si>
    <t>R. SHEELA</t>
  </si>
  <si>
    <t>LPD08080 | R. SHEELA</t>
  </si>
  <si>
    <t>LPD10987</t>
  </si>
  <si>
    <t>LPD10987 | R. SHEELA</t>
  </si>
  <si>
    <t>LPD11461</t>
  </si>
  <si>
    <t>R. SIVA LAKSHMI</t>
  </si>
  <si>
    <t>LPD11461 | R. SIVA LAKSHMI</t>
  </si>
  <si>
    <t>LPD05183</t>
  </si>
  <si>
    <t>R. SRI DEVI</t>
  </si>
  <si>
    <t>LPD05183 | R. SRI DEVI</t>
  </si>
  <si>
    <t>LPD10023</t>
  </si>
  <si>
    <t>R. THENMOZHI</t>
  </si>
  <si>
    <t>LPD10023 | R. THENMOZHI</t>
  </si>
  <si>
    <t>LPD07996</t>
  </si>
  <si>
    <t>R. UMA</t>
  </si>
  <si>
    <t>LPD07996 | R. UMA</t>
  </si>
  <si>
    <t>LPD00334</t>
  </si>
  <si>
    <t>R. VASANTHI</t>
  </si>
  <si>
    <t>LPD00334 | R. VASANTHI</t>
  </si>
  <si>
    <t>LPD07485</t>
  </si>
  <si>
    <t>R. VENNILA</t>
  </si>
  <si>
    <t>LPD07485 | R. VENNILA</t>
  </si>
  <si>
    <t>LPD11654</t>
  </si>
  <si>
    <t>R. VIJAYALAKSHMI</t>
  </si>
  <si>
    <t>LPD11654 | R. VIJAYALAKSHMI</t>
  </si>
  <si>
    <t>LPD09849</t>
  </si>
  <si>
    <t>LPD09849 | R. VIJAYALAKSHMI</t>
  </si>
  <si>
    <t>LPD11681</t>
  </si>
  <si>
    <t>R. YASMEEN</t>
  </si>
  <si>
    <t>LPD11681 | R. YASMEEN</t>
  </si>
  <si>
    <t>LPD05038</t>
  </si>
  <si>
    <t>R.K. MOHAMMED RABIQUE</t>
  </si>
  <si>
    <t>LPD05038 | R.K. MOHAMMED RABIQUE</t>
  </si>
  <si>
    <t>LPD12254</t>
  </si>
  <si>
    <t>RABIUL MOLLA</t>
  </si>
  <si>
    <t>LPD12254 | RABIUL MOLLA</t>
  </si>
  <si>
    <t>LPD11086</t>
  </si>
  <si>
    <t>RADHA</t>
  </si>
  <si>
    <t>LPD11086 | RADHA</t>
  </si>
  <si>
    <t>LPD12264</t>
  </si>
  <si>
    <t>RAFIK MOLLA</t>
  </si>
  <si>
    <t>LPD12264 | RAFIK MOLLA</t>
  </si>
  <si>
    <t>LPD10299</t>
  </si>
  <si>
    <t>RAGAVI</t>
  </si>
  <si>
    <t>LPD10299 | RAGAVI</t>
  </si>
  <si>
    <t>LPD10795</t>
  </si>
  <si>
    <t>RAGIB KHAN</t>
  </si>
  <si>
    <t>LPD10795 | RAGIB KHAN</t>
  </si>
  <si>
    <t>LPD12178</t>
  </si>
  <si>
    <t>RAHAMAT ALI LASKAR</t>
  </si>
  <si>
    <t>LPD12178 | RAHAMAT ALI LASKAR</t>
  </si>
  <si>
    <t>LPD12064</t>
  </si>
  <si>
    <t>RAHATULLA MOLLA</t>
  </si>
  <si>
    <t>LPD12064 | RAHATULLA MOLLA</t>
  </si>
  <si>
    <t>LPD11245</t>
  </si>
  <si>
    <t>RAJESHWARI</t>
  </si>
  <si>
    <t>LPD11245 | RAJESHWARI</t>
  </si>
  <si>
    <t>LPD09371</t>
  </si>
  <si>
    <t>RAJESWARI</t>
  </si>
  <si>
    <t>LPD09371 | RAJESWARI</t>
  </si>
  <si>
    <t>LPD10171</t>
  </si>
  <si>
    <t>LPD10171 | RAJESWARI</t>
  </si>
  <si>
    <t>LPD12256</t>
  </si>
  <si>
    <t>RAJIBUL MOLLA</t>
  </si>
  <si>
    <t>LPD12256 | RAJIBUL MOLLA</t>
  </si>
  <si>
    <t>LPDS94830</t>
  </si>
  <si>
    <t>RAMIZA R</t>
  </si>
  <si>
    <t>LPDS94830 | RAMIZA R</t>
  </si>
  <si>
    <t>LPD11259</t>
  </si>
  <si>
    <t>RAMYA</t>
  </si>
  <si>
    <t>LPD11259 | RAMYA</t>
  </si>
  <si>
    <t>LPD09737</t>
  </si>
  <si>
    <t>LPD09737 | RAMYA</t>
  </si>
  <si>
    <t>LPD08281</t>
  </si>
  <si>
    <t>LPD08281 | RAMYA</t>
  </si>
  <si>
    <t>LPDS94644</t>
  </si>
  <si>
    <t>RAVICHITRA</t>
  </si>
  <si>
    <t>LPDS94644 | RAVICHITRA</t>
  </si>
  <si>
    <t>LPD09605</t>
  </si>
  <si>
    <t>REKHA</t>
  </si>
  <si>
    <t>LPD09605 | REKHA</t>
  </si>
  <si>
    <t>LPDS95716</t>
  </si>
  <si>
    <t>RESHMA MOHAMED SALEEM</t>
  </si>
  <si>
    <t>LPDS95716 | RESHMA MOHAMED SALEEM</t>
  </si>
  <si>
    <t>LPD10035</t>
  </si>
  <si>
    <t>REVATHI</t>
  </si>
  <si>
    <t>LPD10035 | REVATHI</t>
  </si>
  <si>
    <t>LPD11846</t>
  </si>
  <si>
    <t>LPD11846 | REVATHI</t>
  </si>
  <si>
    <t>LPD11581</t>
  </si>
  <si>
    <t>LPD11581 | REVATHI</t>
  </si>
  <si>
    <t>LPD10254</t>
  </si>
  <si>
    <t>RISVANA</t>
  </si>
  <si>
    <t>LPD10254 | RISVANA</t>
  </si>
  <si>
    <t>LPDS95404</t>
  </si>
  <si>
    <t>RISWANA BILAL</t>
  </si>
  <si>
    <t>LPDS95404 | RISWANA BILAL</t>
  </si>
  <si>
    <t>LPD09907</t>
  </si>
  <si>
    <t>RIZWAN</t>
  </si>
  <si>
    <t>LPD09907 | RIZWAN</t>
  </si>
  <si>
    <t>LPDS94801</t>
  </si>
  <si>
    <t>RIZWANA BEGUM A</t>
  </si>
  <si>
    <t>LPDS94801 | RIZWANA BEGUM A</t>
  </si>
  <si>
    <t>LPD11625</t>
  </si>
  <si>
    <t>RUHUL AMIN</t>
  </si>
  <si>
    <t>LPD11625 | RUHUL AMIN</t>
  </si>
  <si>
    <t>LPD11185</t>
  </si>
  <si>
    <t>RUKSHANA</t>
  </si>
  <si>
    <t>LPD11185 | RUKSHANA</t>
  </si>
  <si>
    <t>LPDS95071</t>
  </si>
  <si>
    <t>RUTHRA VENKATESAN</t>
  </si>
  <si>
    <t>LPDS95071 | RUTHRA VENKATESAN</t>
  </si>
  <si>
    <t>LPDS95754</t>
  </si>
  <si>
    <t>S AKTHAR BANU</t>
  </si>
  <si>
    <t>LPDS95754 | S AKTHAR BANU</t>
  </si>
  <si>
    <t>LPD12099</t>
  </si>
  <si>
    <t>S AMUDHA</t>
  </si>
  <si>
    <t>LPD12099 | S AMUDHA</t>
  </si>
  <si>
    <t>LPD12198</t>
  </si>
  <si>
    <t>S DEEPA</t>
  </si>
  <si>
    <t>LPD12198 | S DEEPA</t>
  </si>
  <si>
    <t>LPDS95689</t>
  </si>
  <si>
    <t>S DIVYA PRABA</t>
  </si>
  <si>
    <t>LPDS95689 | S DIVYA PRABA</t>
  </si>
  <si>
    <t>LPDS95111</t>
  </si>
  <si>
    <t>S HAJEERA</t>
  </si>
  <si>
    <t>LPDS95111 | S HAJEERA</t>
  </si>
  <si>
    <t>LPDS95773</t>
  </si>
  <si>
    <t>S JAYANTHI</t>
  </si>
  <si>
    <t>LPDS95773 | S JAYANTHI</t>
  </si>
  <si>
    <t>LPD12021</t>
  </si>
  <si>
    <t>S KALAVATHI</t>
  </si>
  <si>
    <t>LPD12021 | S KALAVATHI</t>
  </si>
  <si>
    <t>LPDS95162</t>
  </si>
  <si>
    <t>S KAVITHA</t>
  </si>
  <si>
    <t>LPDS95162 | S KAVITHA</t>
  </si>
  <si>
    <t>LPDS95027</t>
  </si>
  <si>
    <t>S KODEESWARI</t>
  </si>
  <si>
    <t>LPDS95027 | S KODEESWARI</t>
  </si>
  <si>
    <t>LPDS95729</t>
  </si>
  <si>
    <t>S MUNNI</t>
  </si>
  <si>
    <t>LPDS95729 | S MUNNI</t>
  </si>
  <si>
    <t>LPDS95523</t>
  </si>
  <si>
    <t>S SAJITHA</t>
  </si>
  <si>
    <t>LPDS95523 | S SAJITHA</t>
  </si>
  <si>
    <t>LPDS95158</t>
  </si>
  <si>
    <t>S SARASWATHI</t>
  </si>
  <si>
    <t>LPDS95158 | S SARASWATHI</t>
  </si>
  <si>
    <t>LPD12226</t>
  </si>
  <si>
    <t>S SEETHA</t>
  </si>
  <si>
    <t>LPD12226 | S SEETHA</t>
  </si>
  <si>
    <t>LPDS95506</t>
  </si>
  <si>
    <t>S SELVI</t>
  </si>
  <si>
    <t>LPDS95506 | S SELVI</t>
  </si>
  <si>
    <t>LPDS95511</t>
  </si>
  <si>
    <t>S SHEELA</t>
  </si>
  <si>
    <t>LPDS95511 | S SHEELA</t>
  </si>
  <si>
    <t>LPDS95266</t>
  </si>
  <si>
    <t>S SHOBA</t>
  </si>
  <si>
    <t>LPDS95266 | S SHOBA</t>
  </si>
  <si>
    <t>LPDS95062</t>
  </si>
  <si>
    <t>S SIVAGAMI</t>
  </si>
  <si>
    <t>LPDS95062 | S SIVAGAMI</t>
  </si>
  <si>
    <t>LPDS95753</t>
  </si>
  <si>
    <t>S THABASSUM</t>
  </si>
  <si>
    <t>LPDS95753 | S THABASSUM</t>
  </si>
  <si>
    <t>LPD11700</t>
  </si>
  <si>
    <t>S UMA</t>
  </si>
  <si>
    <t>LPD11700 | S UMA</t>
  </si>
  <si>
    <t>LPD10855</t>
  </si>
  <si>
    <t>S. AKBAR BASHA</t>
  </si>
  <si>
    <t>LPD10855 | S. AKBAR BASHA</t>
  </si>
  <si>
    <t>LPD08919</t>
  </si>
  <si>
    <t>S. BARKATH ALI</t>
  </si>
  <si>
    <t>LPD08919 | S. BARKATH ALI</t>
  </si>
  <si>
    <t>LPD11402</t>
  </si>
  <si>
    <t>S. CHANMA BEE</t>
  </si>
  <si>
    <t>LPD11402 | S. CHANMA BEE</t>
  </si>
  <si>
    <t>LPD11744</t>
  </si>
  <si>
    <t>S. COUSER BANU</t>
  </si>
  <si>
    <t>LPD11744 | S. COUSER BANU</t>
  </si>
  <si>
    <t>LPD08985</t>
  </si>
  <si>
    <t>S. DHANALAKSHMI</t>
  </si>
  <si>
    <t>LPD08985 | S. DHANALAKSHMI</t>
  </si>
  <si>
    <t>LPD11683</t>
  </si>
  <si>
    <t>S. FARSANA BANU</t>
  </si>
  <si>
    <t>LPD11683 | S. FARSANA BANU</t>
  </si>
  <si>
    <t>LPD11717</t>
  </si>
  <si>
    <t>S. GEETHA</t>
  </si>
  <si>
    <t>LPD11717 | S. GEETHA</t>
  </si>
  <si>
    <t>LPD06051</t>
  </si>
  <si>
    <t>LPD06051 | S. GEETHA</t>
  </si>
  <si>
    <t>LPD07423</t>
  </si>
  <si>
    <t>S. HASSAN BASHA</t>
  </si>
  <si>
    <t>LPD07423 | S. HASSAN BASHA</t>
  </si>
  <si>
    <t>LPD11742</t>
  </si>
  <si>
    <t>S. HEERA</t>
  </si>
  <si>
    <t>LPD11742 | S. HEERA</t>
  </si>
  <si>
    <t>LPD11478</t>
  </si>
  <si>
    <t>S. INDRA</t>
  </si>
  <si>
    <t>LPD11478 | S. INDRA</t>
  </si>
  <si>
    <t>LPD10979</t>
  </si>
  <si>
    <t>S. JAMEELA BEE</t>
  </si>
  <si>
    <t>LPD10979 | S. JAMEELA BEE</t>
  </si>
  <si>
    <t>LPD08051</t>
  </si>
  <si>
    <t>S. JAYAKANTHI</t>
  </si>
  <si>
    <t>LPD08051 | S. JAYAKANTHI</t>
  </si>
  <si>
    <t>LPD08610</t>
  </si>
  <si>
    <t>S. JEEVA</t>
  </si>
  <si>
    <t>LPD08610 | S. JEEVA</t>
  </si>
  <si>
    <t>LPD10890</t>
  </si>
  <si>
    <t>S. KALAIVANI</t>
  </si>
  <si>
    <t>LPD10890 | S. KALAIVANI</t>
  </si>
  <si>
    <t>LPD05774</t>
  </si>
  <si>
    <t>S. KARPAGAM</t>
  </si>
  <si>
    <t>LPD05774 | S. KARPAGAM</t>
  </si>
  <si>
    <t>LPD03088</t>
  </si>
  <si>
    <t>S. KHADER BASHA</t>
  </si>
  <si>
    <t>LPD03088 | S. KHADER BASHA</t>
  </si>
  <si>
    <t>LPD11657</t>
  </si>
  <si>
    <t>S. KUMUDHA</t>
  </si>
  <si>
    <t>LPD11657 | S. KUMUDHA</t>
  </si>
  <si>
    <t>LPD08516</t>
  </si>
  <si>
    <t>S. MALATHI</t>
  </si>
  <si>
    <t>LPD08516 | S. MALATHI</t>
  </si>
  <si>
    <t>LPD11722</t>
  </si>
  <si>
    <t>S. MALINI</t>
  </si>
  <si>
    <t>LPD11722 | S. MALINI</t>
  </si>
  <si>
    <t>LPD08171</t>
  </si>
  <si>
    <t>S. MANIMEGALAI</t>
  </si>
  <si>
    <t>LPD08171 | S. MANIMEGALAI</t>
  </si>
  <si>
    <t>LPD11482</t>
  </si>
  <si>
    <t>S. MD. SULTAN</t>
  </si>
  <si>
    <t>LPD11482 | S. MD. SULTAN</t>
  </si>
  <si>
    <t>LPD10964</t>
  </si>
  <si>
    <t>S. MOHAMMED ABU THAHIR</t>
  </si>
  <si>
    <t>LPD10964 | S. MOHAMMED ABU THAHIR</t>
  </si>
  <si>
    <t>LPD11752</t>
  </si>
  <si>
    <t>S. MONIKA</t>
  </si>
  <si>
    <t>LPD11752 | S. MONIKA</t>
  </si>
  <si>
    <t>LPD11771</t>
  </si>
  <si>
    <t>S. MUBARAK</t>
  </si>
  <si>
    <t>LPD11771 | S. MUBARAK</t>
  </si>
  <si>
    <t>LPD07687</t>
  </si>
  <si>
    <t>LPD07687 | S. MUBARAK</t>
  </si>
  <si>
    <t>LPD04763</t>
  </si>
  <si>
    <t>S. MUBARAK BASHA</t>
  </si>
  <si>
    <t>LPD04763 | S. MUBARAK BASHA</t>
  </si>
  <si>
    <t>LPD09759</t>
  </si>
  <si>
    <t>S. MUTHU LAKSHMI</t>
  </si>
  <si>
    <t>LPD09759 | S. MUTHU LAKSHMI</t>
  </si>
  <si>
    <t>LPD00071</t>
  </si>
  <si>
    <t>S. NASEEMA</t>
  </si>
  <si>
    <t>LPD00071 | S. NASEEMA</t>
  </si>
  <si>
    <t>LPD05258</t>
  </si>
  <si>
    <t>S. NASIRA</t>
  </si>
  <si>
    <t>LPD05258 | S. NASIRA</t>
  </si>
  <si>
    <t>LPD08418</t>
  </si>
  <si>
    <t>S. NATHIYA</t>
  </si>
  <si>
    <t>LPD08418 | S. NATHIYA</t>
  </si>
  <si>
    <t>LPD05920</t>
  </si>
  <si>
    <t>S. PARMESHWARI</t>
  </si>
  <si>
    <t>LPD05920 | S. PARMESHWARI</t>
  </si>
  <si>
    <t>LPD11447</t>
  </si>
  <si>
    <t>S. POONKODI</t>
  </si>
  <si>
    <t>LPD11447 | S. POONKODI</t>
  </si>
  <si>
    <t>LPD08138</t>
  </si>
  <si>
    <t>S. PRABHAVATHI</t>
  </si>
  <si>
    <t>LPD08138 | S. PRABHAVATHI</t>
  </si>
  <si>
    <t>LPDS95744</t>
  </si>
  <si>
    <t>S. PRIYA</t>
  </si>
  <si>
    <t>LPDS95744 | S. PRIYA</t>
  </si>
  <si>
    <t>LPD11525</t>
  </si>
  <si>
    <t>LPD11525 | S. PRIYA</t>
  </si>
  <si>
    <t>LPD07625</t>
  </si>
  <si>
    <t>S. RAHIMA</t>
  </si>
  <si>
    <t>LPD07625 | S. RAHIMA</t>
  </si>
  <si>
    <t>LPD04803</t>
  </si>
  <si>
    <t>S. RAJASHWARI</t>
  </si>
  <si>
    <t>LPD04803 | S. RAJASHWARI</t>
  </si>
  <si>
    <t>LPD05449</t>
  </si>
  <si>
    <t>S. RAJESHWARI</t>
  </si>
  <si>
    <t>LPD05449 | S. RAJESHWARI</t>
  </si>
  <si>
    <t>LPD08535</t>
  </si>
  <si>
    <t>S. RAMANI</t>
  </si>
  <si>
    <t>LPD08535 | S. RAMANI</t>
  </si>
  <si>
    <t>LPD07785</t>
  </si>
  <si>
    <t>S. RANI</t>
  </si>
  <si>
    <t>LPD07785 | S. RANI</t>
  </si>
  <si>
    <t>LPD08048</t>
  </si>
  <si>
    <t>S. RIYAZ</t>
  </si>
  <si>
    <t>LPD08048 | S. RIYAZ</t>
  </si>
  <si>
    <t>LPD08716</t>
  </si>
  <si>
    <t>S. ROJINI</t>
  </si>
  <si>
    <t>LPD08716 | S. ROJINI</t>
  </si>
  <si>
    <t>LPD09516</t>
  </si>
  <si>
    <t>S. SABEENA</t>
  </si>
  <si>
    <t>LPD09516 | S. SABEENA</t>
  </si>
  <si>
    <t>LPD10196</t>
  </si>
  <si>
    <t>S. SARANYA</t>
  </si>
  <si>
    <t>LPD10196 | S. SARANYA</t>
  </si>
  <si>
    <t>LPD03863</t>
  </si>
  <si>
    <t>S. SATHIYA VANI</t>
  </si>
  <si>
    <t>LPD03863 | S. SATHIYA VANI</t>
  </si>
  <si>
    <t>LPD06079</t>
  </si>
  <si>
    <t>S. SELVI</t>
  </si>
  <si>
    <t>LPD06079 | S. SELVI</t>
  </si>
  <si>
    <t>LPD11645</t>
  </si>
  <si>
    <t>S. SHAGUL HAMEED</t>
  </si>
  <si>
    <t>LPD11645 | S. SHAGUL HAMEED</t>
  </si>
  <si>
    <t>LPD05252</t>
  </si>
  <si>
    <t>S. SHAINAZ</t>
  </si>
  <si>
    <t>LPD05252 | S. SHAINAZ</t>
  </si>
  <si>
    <t>LPD10526</t>
  </si>
  <si>
    <t>S. SHAKIRA</t>
  </si>
  <si>
    <t>LPD10526 | S. SHAKIRA</t>
  </si>
  <si>
    <t>LPD09973</t>
  </si>
  <si>
    <t>S. SIVARANJANI</t>
  </si>
  <si>
    <t>LPD09973 | S. SIVARANJANI</t>
  </si>
  <si>
    <t>LPD11504</t>
  </si>
  <si>
    <t>S. SUGUNA</t>
  </si>
  <si>
    <t>LPD11504 | S. SUGUNA</t>
  </si>
  <si>
    <t>LPDS95737</t>
  </si>
  <si>
    <t>S. SURAIYA</t>
  </si>
  <si>
    <t>LPDS95737 | S. SURAIYA</t>
  </si>
  <si>
    <t>LPD10858</t>
  </si>
  <si>
    <t>S. TAMILSELVI</t>
  </si>
  <si>
    <t>LPD10858 | S. TAMILSELVI</t>
  </si>
  <si>
    <t>LPD09153</t>
  </si>
  <si>
    <t>S. THAHIRA BEGAM</t>
  </si>
  <si>
    <t>LPD09153 | S. THAHIRA BEGAM</t>
  </si>
  <si>
    <t>LPD11089</t>
  </si>
  <si>
    <t>S. THAJNISA</t>
  </si>
  <si>
    <t>LPD11089 | S. THAJNISA</t>
  </si>
  <si>
    <t>LPDS95746</t>
  </si>
  <si>
    <t>S. THENMOZHI</t>
  </si>
  <si>
    <t>LPDS95746 | S. THENMOZHI</t>
  </si>
  <si>
    <t>LPD12236</t>
  </si>
  <si>
    <t>S. UMA</t>
  </si>
  <si>
    <t>LPD12236 | S. UMA</t>
  </si>
  <si>
    <t>LPD05455</t>
  </si>
  <si>
    <t>S. USHA</t>
  </si>
  <si>
    <t>LPD05455 | S. USHA</t>
  </si>
  <si>
    <t>LPD08243</t>
  </si>
  <si>
    <t>S. VALARMATHI</t>
  </si>
  <si>
    <t>LPD08243 | S. VALARMATHI</t>
  </si>
  <si>
    <t>LPD10157</t>
  </si>
  <si>
    <t>S. VANITHA</t>
  </si>
  <si>
    <t>LPD10157 | S. VANITHA</t>
  </si>
  <si>
    <t>LPD08993</t>
  </si>
  <si>
    <t>S. VASANTHA SHALINI</t>
  </si>
  <si>
    <t>LPD08993 | S. VASANTHA SHALINI</t>
  </si>
  <si>
    <t>LPD11790</t>
  </si>
  <si>
    <t>S. VASUGI</t>
  </si>
  <si>
    <t>LPD11790 | S. VASUGI</t>
  </si>
  <si>
    <t>LPD05998</t>
  </si>
  <si>
    <t>S. VENDA</t>
  </si>
  <si>
    <t>LPD05998 | S. VENDA</t>
  </si>
  <si>
    <t>LPD01167</t>
  </si>
  <si>
    <t>LPD01167 | S. VENDA</t>
  </si>
  <si>
    <t>LPD07459</t>
  </si>
  <si>
    <t>S. VIJAYA</t>
  </si>
  <si>
    <t>LPD07459 | S. VIJAYA</t>
  </si>
  <si>
    <t>LPD05817</t>
  </si>
  <si>
    <t>LPD05817 | S. VIJAYA</t>
  </si>
  <si>
    <t>LPD08744</t>
  </si>
  <si>
    <t>S.L. LAKSHMI</t>
  </si>
  <si>
    <t>LPD08744 | S.L. LAKSHMI</t>
  </si>
  <si>
    <t>LPD09469</t>
  </si>
  <si>
    <t>S.R. NAZIYA SIDDIQHA</t>
  </si>
  <si>
    <t>LPD09469 | S.R. NAZIYA SIDDIQHA</t>
  </si>
  <si>
    <t>LPD12063</t>
  </si>
  <si>
    <t>SABIR ALI MOLLA</t>
  </si>
  <si>
    <t>LPD12063 | SABIR ALI MOLLA</t>
  </si>
  <si>
    <t>LPD12047</t>
  </si>
  <si>
    <t>SABIR HOSEN SARDAR</t>
  </si>
  <si>
    <t>LPD12047 | SABIR HOSEN SARDAR</t>
  </si>
  <si>
    <t>LPDS94670</t>
  </si>
  <si>
    <t>SABIYA</t>
  </si>
  <si>
    <t>LPDS94670 | SABIYA</t>
  </si>
  <si>
    <t>LPD10763</t>
  </si>
  <si>
    <t>SABIYA BEGAM</t>
  </si>
  <si>
    <t>LPD10763 | SABIYA BEGAM</t>
  </si>
  <si>
    <t>LPD12196</t>
  </si>
  <si>
    <t>SAFIULLA SEKH</t>
  </si>
  <si>
    <t>LPD12196 | SAFIULLA SEKH</t>
  </si>
  <si>
    <t>LPD12008</t>
  </si>
  <si>
    <t>SAHID AHMED</t>
  </si>
  <si>
    <t>LPD12008 | SAHID AHMED</t>
  </si>
  <si>
    <t>LPD12273</t>
  </si>
  <si>
    <t>SAHID MOLLA</t>
  </si>
  <si>
    <t>LPD12273 | SAHID MOLLA</t>
  </si>
  <si>
    <t>LPD12149</t>
  </si>
  <si>
    <t>SAIFUL MOLLA</t>
  </si>
  <si>
    <t>LPD12149 | SAIFUL MOLLA</t>
  </si>
  <si>
    <t>LPD12173</t>
  </si>
  <si>
    <t>SAJAHAN KHAN</t>
  </si>
  <si>
    <t>LPD12173 | SAJAHAN KHAN</t>
  </si>
  <si>
    <t>LPD11458</t>
  </si>
  <si>
    <t>SAKEENA FIRDOSE</t>
  </si>
  <si>
    <t>LPD11458 | SAKEENA FIRDOSE</t>
  </si>
  <si>
    <t>LPD12085</t>
  </si>
  <si>
    <t>SAKIL ALAM</t>
  </si>
  <si>
    <t>LPD12085 | SAKIL ALAM</t>
  </si>
  <si>
    <t>LPD12237</t>
  </si>
  <si>
    <t>SALIYA BANU</t>
  </si>
  <si>
    <t>LPD12237 | SALIYA BANU</t>
  </si>
  <si>
    <t>LPD11181</t>
  </si>
  <si>
    <t>SALLUBANU</t>
  </si>
  <si>
    <t>LPD11181 | SALLUBANU</t>
  </si>
  <si>
    <t>LPD10969</t>
  </si>
  <si>
    <t>SAMEENA</t>
  </si>
  <si>
    <t>LPD10969 | SAMEENA</t>
  </si>
  <si>
    <t>LPDS95454</t>
  </si>
  <si>
    <t>SANDHIYA SETTU</t>
  </si>
  <si>
    <t>LPDS95454 | SANDHIYA SETTU</t>
  </si>
  <si>
    <t>LPD11705</t>
  </si>
  <si>
    <t>SANDHYA</t>
  </si>
  <si>
    <t>LPD11705 | SANDHYA</t>
  </si>
  <si>
    <t>LPD08095</t>
  </si>
  <si>
    <t>SANGEETHA</t>
  </si>
  <si>
    <t>LPD08095 | SANGEETHA</t>
  </si>
  <si>
    <t>LPD12241</t>
  </si>
  <si>
    <t>LPD12241 | SANGEETHA</t>
  </si>
  <si>
    <t>LPDS95458</t>
  </si>
  <si>
    <t>SANGEETHA BOOBALAN</t>
  </si>
  <si>
    <t>LPDS95458 | SANGEETHA BOOBALAN</t>
  </si>
  <si>
    <t>LPD11103</t>
  </si>
  <si>
    <t>SANTHA</t>
  </si>
  <si>
    <t>LPD11103 | SANTHA</t>
  </si>
  <si>
    <t>LPD08306</t>
  </si>
  <si>
    <t>SANTHI</t>
  </si>
  <si>
    <t>LPD08306 | SANTHI</t>
  </si>
  <si>
    <t>LPDS95735</t>
  </si>
  <si>
    <t>SARAMBEE</t>
  </si>
  <si>
    <t>LPDS95735 | SARAMBEE</t>
  </si>
  <si>
    <t>LPD09689</t>
  </si>
  <si>
    <t>SARANYA</t>
  </si>
  <si>
    <t>LPD09689 | SARANYA</t>
  </si>
  <si>
    <t>LPDS94651</t>
  </si>
  <si>
    <t>SARANYA M</t>
  </si>
  <si>
    <t>LPDS94651 | SARANYA M</t>
  </si>
  <si>
    <t>LPD12146</t>
  </si>
  <si>
    <t>SARIFUL GAYEN</t>
  </si>
  <si>
    <t>LPD12146 | SARIFUL GAYEN</t>
  </si>
  <si>
    <t>LPDS95722</t>
  </si>
  <si>
    <t>SARITHA THANGADURAI</t>
  </si>
  <si>
    <t>LPDS95722 | SARITHA THANGADURAI</t>
  </si>
  <si>
    <t>LPD12139</t>
  </si>
  <si>
    <t>SARTAJ BEGAM A</t>
  </si>
  <si>
    <t>LPD12139 | SARTAJ BEGAM A</t>
  </si>
  <si>
    <t>LPD08486</t>
  </si>
  <si>
    <t>SASIKALA</t>
  </si>
  <si>
    <t>LPD08486 | SASIKALA</t>
  </si>
  <si>
    <t>LPD08203</t>
  </si>
  <si>
    <t>LPD08203 | SASIKALA</t>
  </si>
  <si>
    <t>LPDS95519</t>
  </si>
  <si>
    <t>SATHIYA</t>
  </si>
  <si>
    <t>LPDS95519 | SATHIYA</t>
  </si>
  <si>
    <t>LPDS94681</t>
  </si>
  <si>
    <t>SATHIYABAMA M</t>
  </si>
  <si>
    <t>LPDS94681 | SATHIYABAMA M</t>
  </si>
  <si>
    <t>LPD08287</t>
  </si>
  <si>
    <t>SATHYA</t>
  </si>
  <si>
    <t>LPD08287 | SATHYA</t>
  </si>
  <si>
    <t>LPD09159</t>
  </si>
  <si>
    <t>LPD09159 | SATHYA</t>
  </si>
  <si>
    <t>LPD09543</t>
  </si>
  <si>
    <t>SAVITHRI</t>
  </si>
  <si>
    <t>LPD09543 | SAVITHRI</t>
  </si>
  <si>
    <t>LPDS95684</t>
  </si>
  <si>
    <t>SELVI VENGATESAN</t>
  </si>
  <si>
    <t>LPDS95684 | SELVI VENGATESAN</t>
  </si>
  <si>
    <t>LPDS95453</t>
  </si>
  <si>
    <t>SHABANA</t>
  </si>
  <si>
    <t>LPDS95453 | SHABANA</t>
  </si>
  <si>
    <t>LPDS95705</t>
  </si>
  <si>
    <t>LPDS95705 | SHABANA</t>
  </si>
  <si>
    <t>LPD11152</t>
  </si>
  <si>
    <t>LPD11152 | SHABANA</t>
  </si>
  <si>
    <t>LPDS94605</t>
  </si>
  <si>
    <t>LPDS94605 | SHABANA</t>
  </si>
  <si>
    <t>LPDS94631</t>
  </si>
  <si>
    <t>LPDS94631 | SHABANA</t>
  </si>
  <si>
    <t>LPD11018</t>
  </si>
  <si>
    <t>LPD11018 | SHABANA</t>
  </si>
  <si>
    <t>LPD08003</t>
  </si>
  <si>
    <t>LPD08003 | SHABANA</t>
  </si>
  <si>
    <t>LPD11578</t>
  </si>
  <si>
    <t>LPD11578 | SHABANA</t>
  </si>
  <si>
    <t>LPD08553</t>
  </si>
  <si>
    <t>SHABANA BEGUM</t>
  </si>
  <si>
    <t>LPD08553 | SHABANA BEGUM</t>
  </si>
  <si>
    <t>LPD11026</t>
  </si>
  <si>
    <t>SHAHATHA</t>
  </si>
  <si>
    <t>LPD11026 | SHAHATHA</t>
  </si>
  <si>
    <t>LPD08550</t>
  </si>
  <si>
    <t>SHAHEEM SHAMEEM</t>
  </si>
  <si>
    <t>LPD08550 | SHAHEEM SHAMEEM</t>
  </si>
  <si>
    <t>LPD11697</t>
  </si>
  <si>
    <t>SHAHIN</t>
  </si>
  <si>
    <t>LPD11697 | SHAHIN</t>
  </si>
  <si>
    <t>LPD11153</t>
  </si>
  <si>
    <t>SHAINAN</t>
  </si>
  <si>
    <t>LPD11153 | SHAINAN</t>
  </si>
  <si>
    <t>LPD11973</t>
  </si>
  <si>
    <t>SHAJAN R</t>
  </si>
  <si>
    <t>LPD11973 | SHAJAN R</t>
  </si>
  <si>
    <t>LPD10044</t>
  </si>
  <si>
    <t>SHAKIRA</t>
  </si>
  <si>
    <t>LPD10044 | SHAKIRA</t>
  </si>
  <si>
    <t>LPD11572</t>
  </si>
  <si>
    <t>SHALINI</t>
  </si>
  <si>
    <t>LPD11572 | SHALINI</t>
  </si>
  <si>
    <t>LPD10208</t>
  </si>
  <si>
    <t>SHAMEEM</t>
  </si>
  <si>
    <t>LPD10208 | SHAMEEM</t>
  </si>
  <si>
    <t>LPD10562</t>
  </si>
  <si>
    <t>LPD10562 | SHAMEEM</t>
  </si>
  <si>
    <t>LPD11975</t>
  </si>
  <si>
    <t>SHAMIM AHMED</t>
  </si>
  <si>
    <t>LPD11975 | SHAMIM AHMED</t>
  </si>
  <si>
    <t>LPD12084</t>
  </si>
  <si>
    <t>SHANAWAAZ</t>
  </si>
  <si>
    <t>LPD12084 | SHANAWAAZ</t>
  </si>
  <si>
    <t>LPD08097</t>
  </si>
  <si>
    <t>SHANTHI</t>
  </si>
  <si>
    <t>LPD08097 | SHANTHI</t>
  </si>
  <si>
    <t>LPD08211</t>
  </si>
  <si>
    <t>SHAREENA</t>
  </si>
  <si>
    <t>LPD08211 | SHAREENA</t>
  </si>
  <si>
    <t>LPD08619</t>
  </si>
  <si>
    <t>SHARFUDDIN</t>
  </si>
  <si>
    <t>LPD08619 | SHARFUDDIN</t>
  </si>
  <si>
    <t>LPD11780</t>
  </si>
  <si>
    <t>SHARMILA</t>
  </si>
  <si>
    <t>LPD11780 | SHARMILA</t>
  </si>
  <si>
    <t>LPD08580</t>
  </si>
  <si>
    <t>SHARMILI</t>
  </si>
  <si>
    <t>LPD08580 | SHARMILI</t>
  </si>
  <si>
    <t>LPDS95011</t>
  </si>
  <si>
    <t>SHENBAGAM JEEVA</t>
  </si>
  <si>
    <t>LPDS95011 | SHENBAGAM JEEVA</t>
  </si>
  <si>
    <t>LPD11703</t>
  </si>
  <si>
    <t>SHENBAGAVALLI</t>
  </si>
  <si>
    <t>LPD11703 | SHENBAGAVALLI</t>
  </si>
  <si>
    <t>LPD11463</t>
  </si>
  <si>
    <t>SHINAS</t>
  </si>
  <si>
    <t>LPD11463 | SHINAS</t>
  </si>
  <si>
    <t>LPD09954</t>
  </si>
  <si>
    <t>SHOBANA</t>
  </si>
  <si>
    <t>LPD09954 | SHOBANA</t>
  </si>
  <si>
    <t>LPD12108</t>
  </si>
  <si>
    <t>SK SHARUKH</t>
  </si>
  <si>
    <t>LPD12108 | SK SHARUKH</t>
  </si>
  <si>
    <t>LPD10691</t>
  </si>
  <si>
    <t>SK. ABDUL GAFFAR</t>
  </si>
  <si>
    <t>LPD10691 | SK. ABDUL GAFFAR</t>
  </si>
  <si>
    <t>LPDS95059</t>
  </si>
  <si>
    <t>SNEGA</t>
  </si>
  <si>
    <t>LPDS95059 | SNEGA</t>
  </si>
  <si>
    <t>LPDS95708</t>
  </si>
  <si>
    <t>SNEHA SEENIVASAN</t>
  </si>
  <si>
    <t>LPDS95708 | SNEHA SEENIVASAN</t>
  </si>
  <si>
    <t>LPD08952</t>
  </si>
  <si>
    <t>SONA BAI</t>
  </si>
  <si>
    <t>LPD08952 | SONA BAI</t>
  </si>
  <si>
    <t>LPD08043</t>
  </si>
  <si>
    <t>SONIYA</t>
  </si>
  <si>
    <t>LPD08043 | SONIYA</t>
  </si>
  <si>
    <t>LPDS95712</t>
  </si>
  <si>
    <t>SOWMIYA THIYAGARAJAN</t>
  </si>
  <si>
    <t>LPDS95712 | SOWMIYA THIYAGARAJAN</t>
  </si>
  <si>
    <t>LPD10030</t>
  </si>
  <si>
    <t>SUBASHINI</t>
  </si>
  <si>
    <t>LPD10030 | SUBASHINI</t>
  </si>
  <si>
    <t>LPDS95648</t>
  </si>
  <si>
    <t>SUBASHINI PERUMAL</t>
  </si>
  <si>
    <t>LPDS95648 | SUBASHINI PERUMAL</t>
  </si>
  <si>
    <t>LPDS94641</t>
  </si>
  <si>
    <t>SUDHA E</t>
  </si>
  <si>
    <t>LPDS94641 | SUDHA E</t>
  </si>
  <si>
    <t>LPDS95791</t>
  </si>
  <si>
    <t>SUDHA VENKATESAN</t>
  </si>
  <si>
    <t>LPDS95791 | SUDHA VENKATESAN</t>
  </si>
  <si>
    <t>LPD07974</t>
  </si>
  <si>
    <t>SUJATHA</t>
  </si>
  <si>
    <t>LPD07974 | SUJATHA</t>
  </si>
  <si>
    <t>LPD11187</t>
  </si>
  <si>
    <t>LPD11187 | SUJATHA</t>
  </si>
  <si>
    <t>LPDS95198</t>
  </si>
  <si>
    <t>SULAIMAN</t>
  </si>
  <si>
    <t>LPDS95198 | SULAIMAN</t>
  </si>
  <si>
    <t>LPDS95360</t>
  </si>
  <si>
    <t>SUMAIYA BANU</t>
  </si>
  <si>
    <t>LPDS95360 | SUMAIYA BANU</t>
  </si>
  <si>
    <t>LPD11358</t>
  </si>
  <si>
    <t>SUMATHI</t>
  </si>
  <si>
    <t>LPD11358 | SUMATHI</t>
  </si>
  <si>
    <t>LPDS94639</t>
  </si>
  <si>
    <t>LPDS94639 | SUMATHI</t>
  </si>
  <si>
    <t>LPD11567</t>
  </si>
  <si>
    <t>LPD11567 | SUMATHI</t>
  </si>
  <si>
    <t>LPDS94726</t>
  </si>
  <si>
    <t>SUMATHI R</t>
  </si>
  <si>
    <t>LPDS94726 | SUMATHI R</t>
  </si>
  <si>
    <t>LPDS95745</t>
  </si>
  <si>
    <t>SUMITHRA</t>
  </si>
  <si>
    <t>LPDS95745 | SUMITHRA</t>
  </si>
  <si>
    <t>LPDS94695</t>
  </si>
  <si>
    <t>SUMITHRA VENKATESAN</t>
  </si>
  <si>
    <t>LPDS94695 | SUMITHRA VENKATESAN</t>
  </si>
  <si>
    <t>LPD10025</t>
  </si>
  <si>
    <t>SURIYA BEGUM</t>
  </si>
  <si>
    <t>LPD10025 | SURIYA BEGUM</t>
  </si>
  <si>
    <t>LPD12208</t>
  </si>
  <si>
    <t>T SHAMEEL AHMED</t>
  </si>
  <si>
    <t>LPD12208 | T SHAMEEL AHMED</t>
  </si>
  <si>
    <t>LPDS95398</t>
  </si>
  <si>
    <t>T SOWMIYA</t>
  </si>
  <si>
    <t>LPDS95398 | T SOWMIYA</t>
  </si>
  <si>
    <t>LPD10674</t>
  </si>
  <si>
    <t>T. KHAN</t>
  </si>
  <si>
    <t>LPD10674 | T. KHAN</t>
  </si>
  <si>
    <t>LPD11695</t>
  </si>
  <si>
    <t>T. MAHALAKSHMI</t>
  </si>
  <si>
    <t>LPD11695 | T. MAHALAKSHMI</t>
  </si>
  <si>
    <t>LPD11343</t>
  </si>
  <si>
    <t>T. PAVITHRA</t>
  </si>
  <si>
    <t>LPD11343 | T. PAVITHRA</t>
  </si>
  <si>
    <t>LPD11222</t>
  </si>
  <si>
    <t>T. SARGUNA</t>
  </si>
  <si>
    <t>LPD11222 | T. SARGUNA</t>
  </si>
  <si>
    <t>LPD03462</t>
  </si>
  <si>
    <t>T. SIKANDER</t>
  </si>
  <si>
    <t>LPD03462 | T. SIKANDER</t>
  </si>
  <si>
    <t>LPD10961</t>
  </si>
  <si>
    <t>T. USHA</t>
  </si>
  <si>
    <t>LPD10961 | T. USHA</t>
  </si>
  <si>
    <t>LPD11520</t>
  </si>
  <si>
    <t>T. ZAREENA</t>
  </si>
  <si>
    <t>LPD11520 | T. ZAREENA</t>
  </si>
  <si>
    <t>LPD09862</t>
  </si>
  <si>
    <t>T.M. HASSAIN</t>
  </si>
  <si>
    <t>LPD09862 | T.M. HASSAIN</t>
  </si>
  <si>
    <t>LPD03769</t>
  </si>
  <si>
    <t>TABASUM</t>
  </si>
  <si>
    <t>LPD03769 | TABASUM</t>
  </si>
  <si>
    <t>LPD11197</t>
  </si>
  <si>
    <t>TAHERA</t>
  </si>
  <si>
    <t>LPD11197 | TAHERA</t>
  </si>
  <si>
    <t>LPD12025</t>
  </si>
  <si>
    <t>TAHIR HUSSAIN</t>
  </si>
  <si>
    <t>LPD12025 | TAHIR HUSSAIN</t>
  </si>
  <si>
    <t>LPDS95550</t>
  </si>
  <si>
    <t>TASLEEMA NAZEER</t>
  </si>
  <si>
    <t>LPDS95550 | TASLEEMA NAZEER</t>
  </si>
  <si>
    <t>LPD11199</t>
  </si>
  <si>
    <t>THABARAK</t>
  </si>
  <si>
    <t>LPD11199 | THABARAK</t>
  </si>
  <si>
    <t>LPDS94675</t>
  </si>
  <si>
    <t>THABASUM I</t>
  </si>
  <si>
    <t>LPDS94675 | THABASUM I</t>
  </si>
  <si>
    <t>LPDS94715</t>
  </si>
  <si>
    <t>THAMEEM SHAVAKATH</t>
  </si>
  <si>
    <t>LPDS94715 | THAMEEM SHAVAKATH</t>
  </si>
  <si>
    <t>LPD11099</t>
  </si>
  <si>
    <t>THAMILARASI</t>
  </si>
  <si>
    <t>LPD11099 | THAMILARASI</t>
  </si>
  <si>
    <t>LPD10455</t>
  </si>
  <si>
    <t>THAMRIN</t>
  </si>
  <si>
    <t>LPD10455 | THAMRIN</t>
  </si>
  <si>
    <t>LPD10073</t>
  </si>
  <si>
    <t>THANGAM</t>
  </si>
  <si>
    <t>LPD10073 | THANGAM</t>
  </si>
  <si>
    <t>LPDS94635</t>
  </si>
  <si>
    <t>THARANI T</t>
  </si>
  <si>
    <t>LPDS94635 | THARANI T</t>
  </si>
  <si>
    <t>LPDS94964</t>
  </si>
  <si>
    <t>THILSHATH</t>
  </si>
  <si>
    <t>LPDS94964 | THILSHATH</t>
  </si>
  <si>
    <t>LPDS95017</t>
  </si>
  <si>
    <t>THULASIMANI</t>
  </si>
  <si>
    <t>LPDS95017 | THULASIMANI</t>
  </si>
  <si>
    <t>LPD08629</t>
  </si>
  <si>
    <t>U. MOHAMMED MATHEEN</t>
  </si>
  <si>
    <t>LPD08629 | U. MOHAMMED MATHEEN</t>
  </si>
  <si>
    <t>LPD09538</t>
  </si>
  <si>
    <t>U. SHAMSHAD</t>
  </si>
  <si>
    <t>LPD09538 | U. SHAMSHAD</t>
  </si>
  <si>
    <t>LPD12239</t>
  </si>
  <si>
    <t>U. SHYLAJA</t>
  </si>
  <si>
    <t>LPD12239 | U. SHYLAJA</t>
  </si>
  <si>
    <t>LPD10253</t>
  </si>
  <si>
    <t>UMA</t>
  </si>
  <si>
    <t>LPD10253 | UMA</t>
  </si>
  <si>
    <t>LPDS94756</t>
  </si>
  <si>
    <t>UMA C</t>
  </si>
  <si>
    <t>LPDS94756 | UMA C</t>
  </si>
  <si>
    <t>LPD08891</t>
  </si>
  <si>
    <t>UMA MAHESWARI</t>
  </si>
  <si>
    <t>LPD08891 | UMA MAHESWARI</t>
  </si>
  <si>
    <t>LPD12209</t>
  </si>
  <si>
    <t>UMAR FAROOQUE</t>
  </si>
  <si>
    <t>LPD12209 | UMAR FAROOQUE</t>
  </si>
  <si>
    <t>LPD11454</t>
  </si>
  <si>
    <t>USHA</t>
  </si>
  <si>
    <t>LPD11454 | USHA</t>
  </si>
  <si>
    <t>LPD08092</t>
  </si>
  <si>
    <t>LPD08092 | USHA</t>
  </si>
  <si>
    <t>LPD06917</t>
  </si>
  <si>
    <t>USHA RANI</t>
  </si>
  <si>
    <t>LPD06917 | USHA RANI</t>
  </si>
  <si>
    <t>LPD11727</t>
  </si>
  <si>
    <t>USHARANI</t>
  </si>
  <si>
    <t>LPD11727 | USHARANI</t>
  </si>
  <si>
    <t>LPDS95693</t>
  </si>
  <si>
    <t>V DEEPA</t>
  </si>
  <si>
    <t>LPDS95693 | V DEEPA</t>
  </si>
  <si>
    <t>LPD11985</t>
  </si>
  <si>
    <t>V UMA</t>
  </si>
  <si>
    <t>LPD11985 | V UMA</t>
  </si>
  <si>
    <t>LPD10067</t>
  </si>
  <si>
    <t>V. ARCHANA</t>
  </si>
  <si>
    <t>LPD10067 | V. ARCHANA</t>
  </si>
  <si>
    <t>LPD11601</t>
  </si>
  <si>
    <t>V. CHITRA</t>
  </si>
  <si>
    <t>LPD11601 | V. CHITRA</t>
  </si>
  <si>
    <t>LPD03247</t>
  </si>
  <si>
    <t>V. DASTAGEER</t>
  </si>
  <si>
    <t>LPD03247 | V. DASTAGEER</t>
  </si>
  <si>
    <t>LPD08670</t>
  </si>
  <si>
    <t>V. DEVAGI</t>
  </si>
  <si>
    <t>LPD08670 | V. DEVAGI</t>
  </si>
  <si>
    <t>LPD07514</t>
  </si>
  <si>
    <t>V. DHANALAKSHMI</t>
  </si>
  <si>
    <t>LPD07514 | V. DHANALAKSHMI</t>
  </si>
  <si>
    <t>LPD11691</t>
  </si>
  <si>
    <t>V. JAYANTHI</t>
  </si>
  <si>
    <t>LPD11691 | V. JAYANTHI</t>
  </si>
  <si>
    <t>LPD05562</t>
  </si>
  <si>
    <t>V. KALAIARASI</t>
  </si>
  <si>
    <t>LPD05562 | V. KALAIARASI</t>
  </si>
  <si>
    <t>LPD11006</t>
  </si>
  <si>
    <t>V. LAKSHMI</t>
  </si>
  <si>
    <t>LPD11006 | V. LAKSHMI</t>
  </si>
  <si>
    <t>LPD05958</t>
  </si>
  <si>
    <t>V. MALARVIZHI</t>
  </si>
  <si>
    <t>LPD05958 | V. MALARVIZHI</t>
  </si>
  <si>
    <t>LPD10064</t>
  </si>
  <si>
    <t>V. MARTHA</t>
  </si>
  <si>
    <t>LPD10064 | V. MARTHA</t>
  </si>
  <si>
    <t>LPD05518</t>
  </si>
  <si>
    <t>V. MD.YOUNUS</t>
  </si>
  <si>
    <t>LPD05518 | V. MD.YOUNUS</t>
  </si>
  <si>
    <t>LPD04804</t>
  </si>
  <si>
    <t>V. MEENATCHI</t>
  </si>
  <si>
    <t>LPD04804 | V. MEENATCHI</t>
  </si>
  <si>
    <t>LPD06232</t>
  </si>
  <si>
    <t>V. PARVATHI</t>
  </si>
  <si>
    <t>LPD06232 | V. PARVATHI</t>
  </si>
  <si>
    <t>LPD11483</t>
  </si>
  <si>
    <t>V. PAVITHRA</t>
  </si>
  <si>
    <t>LPD11483 | V. PAVITHRA</t>
  </si>
  <si>
    <t>LPD08565</t>
  </si>
  <si>
    <t>V. SIVAGAMI</t>
  </si>
  <si>
    <t>LPD08565 | V. SIVAGAMI</t>
  </si>
  <si>
    <t>LPD11404</t>
  </si>
  <si>
    <t>V. SOBA</t>
  </si>
  <si>
    <t>LPD11404 | V. SOBA</t>
  </si>
  <si>
    <t>LPD09937</t>
  </si>
  <si>
    <t>V. SUMATHI</t>
  </si>
  <si>
    <t>LPD09937 | V. SUMATHI</t>
  </si>
  <si>
    <t>LPD08991</t>
  </si>
  <si>
    <t>V. THILAGAVATHY</t>
  </si>
  <si>
    <t>LPD08991 | V. THILAGAVATHY</t>
  </si>
  <si>
    <t>LPD07953</t>
  </si>
  <si>
    <t>V. THULASI</t>
  </si>
  <si>
    <t>LPD07953 | V. THULASI</t>
  </si>
  <si>
    <t>LPD07913</t>
  </si>
  <si>
    <t>V. UMA</t>
  </si>
  <si>
    <t>LPD07913 | V. UMA</t>
  </si>
  <si>
    <t>LPD08386</t>
  </si>
  <si>
    <t>V. USHA</t>
  </si>
  <si>
    <t>LPD08386 | V. USHA</t>
  </si>
  <si>
    <t>LPD07690</t>
  </si>
  <si>
    <t>V. USHA RANI</t>
  </si>
  <si>
    <t>LPD07690 | V. USHA RANI</t>
  </si>
  <si>
    <t>LPD07551</t>
  </si>
  <si>
    <t>V. VASANTHI</t>
  </si>
  <si>
    <t>LPD07551 | V. VASANTHI</t>
  </si>
  <si>
    <t>LPD09050</t>
  </si>
  <si>
    <t>V. VIJAYALAKSHMI</t>
  </si>
  <si>
    <t>LPD09050 | V. VIJAYALAKSHMI</t>
  </si>
  <si>
    <t>LPD08810</t>
  </si>
  <si>
    <t>LPD08810 | V. VIJAYALAKSHMI</t>
  </si>
  <si>
    <t>LPD07297</t>
  </si>
  <si>
    <t>V. VIMALA</t>
  </si>
  <si>
    <t>LPD07297 | V. VIMALA</t>
  </si>
  <si>
    <t>LPD07392</t>
  </si>
  <si>
    <t>V.P. MUBARAK</t>
  </si>
  <si>
    <t>LPD07392 | V.P. MUBARAK</t>
  </si>
  <si>
    <t>LPDS94769</t>
  </si>
  <si>
    <t>VAGHA BANU I</t>
  </si>
  <si>
    <t>LPDS94769 | VAGHA BANU I</t>
  </si>
  <si>
    <t>LPD09065</t>
  </si>
  <si>
    <t>VALLI</t>
  </si>
  <si>
    <t>LPD09065 | VALLI</t>
  </si>
  <si>
    <t>LPD08268</t>
  </si>
  <si>
    <t>VASANTHI</t>
  </si>
  <si>
    <t>LPD08268 | VASANTHI</t>
  </si>
  <si>
    <t>LPD08422</t>
  </si>
  <si>
    <t>LPD08422 | VASANTHI</t>
  </si>
  <si>
    <t>LPD12243</t>
  </si>
  <si>
    <t>VASIM AKARAM</t>
  </si>
  <si>
    <t>LPD12243 | VASIM AKARAM</t>
  </si>
  <si>
    <t>LPD10887</t>
  </si>
  <si>
    <t>VEDHAVALLI</t>
  </si>
  <si>
    <t>LPD10887 | VEDHAVALLI</t>
  </si>
  <si>
    <t>LPDS94625</t>
  </si>
  <si>
    <t>VICTORIYA A</t>
  </si>
  <si>
    <t>LPDS94625 | VICTORIYA A</t>
  </si>
  <si>
    <t>LPD10027</t>
  </si>
  <si>
    <t>VIJAYALAKSHMI</t>
  </si>
  <si>
    <t>LPD10027 | VIJAYALAKSHMI</t>
  </si>
  <si>
    <t>LPDS95721</t>
  </si>
  <si>
    <t>VIJAYALAKSHMI THANGAVEL</t>
  </si>
  <si>
    <t>LPDS95721 | VIJAYALAKSHMI THANGAVEL</t>
  </si>
  <si>
    <t>LPD12096</t>
  </si>
  <si>
    <t>VIJAYASHANTHI M</t>
  </si>
  <si>
    <t>LPD12096 | VIJAYASHANTHI M</t>
  </si>
  <si>
    <t>LPD11121</t>
  </si>
  <si>
    <t>VISHALI</t>
  </si>
  <si>
    <t>LPD11121 | VISHALI</t>
  </si>
  <si>
    <t>LPD11088</t>
  </si>
  <si>
    <t>Y. ALMAS BEGUM</t>
  </si>
  <si>
    <t>LPD11088 | Y. ALMAS BEGUM</t>
  </si>
  <si>
    <t>LPD08657</t>
  </si>
  <si>
    <t>Y. YUSUF</t>
  </si>
  <si>
    <t>LPD08657 | Y. YUSUF</t>
  </si>
  <si>
    <t>LPD10932</t>
  </si>
  <si>
    <t>YASIN</t>
  </si>
  <si>
    <t>LPD10932 | YASIN</t>
  </si>
  <si>
    <t>LPDS95698</t>
  </si>
  <si>
    <t>YASMEEN</t>
  </si>
  <si>
    <t>LPDS95698 | YASMEEN</t>
  </si>
  <si>
    <t>LPD11481</t>
  </si>
  <si>
    <t>YASMIN</t>
  </si>
  <si>
    <t>LPD11481 | YASMIN</t>
  </si>
  <si>
    <t>LPD08685</t>
  </si>
  <si>
    <t>Z. NAYEEMUNNISA</t>
  </si>
  <si>
    <t>LPD08685 | Z. NAYEEMUNNISA</t>
  </si>
  <si>
    <t>LPDS94720</t>
  </si>
  <si>
    <t>ZARINA</t>
  </si>
  <si>
    <t>LPDS94720 | ZARINA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</si>
</sst>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1"/>
    </font>
    <font>
      <sz val="11"/>
    </font>
    <font>
      <i/>
      <color rgb="FF6B7280"/>
      <sz val="10"/>
    </font>
    <font>
      <b/>
      <color rgb="FF1D6F42"/>
      <sz val="11"/>
    </font>
    <font>
      <b/>
      <color rgb="FFFFFFFF"/>
      <sz val="11"/>
    </font>
  </fonts>
  <fills count="11">
    <fill>
      <patternFill patternType="none"/>
    </fill>
    <fill>
      <patternFill patternType="gray125"/>
    </fill>
    <fill>
      <patternFill patternType="solid">
        <fgColor rgb="FF1D6F42"/>
      </patternFill>
    </fill>
    <fill>
      <patternFill patternType="solid">
        <fgColor rgb="FFF2F2F2"/>
      </patternFill>
    </fill>
    <fill>
      <patternFill/>
    </fill>
    <fill>
      <patternFill patternType="solid">
        <fgColor rgb="FFD1FAE5"/>
      </patternFill>
    </fill>
    <fill>
      <patternFill patternType="solid">
        <fgColor rgb="FFFFF9C4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EBEBEB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2" fontId="0" fillId="8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50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4" customWidth="1"/>
    <col min="2" max="2" width="10" customWidth="1"/>
    <col min="3" max="3" width="16" customWidth="1"/>
    <col min="4" max="4" width="18" customWidth="1"/>
    <col min="5" max="5" width="36" customWidth="1"/>
    <col min="6" max="7" width="16" customWidth="1"/>
    <col min="8" max="8" width="14" customWidth="1"/>
    <col min="9" max="9" width="13" customWidth="1"/>
    <col min="10" max="10" width="12" customWidth="1"/>
    <col min="11" max="11" width="18" customWidth="1"/>
    <col min="12" max="12" width="28" customWidth="1"/>
  </cols>
  <sheetData>
    <row r="1" ht="30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6" customHeight="1" x14ac:dyDescent="0.25"/>
    <row r="3" spans="1:12" x14ac:dyDescent="0.25">
      <c r="A3" s="2" t="s">
        <v>1</v>
      </c>
      <c r="B3" s="3" t="s">
        <v>2</v>
      </c>
      <c r="C3" s="4" t="s">
        <v>3</v>
      </c>
      <c r="D3"/>
      <c r="E3"/>
      <c r="F3"/>
      <c r="G3"/>
      <c r="H3"/>
      <c r="I3"/>
      <c r="J3"/>
      <c r="K3"/>
      <c r="L3"/>
    </row>
    <row r="4" spans="1:12" x14ac:dyDescent="0.25">
      <c r="A4" s="2" t="s">
        <v>4</v>
      </c>
      <c r="B4" s="3" t="s">
        <v>2</v>
      </c>
      <c r="C4" s="4" t="s">
        <v>5</v>
      </c>
      <c r="D4"/>
      <c r="E4"/>
      <c r="F4"/>
      <c r="G4"/>
      <c r="H4"/>
      <c r="I4"/>
      <c r="J4"/>
      <c r="K4"/>
      <c r="L4"/>
    </row>
    <row r="5" spans="1:12" x14ac:dyDescent="0.25">
      <c r="A5" s="2" t="s">
        <v>6</v>
      </c>
      <c r="B5" s="3" t="s">
        <v>2</v>
      </c>
      <c r="C5" s="4" t="s">
        <v>7</v>
      </c>
      <c r="D5"/>
      <c r="E5"/>
      <c r="F5"/>
      <c r="G5"/>
      <c r="H5"/>
      <c r="I5"/>
      <c r="J5"/>
      <c r="K5"/>
      <c r="L5"/>
    </row>
    <row r="6" spans="1:12" x14ac:dyDescent="0.25">
      <c r="A6" s="2" t="s">
        <v>8</v>
      </c>
      <c r="B6" s="3" t="s">
        <v>9</v>
      </c>
      <c r="C6" s="4" t="s">
        <v>10</v>
      </c>
      <c r="D6"/>
      <c r="E6"/>
      <c r="F6"/>
      <c r="G6"/>
      <c r="H6"/>
      <c r="I6"/>
      <c r="J6"/>
      <c r="K6"/>
      <c r="L6"/>
    </row>
    <row r="7" spans="1:12" x14ac:dyDescent="0.25">
      <c r="A7" s="2" t="s">
        <v>11</v>
      </c>
      <c r="B7" s="3" t="s">
        <v>12</v>
      </c>
      <c r="C7" s="4" t="s">
        <v>13</v>
      </c>
      <c r="D7"/>
      <c r="E7"/>
      <c r="F7"/>
      <c r="G7"/>
      <c r="H7"/>
      <c r="I7"/>
      <c r="J7"/>
      <c r="K7"/>
      <c r="L7"/>
    </row>
    <row r="8" spans="1:12" x14ac:dyDescent="0.25">
      <c r="A8" s="2" t="s">
        <v>14</v>
      </c>
      <c r="B8" s="3" t="s">
        <v>2</v>
      </c>
      <c r="C8" s="4" t="s">
        <v>15</v>
      </c>
      <c r="D8"/>
      <c r="E8"/>
      <c r="F8"/>
      <c r="G8"/>
      <c r="H8"/>
      <c r="I8"/>
      <c r="J8"/>
      <c r="K8"/>
      <c r="L8"/>
    </row>
    <row r="9" spans="1:12" x14ac:dyDescent="0.25">
      <c r="A9" s="2" t="s">
        <v>16</v>
      </c>
      <c r="B9" s="3" t="s">
        <v>2</v>
      </c>
      <c r="C9" s="4" t="s">
        <v>17</v>
      </c>
      <c r="D9"/>
      <c r="E9"/>
      <c r="F9"/>
      <c r="G9"/>
      <c r="H9"/>
      <c r="I9"/>
      <c r="J9"/>
      <c r="K9"/>
      <c r="L9"/>
    </row>
    <row r="10" spans="1:12" x14ac:dyDescent="0.25">
      <c r="A10" s="2" t="s">
        <v>18</v>
      </c>
      <c r="B10" s="3" t="s">
        <v>2</v>
      </c>
      <c r="C10" s="4" t="s">
        <v>19</v>
      </c>
      <c r="D10"/>
      <c r="E10"/>
      <c r="F10"/>
      <c r="G10"/>
      <c r="H10"/>
      <c r="I10"/>
      <c r="J10"/>
      <c r="K10"/>
      <c r="L10"/>
    </row>
    <row r="11" spans="1:12" x14ac:dyDescent="0.25">
      <c r="A11" s="2" t="s">
        <v>20</v>
      </c>
      <c r="B11" s="3" t="s">
        <v>2</v>
      </c>
      <c r="C11" s="4" t="s">
        <v>21</v>
      </c>
      <c r="D11"/>
      <c r="E11"/>
      <c r="F11"/>
      <c r="G11"/>
      <c r="H11"/>
      <c r="I11"/>
      <c r="J11"/>
      <c r="K11"/>
      <c r="L11"/>
    </row>
    <row r="12" spans="1:12" x14ac:dyDescent="0.25">
      <c r="A12" s="2" t="s">
        <v>22</v>
      </c>
      <c r="B12" s="3" t="s">
        <v>2</v>
      </c>
      <c r="C12" s="4" t="s">
        <v>23</v>
      </c>
      <c r="D12"/>
      <c r="E12"/>
      <c r="F12"/>
      <c r="G12"/>
      <c r="H12"/>
      <c r="I12"/>
      <c r="J12"/>
      <c r="K12"/>
      <c r="L12"/>
    </row>
    <row r="13" spans="1:12" x14ac:dyDescent="0.25">
      <c r="A13" s="2" t="s">
        <v>24</v>
      </c>
      <c r="B13" s="5" t="s">
        <v>2</v>
      </c>
      <c r="C13" s="4" t="s">
        <v>25</v>
      </c>
      <c r="D13"/>
      <c r="E13"/>
      <c r="F13"/>
      <c r="G13"/>
      <c r="H13"/>
      <c r="I13"/>
      <c r="J13"/>
      <c r="K13"/>
      <c r="L13"/>
    </row>
    <row r="14" spans="1:12" x14ac:dyDescent="0.25">
      <c r="A14" s="6" t="s">
        <v>26</v>
      </c>
      <c r="B14" s="7">
        <v>28800</v>
      </c>
      <c r="C14" s="4" t="s">
        <v>27</v>
      </c>
      <c r="D14"/>
      <c r="E14"/>
      <c r="F14"/>
      <c r="G14"/>
      <c r="H14"/>
      <c r="I14"/>
      <c r="J14"/>
      <c r="K14"/>
      <c r="L14"/>
    </row>
    <row r="15" ht="8" customHeight="1" x14ac:dyDescent="0.25"/>
    <row r="16" ht="22" customHeight="1" spans="1:12" x14ac:dyDescent="0.25">
      <c r="A16" s="8" t="s">
        <v>28</v>
      </c>
      <c r="B16" s="8" t="s">
        <v>29</v>
      </c>
      <c r="C16" s="8" t="s">
        <v>30</v>
      </c>
      <c r="D16" s="9" t="s">
        <v>31</v>
      </c>
      <c r="E16" s="8" t="s">
        <v>32</v>
      </c>
      <c r="F16" s="8" t="s">
        <v>33</v>
      </c>
      <c r="G16" s="9" t="s">
        <v>34</v>
      </c>
      <c r="H16" s="9" t="s">
        <v>35</v>
      </c>
      <c r="I16" s="9" t="s">
        <v>36</v>
      </c>
      <c r="J16" s="9" t="s">
        <v>37</v>
      </c>
      <c r="K16" s="9" t="s">
        <v>38</v>
      </c>
      <c r="L16" s="8" t="s">
        <v>39</v>
      </c>
    </row>
    <row r="17" ht="18" customHeight="1" spans="1:12" x14ac:dyDescent="0.25">
      <c r="A17" s="10" t="s">
        <v>2</v>
      </c>
      <c r="B17" s="10" t="s">
        <v>2</v>
      </c>
      <c r="C17" s="10" t="s">
        <v>2</v>
      </c>
      <c r="D17" s="11" t="str">
        <f>=IF(E17="","",IF(ISNUMBER(FIND("|",E17)),TRIM(LEFT(E17,FIND("|",E17)-1)),IF(ISNUMBER(MATCH(E17,Config!$C$1:$C$311,0)),E17,IFERROR(INDEX(Config!$C$1:$C$311,MATCH(E17,Config!$D$1:$D$311,0)),""))))</f>
        <v>OP-0152</v>
      </c>
      <c r="E17" s="12" t="s">
        <v>40</v>
      </c>
      <c r="F17" s="13">
        <v>32</v>
      </c>
      <c r="G17" s="14" t="str">
        <f>=IF(C17="","",SUMIF($C$17:$C$502,C17,$F$17:$F$502))</f>
        <v/>
      </c>
      <c r="H17" s="14" t="str">
        <f>=IFERROR($B$14/$B$10,"")</f>
        <v/>
      </c>
      <c r="I17" s="15" t="str">
        <f>=IFERROR(G17/H17,"")</f>
        <v/>
      </c>
      <c r="J17" s="16" t="str">
        <f>=IF(F17="","",F17/3600)</f>
        <v/>
      </c>
      <c r="K17" s="11" t="str">
        <f>=IF(L17="","",IF(ISNUMBER(FIND("|",L17)),TRIM(LEFT(L17,FIND("|",L17)-1)),IF(ISNUMBER(MATCH(L17,Config!$F$1:$F$853,0)),L17,IFERROR(INDEX(Config!$F$1:$F$853,MATCH(L17,Config!$G$1:$G$853,0)),""))))</f>
        <v/>
      </c>
      <c r="L17" s="12" t="s">
        <v>2</v>
      </c>
    </row>
    <row r="18" ht="18" customHeight="1" spans="1:12" x14ac:dyDescent="0.25">
      <c r="A18" s="10" t="s">
        <v>2</v>
      </c>
      <c r="B18" s="10" t="s">
        <v>2</v>
      </c>
      <c r="C18" s="10" t="s">
        <v>2</v>
      </c>
      <c r="D18" s="11" t="str">
        <f>=IF(E18="","",IF(ISNUMBER(FIND("|",E18)),TRIM(LEFT(E18,FIND("|",E18)-1)),IF(ISNUMBER(MATCH(E18,Config!$C$1:$C$311,0)),E18,IFERROR(INDEX(Config!$C$1:$C$311,MATCH(E18,Config!$D$1:$D$311,0)),""))))</f>
        <v>OP-0153</v>
      </c>
      <c r="E18" s="12" t="s">
        <v>41</v>
      </c>
      <c r="F18" s="13">
        <v>16</v>
      </c>
      <c r="G18" s="14" t="str">
        <f>=IF(C18="","",SUMIF($C$17:$C$502,C18,$F$17:$F$502))</f>
        <v/>
      </c>
      <c r="H18" s="14" t="str">
        <f>=IFERROR($B$14/$B$10,"")</f>
        <v/>
      </c>
      <c r="I18" s="15" t="str">
        <f>=IFERROR(G18/H18,"")</f>
        <v/>
      </c>
      <c r="J18" s="16" t="str">
        <f>=IF(F18="","",F18/3600)</f>
        <v/>
      </c>
      <c r="K18" s="11" t="str">
        <f>=IF(L18="","",IF(ISNUMBER(FIND("|",L18)),TRIM(LEFT(L18,FIND("|",L18)-1)),IF(ISNUMBER(MATCH(L18,Config!$F$1:$F$853,0)),L18,IFERROR(INDEX(Config!$F$1:$F$853,MATCH(L18,Config!$G$1:$G$853,0)),""))))</f>
        <v/>
      </c>
      <c r="L18" s="17" t="str">
        <f>=IFERROR(INDEX($L$17:L17,MATCH(C18,$C$17:C17,0)),"")</f>
        <v/>
      </c>
    </row>
    <row r="19" ht="18" customHeight="1" spans="1:12" x14ac:dyDescent="0.25">
      <c r="A19" s="10" t="s">
        <v>2</v>
      </c>
      <c r="B19" s="10" t="s">
        <v>2</v>
      </c>
      <c r="C19" s="10" t="s">
        <v>2</v>
      </c>
      <c r="D19" s="11" t="str">
        <f>=IF(E19="","",IF(ISNUMBER(FIND("|",E19)),TRIM(LEFT(E19,FIND("|",E19)-1)),IF(ISNUMBER(MATCH(E19,Config!$C$1:$C$311,0)),E19,IFERROR(INDEX(Config!$C$1:$C$311,MATCH(E19,Config!$D$1:$D$311,0)),""))))</f>
        <v>OP-0154</v>
      </c>
      <c r="E19" s="12" t="s">
        <v>42</v>
      </c>
      <c r="F19" s="13">
        <v>14</v>
      </c>
      <c r="G19" s="14" t="str">
        <f>=IF(C19="","",SUMIF($C$17:$C$502,C19,$F$17:$F$502))</f>
        <v/>
      </c>
      <c r="H19" s="14" t="str">
        <f>=IFERROR($B$14/$B$10,"")</f>
        <v/>
      </c>
      <c r="I19" s="15" t="str">
        <f>=IFERROR(G19/H19,"")</f>
        <v/>
      </c>
      <c r="J19" s="16" t="str">
        <f>=IF(F19="","",F19/3600)</f>
        <v/>
      </c>
      <c r="K19" s="11" t="str">
        <f>=IF(L19="","",IF(ISNUMBER(FIND("|",L19)),TRIM(LEFT(L19,FIND("|",L19)-1)),IF(ISNUMBER(MATCH(L19,Config!$F$1:$F$853,0)),L19,IFERROR(INDEX(Config!$F$1:$F$853,MATCH(L19,Config!$G$1:$G$853,0)),""))))</f>
        <v/>
      </c>
      <c r="L19" s="17" t="str">
        <f>=IFERROR(INDEX($L$17:L18,MATCH(C19,$C$17:C18,0)),"")</f>
        <v/>
      </c>
    </row>
    <row r="20" ht="18" customHeight="1" spans="1:12" x14ac:dyDescent="0.25">
      <c r="A20" s="10" t="s">
        <v>2</v>
      </c>
      <c r="B20" s="10" t="s">
        <v>2</v>
      </c>
      <c r="C20" s="10" t="s">
        <v>2</v>
      </c>
      <c r="D20" s="11" t="str">
        <f>=IF(E20="","",IF(ISNUMBER(FIND("|",E20)),TRIM(LEFT(E20,FIND("|",E20)-1)),IF(ISNUMBER(MATCH(E20,Config!$C$1:$C$311,0)),E20,IFERROR(INDEX(Config!$C$1:$C$311,MATCH(E20,Config!$D$1:$D$311,0)),""))))</f>
        <v>OP-0155</v>
      </c>
      <c r="E20" s="12" t="s">
        <v>43</v>
      </c>
      <c r="F20" s="13">
        <v>35</v>
      </c>
      <c r="G20" s="14" t="str">
        <f>=IF(C20="","",SUMIF($C$17:$C$502,C20,$F$17:$F$502))</f>
        <v/>
      </c>
      <c r="H20" s="14" t="str">
        <f>=IFERROR($B$14/$B$10,"")</f>
        <v/>
      </c>
      <c r="I20" s="15" t="str">
        <f>=IFERROR(G20/H20,"")</f>
        <v/>
      </c>
      <c r="J20" s="16" t="str">
        <f>=IF(F20="","",F20/3600)</f>
        <v/>
      </c>
      <c r="K20" s="11" t="str">
        <f>=IF(L20="","",IF(ISNUMBER(FIND("|",L20)),TRIM(LEFT(L20,FIND("|",L20)-1)),IF(ISNUMBER(MATCH(L20,Config!$F$1:$F$853,0)),L20,IFERROR(INDEX(Config!$F$1:$F$853,MATCH(L20,Config!$G$1:$G$853,0)),""))))</f>
        <v/>
      </c>
      <c r="L20" s="17" t="str">
        <f>=IFERROR(INDEX($L$17:L19,MATCH(C20,$C$17:C19,0)),"")</f>
        <v/>
      </c>
    </row>
    <row r="21" ht="18" customHeight="1" spans="1:12" x14ac:dyDescent="0.25">
      <c r="A21" s="10" t="s">
        <v>2</v>
      </c>
      <c r="B21" s="10" t="s">
        <v>2</v>
      </c>
      <c r="C21" s="10" t="s">
        <v>2</v>
      </c>
      <c r="D21" s="11" t="str">
        <f>=IF(E21="","",IF(ISNUMBER(FIND("|",E21)),TRIM(LEFT(E21,FIND("|",E21)-1)),IF(ISNUMBER(MATCH(E21,Config!$C$1:$C$311,0)),E21,IFERROR(INDEX(Config!$C$1:$C$311,MATCH(E21,Config!$D$1:$D$311,0)),""))))</f>
        <v>OP-0156</v>
      </c>
      <c r="E21" s="12" t="s">
        <v>44</v>
      </c>
      <c r="F21" s="13">
        <v>35</v>
      </c>
      <c r="G21" s="14" t="str">
        <f>=IF(C21="","",SUMIF($C$17:$C$502,C21,$F$17:$F$502))</f>
        <v/>
      </c>
      <c r="H21" s="14" t="str">
        <f>=IFERROR($B$14/$B$10,"")</f>
        <v/>
      </c>
      <c r="I21" s="15" t="str">
        <f>=IFERROR(G21/H21,"")</f>
        <v/>
      </c>
      <c r="J21" s="16" t="str">
        <f>=IF(F21="","",F21/3600)</f>
        <v/>
      </c>
      <c r="K21" s="11" t="str">
        <f>=IF(L21="","",IF(ISNUMBER(FIND("|",L21)),TRIM(LEFT(L21,FIND("|",L21)-1)),IF(ISNUMBER(MATCH(L21,Config!$F$1:$F$853,0)),L21,IFERROR(INDEX(Config!$F$1:$F$853,MATCH(L21,Config!$G$1:$G$853,0)),""))))</f>
        <v/>
      </c>
      <c r="L21" s="17" t="str">
        <f>=IFERROR(INDEX($L$17:L20,MATCH(C21,$C$17:C20,0)),"")</f>
        <v/>
      </c>
    </row>
    <row r="22" ht="18" customHeight="1" spans="1:12" x14ac:dyDescent="0.25">
      <c r="A22" s="10" t="s">
        <v>2</v>
      </c>
      <c r="B22" s="10" t="s">
        <v>2</v>
      </c>
      <c r="C22" s="10" t="s">
        <v>2</v>
      </c>
      <c r="D22" s="11" t="str">
        <f>=IF(E22="","",IF(ISNUMBER(FIND("|",E22)),TRIM(LEFT(E22,FIND("|",E22)-1)),IF(ISNUMBER(MATCH(E22,Config!$C$1:$C$311,0)),E22,IFERROR(INDEX(Config!$C$1:$C$311,MATCH(E22,Config!$D$1:$D$311,0)),""))))</f>
        <v>OP-0157</v>
      </c>
      <c r="E22" s="12" t="s">
        <v>45</v>
      </c>
      <c r="F22" s="13">
        <v>7</v>
      </c>
      <c r="G22" s="14" t="str">
        <f>=IF(C22="","",SUMIF($C$17:$C$502,C22,$F$17:$F$502))</f>
        <v/>
      </c>
      <c r="H22" s="14" t="str">
        <f>=IFERROR($B$14/$B$10,"")</f>
        <v/>
      </c>
      <c r="I22" s="15" t="str">
        <f>=IFERROR(G22/H22,"")</f>
        <v/>
      </c>
      <c r="J22" s="16" t="str">
        <f>=IF(F22="","",F22/3600)</f>
        <v/>
      </c>
      <c r="K22" s="11" t="str">
        <f>=IF(L22="","",IF(ISNUMBER(FIND("|",L22)),TRIM(LEFT(L22,FIND("|",L22)-1)),IF(ISNUMBER(MATCH(L22,Config!$F$1:$F$853,0)),L22,IFERROR(INDEX(Config!$F$1:$F$853,MATCH(L22,Config!$G$1:$G$853,0)),""))))</f>
        <v/>
      </c>
      <c r="L22" s="17" t="str">
        <f>=IFERROR(INDEX($L$17:L21,MATCH(C22,$C$17:C21,0)),"")</f>
        <v/>
      </c>
    </row>
    <row r="23" ht="18" customHeight="1" spans="1:12" x14ac:dyDescent="0.25">
      <c r="A23" s="10" t="s">
        <v>2</v>
      </c>
      <c r="B23" s="10" t="s">
        <v>2</v>
      </c>
      <c r="C23" s="10" t="s">
        <v>2</v>
      </c>
      <c r="D23" s="11" t="str">
        <f>=IF(E23="","",IF(ISNUMBER(FIND("|",E23)),TRIM(LEFT(E23,FIND("|",E23)-1)),IF(ISNUMBER(MATCH(E23,Config!$C$1:$C$311,0)),E23,IFERROR(INDEX(Config!$C$1:$C$311,MATCH(E23,Config!$D$1:$D$311,0)),""))))</f>
        <v>OP-0158</v>
      </c>
      <c r="E23" s="12" t="s">
        <v>46</v>
      </c>
      <c r="F23" s="13">
        <v>7</v>
      </c>
      <c r="G23" s="14" t="str">
        <f>=IF(C23="","",SUMIF($C$17:$C$502,C23,$F$17:$F$502))</f>
        <v/>
      </c>
      <c r="H23" s="14" t="str">
        <f>=IFERROR($B$14/$B$10,"")</f>
        <v/>
      </c>
      <c r="I23" s="15" t="str">
        <f>=IFERROR(G23/H23,"")</f>
        <v/>
      </c>
      <c r="J23" s="16" t="str">
        <f>=IF(F23="","",F23/3600)</f>
        <v/>
      </c>
      <c r="K23" s="11" t="str">
        <f>=IF(L23="","",IF(ISNUMBER(FIND("|",L23)),TRIM(LEFT(L23,FIND("|",L23)-1)),IF(ISNUMBER(MATCH(L23,Config!$F$1:$F$853,0)),L23,IFERROR(INDEX(Config!$F$1:$F$853,MATCH(L23,Config!$G$1:$G$853,0)),""))))</f>
        <v/>
      </c>
      <c r="L23" s="17" t="str">
        <f>=IFERROR(INDEX($L$17:L22,MATCH(C23,$C$17:C22,0)),"")</f>
        <v/>
      </c>
    </row>
    <row r="24" ht="18" customHeight="1" spans="1:12" x14ac:dyDescent="0.25">
      <c r="A24" s="10" t="s">
        <v>2</v>
      </c>
      <c r="B24" s="10" t="s">
        <v>2</v>
      </c>
      <c r="C24" s="10" t="s">
        <v>2</v>
      </c>
      <c r="D24" s="11" t="str">
        <f>=IF(E24="","",IF(ISNUMBER(FIND("|",E24)),TRIM(LEFT(E24,FIND("|",E24)-1)),IF(ISNUMBER(MATCH(E24,Config!$C$1:$C$311,0)),E24,IFERROR(INDEX(Config!$C$1:$C$311,MATCH(E24,Config!$D$1:$D$311,0)),""))))</f>
        <v>OP-0159</v>
      </c>
      <c r="E24" s="12" t="s">
        <v>47</v>
      </c>
      <c r="F24" s="13">
        <v>8</v>
      </c>
      <c r="G24" s="14" t="str">
        <f>=IF(C24="","",SUMIF($C$17:$C$502,C24,$F$17:$F$502))</f>
        <v/>
      </c>
      <c r="H24" s="14" t="str">
        <f>=IFERROR($B$14/$B$10,"")</f>
        <v/>
      </c>
      <c r="I24" s="15" t="str">
        <f>=IFERROR(G24/H24,"")</f>
        <v/>
      </c>
      <c r="J24" s="16" t="str">
        <f>=IF(F24="","",F24/3600)</f>
        <v/>
      </c>
      <c r="K24" s="11" t="str">
        <f>=IF(L24="","",IF(ISNUMBER(FIND("|",L24)),TRIM(LEFT(L24,FIND("|",L24)-1)),IF(ISNUMBER(MATCH(L24,Config!$F$1:$F$853,0)),L24,IFERROR(INDEX(Config!$F$1:$F$853,MATCH(L24,Config!$G$1:$G$853,0)),""))))</f>
        <v/>
      </c>
      <c r="L24" s="17" t="str">
        <f>=IFERROR(INDEX($L$17:L23,MATCH(C24,$C$17:C23,0)),"")</f>
        <v/>
      </c>
    </row>
    <row r="25" ht="18" customHeight="1" spans="1:12" x14ac:dyDescent="0.25">
      <c r="A25" s="10" t="s">
        <v>2</v>
      </c>
      <c r="B25" s="10" t="s">
        <v>2</v>
      </c>
      <c r="C25" s="10" t="s">
        <v>2</v>
      </c>
      <c r="D25" s="11" t="str">
        <f>=IF(E25="","",IF(ISNUMBER(FIND("|",E25)),TRIM(LEFT(E25,FIND("|",E25)-1)),IF(ISNUMBER(MATCH(E25,Config!$C$1:$C$311,0)),E25,IFERROR(INDEX(Config!$C$1:$C$311,MATCH(E25,Config!$D$1:$D$311,0)),""))))</f>
        <v>OP-0160</v>
      </c>
      <c r="E25" s="12" t="s">
        <v>48</v>
      </c>
      <c r="F25" s="13">
        <v>20</v>
      </c>
      <c r="G25" s="14" t="str">
        <f>=IF(C25="","",SUMIF($C$17:$C$502,C25,$F$17:$F$502))</f>
        <v/>
      </c>
      <c r="H25" s="14" t="str">
        <f>=IFERROR($B$14/$B$10,"")</f>
        <v/>
      </c>
      <c r="I25" s="15" t="str">
        <f>=IFERROR(G25/H25,"")</f>
        <v/>
      </c>
      <c r="J25" s="16" t="str">
        <f>=IF(F25="","",F25/3600)</f>
        <v/>
      </c>
      <c r="K25" s="11" t="str">
        <f>=IF(L25="","",IF(ISNUMBER(FIND("|",L25)),TRIM(LEFT(L25,FIND("|",L25)-1)),IF(ISNUMBER(MATCH(L25,Config!$F$1:$F$853,0)),L25,IFERROR(INDEX(Config!$F$1:$F$853,MATCH(L25,Config!$G$1:$G$853,0)),""))))</f>
        <v/>
      </c>
      <c r="L25" s="17" t="str">
        <f>=IFERROR(INDEX($L$17:L24,MATCH(C25,$C$17:C24,0)),"")</f>
        <v/>
      </c>
    </row>
    <row r="26" ht="18" customHeight="1" spans="1:12" x14ac:dyDescent="0.25">
      <c r="A26" s="10" t="s">
        <v>2</v>
      </c>
      <c r="B26" s="10" t="s">
        <v>2</v>
      </c>
      <c r="C26" s="10" t="s">
        <v>2</v>
      </c>
      <c r="D26" s="11" t="str">
        <f>=IF(E26="","",IF(ISNUMBER(FIND("|",E26)),TRIM(LEFT(E26,FIND("|",E26)-1)),IF(ISNUMBER(MATCH(E26,Config!$C$1:$C$311,0)),E26,IFERROR(INDEX(Config!$C$1:$C$311,MATCH(E26,Config!$D$1:$D$311,0)),""))))</f>
        <v>OP-0161</v>
      </c>
      <c r="E26" s="12" t="s">
        <v>49</v>
      </c>
      <c r="F26" s="13">
        <v>24</v>
      </c>
      <c r="G26" s="14" t="str">
        <f>=IF(C26="","",SUMIF($C$17:$C$502,C26,$F$17:$F$502))</f>
        <v/>
      </c>
      <c r="H26" s="14" t="str">
        <f>=IFERROR($B$14/$B$10,"")</f>
        <v/>
      </c>
      <c r="I26" s="15" t="str">
        <f>=IFERROR(G26/H26,"")</f>
        <v/>
      </c>
      <c r="J26" s="16" t="str">
        <f>=IF(F26="","",F26/3600)</f>
        <v/>
      </c>
      <c r="K26" s="11" t="str">
        <f>=IF(L26="","",IF(ISNUMBER(FIND("|",L26)),TRIM(LEFT(L26,FIND("|",L26)-1)),IF(ISNUMBER(MATCH(L26,Config!$F$1:$F$853,0)),L26,IFERROR(INDEX(Config!$F$1:$F$853,MATCH(L26,Config!$G$1:$G$853,0)),""))))</f>
        <v/>
      </c>
      <c r="L26" s="17" t="str">
        <f>=IFERROR(INDEX($L$17:L25,MATCH(C26,$C$17:C25,0)),"")</f>
        <v/>
      </c>
    </row>
    <row r="27" ht="18" customHeight="1" spans="1:12" x14ac:dyDescent="0.25">
      <c r="A27" s="10" t="s">
        <v>2</v>
      </c>
      <c r="B27" s="10" t="s">
        <v>2</v>
      </c>
      <c r="C27" s="10" t="s">
        <v>2</v>
      </c>
      <c r="D27" s="11" t="str">
        <f>=IF(E27="","",IF(ISNUMBER(FIND("|",E27)),TRIM(LEFT(E27,FIND("|",E27)-1)),IF(ISNUMBER(MATCH(E27,Config!$C$1:$C$311,0)),E27,IFERROR(INDEX(Config!$C$1:$C$311,MATCH(E27,Config!$D$1:$D$311,0)),""))))</f>
        <v>OP-0162</v>
      </c>
      <c r="E27" s="12" t="s">
        <v>50</v>
      </c>
      <c r="F27" s="13">
        <v>13</v>
      </c>
      <c r="G27" s="14" t="str">
        <f>=IF(C27="","",SUMIF($C$17:$C$502,C27,$F$17:$F$502))</f>
        <v/>
      </c>
      <c r="H27" s="14" t="str">
        <f>=IFERROR($B$14/$B$10,"")</f>
        <v/>
      </c>
      <c r="I27" s="15" t="str">
        <f>=IFERROR(G27/H27,"")</f>
        <v/>
      </c>
      <c r="J27" s="16" t="str">
        <f>=IF(F27="","",F27/3600)</f>
        <v/>
      </c>
      <c r="K27" s="11" t="str">
        <f>=IF(L27="","",IF(ISNUMBER(FIND("|",L27)),TRIM(LEFT(L27,FIND("|",L27)-1)),IF(ISNUMBER(MATCH(L27,Config!$F$1:$F$853,0)),L27,IFERROR(INDEX(Config!$F$1:$F$853,MATCH(L27,Config!$G$1:$G$853,0)),""))))</f>
        <v/>
      </c>
      <c r="L27" s="17" t="str">
        <f>=IFERROR(INDEX($L$17:L26,MATCH(C27,$C$17:C26,0)),"")</f>
        <v/>
      </c>
    </row>
    <row r="28" ht="18" customHeight="1" spans="1:12" x14ac:dyDescent="0.25">
      <c r="A28" s="10" t="s">
        <v>2</v>
      </c>
      <c r="B28" s="10" t="s">
        <v>2</v>
      </c>
      <c r="C28" s="10" t="s">
        <v>2</v>
      </c>
      <c r="D28" s="11" t="str">
        <f>=IF(E28="","",IF(ISNUMBER(FIND("|",E28)),TRIM(LEFT(E28,FIND("|",E28)-1)),IF(ISNUMBER(MATCH(E28,Config!$C$1:$C$311,0)),E28,IFERROR(INDEX(Config!$C$1:$C$311,MATCH(E28,Config!$D$1:$D$311,0)),""))))</f>
        <v>OP-0163</v>
      </c>
      <c r="E28" s="12" t="s">
        <v>51</v>
      </c>
      <c r="F28" s="13">
        <v>19.5</v>
      </c>
      <c r="G28" s="14" t="str">
        <f>=IF(C28="","",SUMIF($C$17:$C$502,C28,$F$17:$F$502))</f>
        <v/>
      </c>
      <c r="H28" s="14" t="str">
        <f>=IFERROR($B$14/$B$10,"")</f>
        <v/>
      </c>
      <c r="I28" s="15" t="str">
        <f>=IFERROR(G28/H28,"")</f>
        <v/>
      </c>
      <c r="J28" s="16" t="str">
        <f>=IF(F28="","",F28/3600)</f>
        <v/>
      </c>
      <c r="K28" s="11" t="str">
        <f>=IF(L28="","",IF(ISNUMBER(FIND("|",L28)),TRIM(LEFT(L28,FIND("|",L28)-1)),IF(ISNUMBER(MATCH(L28,Config!$F$1:$F$853,0)),L28,IFERROR(INDEX(Config!$F$1:$F$853,MATCH(L28,Config!$G$1:$G$853,0)),""))))</f>
        <v/>
      </c>
      <c r="L28" s="17" t="str">
        <f>=IFERROR(INDEX($L$17:L27,MATCH(C28,$C$17:C27,0)),"")</f>
        <v/>
      </c>
    </row>
    <row r="29" ht="18" customHeight="1" spans="1:12" x14ac:dyDescent="0.25">
      <c r="A29" s="10" t="s">
        <v>2</v>
      </c>
      <c r="B29" s="10" t="s">
        <v>2</v>
      </c>
      <c r="C29" s="10" t="s">
        <v>2</v>
      </c>
      <c r="D29" s="11" t="str">
        <f>=IF(E29="","",IF(ISNUMBER(FIND("|",E29)),TRIM(LEFT(E29,FIND("|",E29)-1)),IF(ISNUMBER(MATCH(E29,Config!$C$1:$C$311,0)),E29,IFERROR(INDEX(Config!$C$1:$C$311,MATCH(E29,Config!$D$1:$D$311,0)),""))))</f>
        <v>OP-0164</v>
      </c>
      <c r="E29" s="12" t="s">
        <v>52</v>
      </c>
      <c r="F29" s="13">
        <v>8</v>
      </c>
      <c r="G29" s="14" t="str">
        <f>=IF(C29="","",SUMIF($C$17:$C$502,C29,$F$17:$F$502))</f>
        <v/>
      </c>
      <c r="H29" s="14" t="str">
        <f>=IFERROR($B$14/$B$10,"")</f>
        <v/>
      </c>
      <c r="I29" s="15" t="str">
        <f>=IFERROR(G29/H29,"")</f>
        <v/>
      </c>
      <c r="J29" s="16" t="str">
        <f>=IF(F29="","",F29/3600)</f>
        <v/>
      </c>
      <c r="K29" s="11" t="str">
        <f>=IF(L29="","",IF(ISNUMBER(FIND("|",L29)),TRIM(LEFT(L29,FIND("|",L29)-1)),IF(ISNUMBER(MATCH(L29,Config!$F$1:$F$853,0)),L29,IFERROR(INDEX(Config!$F$1:$F$853,MATCH(L29,Config!$G$1:$G$853,0)),""))))</f>
        <v/>
      </c>
      <c r="L29" s="17" t="str">
        <f>=IFERROR(INDEX($L$17:L28,MATCH(C29,$C$17:C28,0)),"")</f>
        <v/>
      </c>
    </row>
    <row r="30" ht="18" customHeight="1" spans="1:12" x14ac:dyDescent="0.25">
      <c r="A30" s="10" t="s">
        <v>2</v>
      </c>
      <c r="B30" s="10" t="s">
        <v>2</v>
      </c>
      <c r="C30" s="10" t="s">
        <v>2</v>
      </c>
      <c r="D30" s="11" t="str">
        <f>=IF(E30="","",IF(ISNUMBER(FIND("|",E30)),TRIM(LEFT(E30,FIND("|",E30)-1)),IF(ISNUMBER(MATCH(E30,Config!$C$1:$C$311,0)),E30,IFERROR(INDEX(Config!$C$1:$C$311,MATCH(E30,Config!$D$1:$D$311,0)),""))))</f>
        <v>OP-0165</v>
      </c>
      <c r="E30" s="12" t="s">
        <v>53</v>
      </c>
      <c r="F30" s="13">
        <v>12</v>
      </c>
      <c r="G30" s="14" t="str">
        <f>=IF(C30="","",SUMIF($C$17:$C$502,C30,$F$17:$F$502))</f>
        <v/>
      </c>
      <c r="H30" s="14" t="str">
        <f>=IFERROR($B$14/$B$10,"")</f>
        <v/>
      </c>
      <c r="I30" s="15" t="str">
        <f>=IFERROR(G30/H30,"")</f>
        <v/>
      </c>
      <c r="J30" s="16" t="str">
        <f>=IF(F30="","",F30/3600)</f>
        <v/>
      </c>
      <c r="K30" s="11" t="str">
        <f>=IF(L30="","",IF(ISNUMBER(FIND("|",L30)),TRIM(LEFT(L30,FIND("|",L30)-1)),IF(ISNUMBER(MATCH(L30,Config!$F$1:$F$853,0)),L30,IFERROR(INDEX(Config!$F$1:$F$853,MATCH(L30,Config!$G$1:$G$853,0)),""))))</f>
        <v/>
      </c>
      <c r="L30" s="17" t="str">
        <f>=IFERROR(INDEX($L$17:L29,MATCH(C30,$C$17:C29,0)),"")</f>
        <v/>
      </c>
    </row>
    <row r="31" ht="18" customHeight="1" spans="1:12" x14ac:dyDescent="0.25">
      <c r="A31" s="10" t="s">
        <v>2</v>
      </c>
      <c r="B31" s="10" t="s">
        <v>2</v>
      </c>
      <c r="C31" s="10" t="s">
        <v>2</v>
      </c>
      <c r="D31" s="11" t="str">
        <f>=IF(E31="","",IF(ISNUMBER(FIND("|",E31)),TRIM(LEFT(E31,FIND("|",E31)-1)),IF(ISNUMBER(MATCH(E31,Config!$C$1:$C$311,0)),E31,IFERROR(INDEX(Config!$C$1:$C$311,MATCH(E31,Config!$D$1:$D$311,0)),""))))</f>
        <v>OP-0166</v>
      </c>
      <c r="E31" s="12" t="s">
        <v>54</v>
      </c>
      <c r="F31" s="13">
        <v>15</v>
      </c>
      <c r="G31" s="14" t="str">
        <f>=IF(C31="","",SUMIF($C$17:$C$502,C31,$F$17:$F$502))</f>
        <v/>
      </c>
      <c r="H31" s="14" t="str">
        <f>=IFERROR($B$14/$B$10,"")</f>
        <v/>
      </c>
      <c r="I31" s="15" t="str">
        <f>=IFERROR(G31/H31,"")</f>
        <v/>
      </c>
      <c r="J31" s="16" t="str">
        <f>=IF(F31="","",F31/3600)</f>
        <v/>
      </c>
      <c r="K31" s="11" t="str">
        <f>=IF(L31="","",IF(ISNUMBER(FIND("|",L31)),TRIM(LEFT(L31,FIND("|",L31)-1)),IF(ISNUMBER(MATCH(L31,Config!$F$1:$F$853,0)),L31,IFERROR(INDEX(Config!$F$1:$F$853,MATCH(L31,Config!$G$1:$G$853,0)),""))))</f>
        <v/>
      </c>
      <c r="L31" s="17" t="str">
        <f>=IFERROR(INDEX($L$17:L30,MATCH(C31,$C$17:C30,0)),"")</f>
        <v/>
      </c>
    </row>
    <row r="32" ht="18" customHeight="1" spans="1:12" x14ac:dyDescent="0.25">
      <c r="A32" s="10" t="s">
        <v>2</v>
      </c>
      <c r="B32" s="10" t="s">
        <v>2</v>
      </c>
      <c r="C32" s="10" t="s">
        <v>2</v>
      </c>
      <c r="D32" s="11" t="str">
        <f>=IF(E32="","",IF(ISNUMBER(FIND("|",E32)),TRIM(LEFT(E32,FIND("|",E32)-1)),IF(ISNUMBER(MATCH(E32,Config!$C$1:$C$311,0)),E32,IFERROR(INDEX(Config!$C$1:$C$311,MATCH(E32,Config!$D$1:$D$311,0)),""))))</f>
        <v>OP-0161</v>
      </c>
      <c r="E32" s="12" t="s">
        <v>49</v>
      </c>
      <c r="F32" s="13">
        <v>16</v>
      </c>
      <c r="G32" s="14" t="str">
        <f>=IF(C32="","",SUMIF($C$17:$C$502,C32,$F$17:$F$502))</f>
        <v/>
      </c>
      <c r="H32" s="14" t="str">
        <f>=IFERROR($B$14/$B$10,"")</f>
        <v/>
      </c>
      <c r="I32" s="15" t="str">
        <f>=IFERROR(G32/H32,"")</f>
        <v/>
      </c>
      <c r="J32" s="16" t="str">
        <f>=IF(F32="","",F32/3600)</f>
        <v/>
      </c>
      <c r="K32" s="11" t="str">
        <f>=IF(L32="","",IF(ISNUMBER(FIND("|",L32)),TRIM(LEFT(L32,FIND("|",L32)-1)),IF(ISNUMBER(MATCH(L32,Config!$F$1:$F$853,0)),L32,IFERROR(INDEX(Config!$F$1:$F$853,MATCH(L32,Config!$G$1:$G$853,0)),""))))</f>
        <v/>
      </c>
      <c r="L32" s="17" t="str">
        <f>=IFERROR(INDEX($L$17:L31,MATCH(C32,$C$17:C31,0)),"")</f>
        <v/>
      </c>
    </row>
    <row r="33" ht="18" customHeight="1" spans="1:12" x14ac:dyDescent="0.25">
      <c r="A33" s="10" t="s">
        <v>2</v>
      </c>
      <c r="B33" s="10" t="s">
        <v>2</v>
      </c>
      <c r="C33" s="10" t="s">
        <v>2</v>
      </c>
      <c r="D33" s="11" t="str">
        <f>=IF(E33="","",IF(ISNUMBER(FIND("|",E33)),TRIM(LEFT(E33,FIND("|",E33)-1)),IF(ISNUMBER(MATCH(E33,Config!$C$1:$C$311,0)),E33,IFERROR(INDEX(Config!$C$1:$C$311,MATCH(E33,Config!$D$1:$D$311,0)),""))))</f>
        <v>OP-0167</v>
      </c>
      <c r="E33" s="12" t="s">
        <v>55</v>
      </c>
      <c r="F33" s="13">
        <v>16</v>
      </c>
      <c r="G33" s="14" t="str">
        <f>=IF(C33="","",SUMIF($C$17:$C$502,C33,$F$17:$F$502))</f>
        <v/>
      </c>
      <c r="H33" s="14" t="str">
        <f>=IFERROR($B$14/$B$10,"")</f>
        <v/>
      </c>
      <c r="I33" s="15" t="str">
        <f>=IFERROR(G33/H33,"")</f>
        <v/>
      </c>
      <c r="J33" s="16" t="str">
        <f>=IF(F33="","",F33/3600)</f>
        <v/>
      </c>
      <c r="K33" s="11" t="str">
        <f>=IF(L33="","",IF(ISNUMBER(FIND("|",L33)),TRIM(LEFT(L33,FIND("|",L33)-1)),IF(ISNUMBER(MATCH(L33,Config!$F$1:$F$853,0)),L33,IFERROR(INDEX(Config!$F$1:$F$853,MATCH(L33,Config!$G$1:$G$853,0)),""))))</f>
        <v/>
      </c>
      <c r="L33" s="17" t="str">
        <f>=IFERROR(INDEX($L$17:L32,MATCH(C33,$C$17:C32,0)),"")</f>
        <v/>
      </c>
    </row>
    <row r="34" ht="18" customHeight="1" spans="1:12" x14ac:dyDescent="0.25">
      <c r="A34" s="10" t="s">
        <v>2</v>
      </c>
      <c r="B34" s="10" t="s">
        <v>2</v>
      </c>
      <c r="C34" s="10" t="s">
        <v>2</v>
      </c>
      <c r="D34" s="11" t="str">
        <f>=IF(E34="","",IF(ISNUMBER(FIND("|",E34)),TRIM(LEFT(E34,FIND("|",E34)-1)),IF(ISNUMBER(MATCH(E34,Config!$C$1:$C$311,0)),E34,IFERROR(INDEX(Config!$C$1:$C$311,MATCH(E34,Config!$D$1:$D$311,0)),""))))</f>
        <v>OP-0168</v>
      </c>
      <c r="E34" s="12" t="s">
        <v>56</v>
      </c>
      <c r="F34" s="13">
        <v>14</v>
      </c>
      <c r="G34" s="14" t="str">
        <f>=IF(C34="","",SUMIF($C$17:$C$502,C34,$F$17:$F$502))</f>
        <v/>
      </c>
      <c r="H34" s="14" t="str">
        <f>=IFERROR($B$14/$B$10,"")</f>
        <v/>
      </c>
      <c r="I34" s="15" t="str">
        <f>=IFERROR(G34/H34,"")</f>
        <v/>
      </c>
      <c r="J34" s="16" t="str">
        <f>=IF(F34="","",F34/3600)</f>
        <v/>
      </c>
      <c r="K34" s="11" t="str">
        <f>=IF(L34="","",IF(ISNUMBER(FIND("|",L34)),TRIM(LEFT(L34,FIND("|",L34)-1)),IF(ISNUMBER(MATCH(L34,Config!$F$1:$F$853,0)),L34,IFERROR(INDEX(Config!$F$1:$F$853,MATCH(L34,Config!$G$1:$G$853,0)),""))))</f>
        <v/>
      </c>
      <c r="L34" s="17" t="str">
        <f>=IFERROR(INDEX($L$17:L33,MATCH(C34,$C$17:C33,0)),"")</f>
        <v/>
      </c>
    </row>
    <row r="35" ht="18" customHeight="1" spans="1:12" x14ac:dyDescent="0.25">
      <c r="A35" s="10" t="s">
        <v>2</v>
      </c>
      <c r="B35" s="10" t="s">
        <v>2</v>
      </c>
      <c r="C35" s="10" t="s">
        <v>2</v>
      </c>
      <c r="D35" s="11" t="str">
        <f>=IF(E35="","",IF(ISNUMBER(FIND("|",E35)),TRIM(LEFT(E35,FIND("|",E35)-1)),IF(ISNUMBER(MATCH(E35,Config!$C$1:$C$311,0)),E35,IFERROR(INDEX(Config!$C$1:$C$311,MATCH(E35,Config!$D$1:$D$311,0)),""))))</f>
        <v>OP-0169</v>
      </c>
      <c r="E35" s="12" t="s">
        <v>57</v>
      </c>
      <c r="F35" s="13">
        <v>14</v>
      </c>
      <c r="G35" s="14" t="str">
        <f>=IF(C35="","",SUMIF($C$17:$C$502,C35,$F$17:$F$502))</f>
        <v/>
      </c>
      <c r="H35" s="14" t="str">
        <f>=IFERROR($B$14/$B$10,"")</f>
        <v/>
      </c>
      <c r="I35" s="15" t="str">
        <f>=IFERROR(G35/H35,"")</f>
        <v/>
      </c>
      <c r="J35" s="16" t="str">
        <f>=IF(F35="","",F35/3600)</f>
        <v/>
      </c>
      <c r="K35" s="11" t="str">
        <f>=IF(L35="","",IF(ISNUMBER(FIND("|",L35)),TRIM(LEFT(L35,FIND("|",L35)-1)),IF(ISNUMBER(MATCH(L35,Config!$F$1:$F$853,0)),L35,IFERROR(INDEX(Config!$F$1:$F$853,MATCH(L35,Config!$G$1:$G$853,0)),""))))</f>
        <v/>
      </c>
      <c r="L35" s="17" t="str">
        <f>=IFERROR(INDEX($L$17:L34,MATCH(C35,$C$17:C34,0)),"")</f>
        <v/>
      </c>
    </row>
    <row r="36" ht="18" customHeight="1" spans="1:12" x14ac:dyDescent="0.25">
      <c r="A36" s="10" t="s">
        <v>2</v>
      </c>
      <c r="B36" s="10" t="s">
        <v>2</v>
      </c>
      <c r="C36" s="10" t="s">
        <v>2</v>
      </c>
      <c r="D36" s="11" t="str">
        <f>=IF(E36="","",IF(ISNUMBER(FIND("|",E36)),TRIM(LEFT(E36,FIND("|",E36)-1)),IF(ISNUMBER(MATCH(E36,Config!$C$1:$C$311,0)),E36,IFERROR(INDEX(Config!$C$1:$C$311,MATCH(E36,Config!$D$1:$D$311,0)),""))))</f>
        <v>OP-0170</v>
      </c>
      <c r="E36" s="12" t="s">
        <v>58</v>
      </c>
      <c r="F36" s="13">
        <v>12</v>
      </c>
      <c r="G36" s="14" t="str">
        <f>=IF(C36="","",SUMIF($C$17:$C$502,C36,$F$17:$F$502))</f>
        <v/>
      </c>
      <c r="H36" s="14" t="str">
        <f>=IFERROR($B$14/$B$10,"")</f>
        <v/>
      </c>
      <c r="I36" s="15" t="str">
        <f>=IFERROR(G36/H36,"")</f>
        <v/>
      </c>
      <c r="J36" s="16" t="str">
        <f>=IF(F36="","",F36/3600)</f>
        <v/>
      </c>
      <c r="K36" s="11" t="str">
        <f>=IF(L36="","",IF(ISNUMBER(FIND("|",L36)),TRIM(LEFT(L36,FIND("|",L36)-1)),IF(ISNUMBER(MATCH(L36,Config!$F$1:$F$853,0)),L36,IFERROR(INDEX(Config!$F$1:$F$853,MATCH(L36,Config!$G$1:$G$853,0)),""))))</f>
        <v/>
      </c>
      <c r="L36" s="17" t="str">
        <f>=IFERROR(INDEX($L$17:L35,MATCH(C36,$C$17:C35,0)),"")</f>
        <v/>
      </c>
    </row>
    <row r="37" ht="18" customHeight="1" spans="1:12" x14ac:dyDescent="0.25">
      <c r="A37" s="10" t="s">
        <v>2</v>
      </c>
      <c r="B37" s="10" t="s">
        <v>2</v>
      </c>
      <c r="C37" s="10" t="s">
        <v>2</v>
      </c>
      <c r="D37" s="11" t="str">
        <f>=IF(E37="","",IF(ISNUMBER(FIND("|",E37)),TRIM(LEFT(E37,FIND("|",E37)-1)),IF(ISNUMBER(MATCH(E37,Config!$C$1:$C$311,0)),E37,IFERROR(INDEX(Config!$C$1:$C$311,MATCH(E37,Config!$D$1:$D$311,0)),""))))</f>
        <v>OP-0171</v>
      </c>
      <c r="E37" s="12" t="s">
        <v>59</v>
      </c>
      <c r="F37" s="13">
        <v>12</v>
      </c>
      <c r="G37" s="14" t="str">
        <f>=IF(C37="","",SUMIF($C$17:$C$502,C37,$F$17:$F$502))</f>
        <v/>
      </c>
      <c r="H37" s="14" t="str">
        <f>=IFERROR($B$14/$B$10,"")</f>
        <v/>
      </c>
      <c r="I37" s="15" t="str">
        <f>=IFERROR(G37/H37,"")</f>
        <v/>
      </c>
      <c r="J37" s="16" t="str">
        <f>=IF(F37="","",F37/3600)</f>
        <v/>
      </c>
      <c r="K37" s="11" t="str">
        <f>=IF(L37="","",IF(ISNUMBER(FIND("|",L37)),TRIM(LEFT(L37,FIND("|",L37)-1)),IF(ISNUMBER(MATCH(L37,Config!$F$1:$F$853,0)),L37,IFERROR(INDEX(Config!$F$1:$F$853,MATCH(L37,Config!$G$1:$G$853,0)),""))))</f>
        <v/>
      </c>
      <c r="L37" s="17" t="str">
        <f>=IFERROR(INDEX($L$17:L36,MATCH(C37,$C$17:C36,0)),"")</f>
        <v/>
      </c>
    </row>
    <row r="38" ht="18" customHeight="1" spans="1:12" x14ac:dyDescent="0.25">
      <c r="A38" s="10" t="s">
        <v>2</v>
      </c>
      <c r="B38" s="10" t="s">
        <v>2</v>
      </c>
      <c r="C38" s="10" t="s">
        <v>2</v>
      </c>
      <c r="D38" s="11" t="str">
        <f>=IF(E38="","",IF(ISNUMBER(FIND("|",E38)),TRIM(LEFT(E38,FIND("|",E38)-1)),IF(ISNUMBER(MATCH(E38,Config!$C$1:$C$311,0)),E38,IFERROR(INDEX(Config!$C$1:$C$311,MATCH(E38,Config!$D$1:$D$311,0)),""))))</f>
        <v>OP-0172</v>
      </c>
      <c r="E38" s="12" t="s">
        <v>60</v>
      </c>
      <c r="F38" s="13">
        <v>10</v>
      </c>
      <c r="G38" s="14" t="str">
        <f>=IF(C38="","",SUMIF($C$17:$C$502,C38,$F$17:$F$502))</f>
        <v/>
      </c>
      <c r="H38" s="14" t="str">
        <f>=IFERROR($B$14/$B$10,"")</f>
        <v/>
      </c>
      <c r="I38" s="15" t="str">
        <f>=IFERROR(G38/H38,"")</f>
        <v/>
      </c>
      <c r="J38" s="16" t="str">
        <f>=IF(F38="","",F38/3600)</f>
        <v/>
      </c>
      <c r="K38" s="11" t="str">
        <f>=IF(L38="","",IF(ISNUMBER(FIND("|",L38)),TRIM(LEFT(L38,FIND("|",L38)-1)),IF(ISNUMBER(MATCH(L38,Config!$F$1:$F$853,0)),L38,IFERROR(INDEX(Config!$F$1:$F$853,MATCH(L38,Config!$G$1:$G$853,0)),""))))</f>
        <v/>
      </c>
      <c r="L38" s="17" t="str">
        <f>=IFERROR(INDEX($L$17:L37,MATCH(C38,$C$17:C37,0)),"")</f>
        <v/>
      </c>
    </row>
    <row r="39" ht="18" customHeight="1" spans="1:12" x14ac:dyDescent="0.25">
      <c r="A39" s="10" t="s">
        <v>2</v>
      </c>
      <c r="B39" s="10" t="s">
        <v>2</v>
      </c>
      <c r="C39" s="10" t="s">
        <v>2</v>
      </c>
      <c r="D39" s="11" t="str">
        <f>=IF(E39="","",IF(ISNUMBER(FIND("|",E39)),TRIM(LEFT(E39,FIND("|",E39)-1)),IF(ISNUMBER(MATCH(E39,Config!$C$1:$C$311,0)),E39,IFERROR(INDEX(Config!$C$1:$C$311,MATCH(E39,Config!$D$1:$D$311,0)),""))))</f>
        <v>OP-0171</v>
      </c>
      <c r="E39" s="12" t="s">
        <v>59</v>
      </c>
      <c r="F39" s="13">
        <v>12</v>
      </c>
      <c r="G39" s="14" t="str">
        <f>=IF(C39="","",SUMIF($C$17:$C$502,C39,$F$17:$F$502))</f>
        <v/>
      </c>
      <c r="H39" s="14" t="str">
        <f>=IFERROR($B$14/$B$10,"")</f>
        <v/>
      </c>
      <c r="I39" s="15" t="str">
        <f>=IFERROR(G39/H39,"")</f>
        <v/>
      </c>
      <c r="J39" s="16" t="str">
        <f>=IF(F39="","",F39/3600)</f>
        <v/>
      </c>
      <c r="K39" s="11" t="str">
        <f>=IF(L39="","",IF(ISNUMBER(FIND("|",L39)),TRIM(LEFT(L39,FIND("|",L39)-1)),IF(ISNUMBER(MATCH(L39,Config!$F$1:$F$853,0)),L39,IFERROR(INDEX(Config!$F$1:$F$853,MATCH(L39,Config!$G$1:$G$853,0)),""))))</f>
        <v/>
      </c>
      <c r="L39" s="17" t="str">
        <f>=IFERROR(INDEX($L$17:L38,MATCH(C39,$C$17:C38,0)),"")</f>
        <v/>
      </c>
    </row>
    <row r="40" ht="18" customHeight="1" spans="1:12" x14ac:dyDescent="0.25">
      <c r="A40" s="10" t="s">
        <v>2</v>
      </c>
      <c r="B40" s="10" t="s">
        <v>2</v>
      </c>
      <c r="C40" s="10" t="s">
        <v>2</v>
      </c>
      <c r="D40" s="11" t="str">
        <f>=IF(E40="","",IF(ISNUMBER(FIND("|",E40)),TRIM(LEFT(E40,FIND("|",E40)-1)),IF(ISNUMBER(MATCH(E40,Config!$C$1:$C$311,0)),E40,IFERROR(INDEX(Config!$C$1:$C$311,MATCH(E40,Config!$D$1:$D$311,0)),""))))</f>
        <v>OP-0173</v>
      </c>
      <c r="E40" s="12" t="s">
        <v>61</v>
      </c>
      <c r="F40" s="13">
        <v>10</v>
      </c>
      <c r="G40" s="14" t="str">
        <f>=IF(C40="","",SUMIF($C$17:$C$502,C40,$F$17:$F$502))</f>
        <v/>
      </c>
      <c r="H40" s="14" t="str">
        <f>=IFERROR($B$14/$B$10,"")</f>
        <v/>
      </c>
      <c r="I40" s="15" t="str">
        <f>=IFERROR(G40/H40,"")</f>
        <v/>
      </c>
      <c r="J40" s="16" t="str">
        <f>=IF(F40="","",F40/3600)</f>
        <v/>
      </c>
      <c r="K40" s="11" t="str">
        <f>=IF(L40="","",IF(ISNUMBER(FIND("|",L40)),TRIM(LEFT(L40,FIND("|",L40)-1)),IF(ISNUMBER(MATCH(L40,Config!$F$1:$F$853,0)),L40,IFERROR(INDEX(Config!$F$1:$F$853,MATCH(L40,Config!$G$1:$G$853,0)),""))))</f>
        <v/>
      </c>
      <c r="L40" s="17" t="str">
        <f>=IFERROR(INDEX($L$17:L39,MATCH(C40,$C$17:C39,0)),"")</f>
        <v/>
      </c>
    </row>
    <row r="41" ht="18" customHeight="1" spans="1:12" x14ac:dyDescent="0.25">
      <c r="A41" s="10" t="s">
        <v>2</v>
      </c>
      <c r="B41" s="10" t="s">
        <v>2</v>
      </c>
      <c r="C41" s="10" t="s">
        <v>2</v>
      </c>
      <c r="D41" s="11" t="str">
        <f>=IF(E41="","",IF(ISNUMBER(FIND("|",E41)),TRIM(LEFT(E41,FIND("|",E41)-1)),IF(ISNUMBER(MATCH(E41,Config!$C$1:$C$311,0)),E41,IFERROR(INDEX(Config!$C$1:$C$311,MATCH(E41,Config!$D$1:$D$311,0)),""))))</f>
        <v>OP-0174</v>
      </c>
      <c r="E41" s="12" t="s">
        <v>62</v>
      </c>
      <c r="F41" s="13">
        <v>16</v>
      </c>
      <c r="G41" s="14" t="str">
        <f>=IF(C41="","",SUMIF($C$17:$C$502,C41,$F$17:$F$502))</f>
        <v/>
      </c>
      <c r="H41" s="14" t="str">
        <f>=IFERROR($B$14/$B$10,"")</f>
        <v/>
      </c>
      <c r="I41" s="15" t="str">
        <f>=IFERROR(G41/H41,"")</f>
        <v/>
      </c>
      <c r="J41" s="16" t="str">
        <f>=IF(F41="","",F41/3600)</f>
        <v/>
      </c>
      <c r="K41" s="11" t="str">
        <f>=IF(L41="","",IF(ISNUMBER(FIND("|",L41)),TRIM(LEFT(L41,FIND("|",L41)-1)),IF(ISNUMBER(MATCH(L41,Config!$F$1:$F$853,0)),L41,IFERROR(INDEX(Config!$F$1:$F$853,MATCH(L41,Config!$G$1:$G$853,0)),""))))</f>
        <v/>
      </c>
      <c r="L41" s="17" t="str">
        <f>=IFERROR(INDEX($L$17:L40,MATCH(C41,$C$17:C40,0)),"")</f>
        <v/>
      </c>
    </row>
    <row r="42" ht="18" customHeight="1" spans="1:12" x14ac:dyDescent="0.25">
      <c r="A42" s="10" t="s">
        <v>2</v>
      </c>
      <c r="B42" s="10" t="s">
        <v>2</v>
      </c>
      <c r="C42" s="10" t="s">
        <v>2</v>
      </c>
      <c r="D42" s="11" t="str">
        <f>=IF(E42="","",IF(ISNUMBER(FIND("|",E42)),TRIM(LEFT(E42,FIND("|",E42)-1)),IF(ISNUMBER(MATCH(E42,Config!$C$1:$C$311,0)),E42,IFERROR(INDEX(Config!$C$1:$C$311,MATCH(E42,Config!$D$1:$D$311,0)),""))))</f>
        <v>OP-0175</v>
      </c>
      <c r="E42" s="12" t="s">
        <v>63</v>
      </c>
      <c r="F42" s="13">
        <v>14</v>
      </c>
      <c r="G42" s="14" t="str">
        <f>=IF(C42="","",SUMIF($C$17:$C$502,C42,$F$17:$F$502))</f>
        <v/>
      </c>
      <c r="H42" s="14" t="str">
        <f>=IFERROR($B$14/$B$10,"")</f>
        <v/>
      </c>
      <c r="I42" s="15" t="str">
        <f>=IFERROR(G42/H42,"")</f>
        <v/>
      </c>
      <c r="J42" s="16" t="str">
        <f>=IF(F42="","",F42/3600)</f>
        <v/>
      </c>
      <c r="K42" s="11" t="str">
        <f>=IF(L42="","",IF(ISNUMBER(FIND("|",L42)),TRIM(LEFT(L42,FIND("|",L42)-1)),IF(ISNUMBER(MATCH(L42,Config!$F$1:$F$853,0)),L42,IFERROR(INDEX(Config!$F$1:$F$853,MATCH(L42,Config!$G$1:$G$853,0)),""))))</f>
        <v/>
      </c>
      <c r="L42" s="17" t="str">
        <f>=IFERROR(INDEX($L$17:L41,MATCH(C42,$C$17:C41,0)),"")</f>
        <v/>
      </c>
    </row>
    <row r="43" ht="18" customHeight="1" spans="1:12" x14ac:dyDescent="0.25">
      <c r="A43" s="10" t="s">
        <v>2</v>
      </c>
      <c r="B43" s="10" t="s">
        <v>2</v>
      </c>
      <c r="C43" s="10" t="s">
        <v>2</v>
      </c>
      <c r="D43" s="11" t="str">
        <f>=IF(E43="","",IF(ISNUMBER(FIND("|",E43)),TRIM(LEFT(E43,FIND("|",E43)-1)),IF(ISNUMBER(MATCH(E43,Config!$C$1:$C$311,0)),E43,IFERROR(INDEX(Config!$C$1:$C$311,MATCH(E43,Config!$D$1:$D$311,0)),""))))</f>
        <v>OP-0176</v>
      </c>
      <c r="E43" s="12" t="s">
        <v>64</v>
      </c>
      <c r="F43" s="13">
        <v>14</v>
      </c>
      <c r="G43" s="14" t="str">
        <f>=IF(C43="","",SUMIF($C$17:$C$502,C43,$F$17:$F$502))</f>
        <v/>
      </c>
      <c r="H43" s="14" t="str">
        <f>=IFERROR($B$14/$B$10,"")</f>
        <v/>
      </c>
      <c r="I43" s="15" t="str">
        <f>=IFERROR(G43/H43,"")</f>
        <v/>
      </c>
      <c r="J43" s="16" t="str">
        <f>=IF(F43="","",F43/3600)</f>
        <v/>
      </c>
      <c r="K43" s="11" t="str">
        <f>=IF(L43="","",IF(ISNUMBER(FIND("|",L43)),TRIM(LEFT(L43,FIND("|",L43)-1)),IF(ISNUMBER(MATCH(L43,Config!$F$1:$F$853,0)),L43,IFERROR(INDEX(Config!$F$1:$F$853,MATCH(L43,Config!$G$1:$G$853,0)),""))))</f>
        <v/>
      </c>
      <c r="L43" s="17" t="str">
        <f>=IFERROR(INDEX($L$17:L42,MATCH(C43,$C$17:C42,0)),"")</f>
        <v/>
      </c>
    </row>
    <row r="44" ht="18" customHeight="1" spans="1:12" x14ac:dyDescent="0.25">
      <c r="A44" s="10" t="s">
        <v>2</v>
      </c>
      <c r="B44" s="10" t="s">
        <v>2</v>
      </c>
      <c r="C44" s="10" t="s">
        <v>2</v>
      </c>
      <c r="D44" s="11" t="str">
        <f>=IF(E44="","",IF(ISNUMBER(FIND("|",E44)),TRIM(LEFT(E44,FIND("|",E44)-1)),IF(ISNUMBER(MATCH(E44,Config!$C$1:$C$311,0)),E44,IFERROR(INDEX(Config!$C$1:$C$311,MATCH(E44,Config!$D$1:$D$311,0)),""))))</f>
        <v>OP-0177</v>
      </c>
      <c r="E44" s="12" t="s">
        <v>65</v>
      </c>
      <c r="F44" s="13">
        <v>12</v>
      </c>
      <c r="G44" s="14" t="str">
        <f>=IF(C44="","",SUMIF($C$17:$C$502,C44,$F$17:$F$502))</f>
        <v/>
      </c>
      <c r="H44" s="14" t="str">
        <f>=IFERROR($B$14/$B$10,"")</f>
        <v/>
      </c>
      <c r="I44" s="15" t="str">
        <f>=IFERROR(G44/H44,"")</f>
        <v/>
      </c>
      <c r="J44" s="16" t="str">
        <f>=IF(F44="","",F44/3600)</f>
        <v/>
      </c>
      <c r="K44" s="11" t="str">
        <f>=IF(L44="","",IF(ISNUMBER(FIND("|",L44)),TRIM(LEFT(L44,FIND("|",L44)-1)),IF(ISNUMBER(MATCH(L44,Config!$F$1:$F$853,0)),L44,IFERROR(INDEX(Config!$F$1:$F$853,MATCH(L44,Config!$G$1:$G$853,0)),""))))</f>
        <v/>
      </c>
      <c r="L44" s="17" t="str">
        <f>=IFERROR(INDEX($L$17:L43,MATCH(C44,$C$17:C43,0)),"")</f>
        <v/>
      </c>
    </row>
    <row r="45" ht="18" customHeight="1" spans="1:12" x14ac:dyDescent="0.25">
      <c r="A45" s="10" t="s">
        <v>2</v>
      </c>
      <c r="B45" s="10" t="s">
        <v>2</v>
      </c>
      <c r="C45" s="10" t="s">
        <v>2</v>
      </c>
      <c r="D45" s="11" t="str">
        <f>=IF(E45="","",IF(ISNUMBER(FIND("|",E45)),TRIM(LEFT(E45,FIND("|",E45)-1)),IF(ISNUMBER(MATCH(E45,Config!$C$1:$C$311,0)),E45,IFERROR(INDEX(Config!$C$1:$C$311,MATCH(E45,Config!$D$1:$D$311,0)),""))))</f>
        <v>OP-0178</v>
      </c>
      <c r="E45" s="12" t="s">
        <v>66</v>
      </c>
      <c r="F45" s="13">
        <v>14</v>
      </c>
      <c r="G45" s="14" t="str">
        <f>=IF(C45="","",SUMIF($C$17:$C$502,C45,$F$17:$F$502))</f>
        <v/>
      </c>
      <c r="H45" s="14" t="str">
        <f>=IFERROR($B$14/$B$10,"")</f>
        <v/>
      </c>
      <c r="I45" s="15" t="str">
        <f>=IFERROR(G45/H45,"")</f>
        <v/>
      </c>
      <c r="J45" s="16" t="str">
        <f>=IF(F45="","",F45/3600)</f>
        <v/>
      </c>
      <c r="K45" s="11" t="str">
        <f>=IF(L45="","",IF(ISNUMBER(FIND("|",L45)),TRIM(LEFT(L45,FIND("|",L45)-1)),IF(ISNUMBER(MATCH(L45,Config!$F$1:$F$853,0)),L45,IFERROR(INDEX(Config!$F$1:$F$853,MATCH(L45,Config!$G$1:$G$853,0)),""))))</f>
        <v/>
      </c>
      <c r="L45" s="17" t="str">
        <f>=IFERROR(INDEX($L$17:L44,MATCH(C45,$C$17:C44,0)),"")</f>
        <v/>
      </c>
    </row>
    <row r="46" ht="18" customHeight="1" spans="1:12" x14ac:dyDescent="0.25">
      <c r="A46" s="10" t="s">
        <v>2</v>
      </c>
      <c r="B46" s="10" t="s">
        <v>2</v>
      </c>
      <c r="C46" s="10" t="s">
        <v>2</v>
      </c>
      <c r="D46" s="11" t="str">
        <f>=IF(E46="","",IF(ISNUMBER(FIND("|",E46)),TRIM(LEFT(E46,FIND("|",E46)-1)),IF(ISNUMBER(MATCH(E46,Config!$C$1:$C$311,0)),E46,IFERROR(INDEX(Config!$C$1:$C$311,MATCH(E46,Config!$D$1:$D$311,0)),""))))</f>
        <v>OP-0179</v>
      </c>
      <c r="E46" s="12" t="s">
        <v>67</v>
      </c>
      <c r="F46" s="13">
        <v>14</v>
      </c>
      <c r="G46" s="14" t="str">
        <f>=IF(C46="","",SUMIF($C$17:$C$502,C46,$F$17:$F$502))</f>
        <v/>
      </c>
      <c r="H46" s="14" t="str">
        <f>=IFERROR($B$14/$B$10,"")</f>
        <v/>
      </c>
      <c r="I46" s="15" t="str">
        <f>=IFERROR(G46/H46,"")</f>
        <v/>
      </c>
      <c r="J46" s="16" t="str">
        <f>=IF(F46="","",F46/3600)</f>
        <v/>
      </c>
      <c r="K46" s="11" t="str">
        <f>=IF(L46="","",IF(ISNUMBER(FIND("|",L46)),TRIM(LEFT(L46,FIND("|",L46)-1)),IF(ISNUMBER(MATCH(L46,Config!$F$1:$F$853,0)),L46,IFERROR(INDEX(Config!$F$1:$F$853,MATCH(L46,Config!$G$1:$G$853,0)),""))))</f>
        <v/>
      </c>
      <c r="L46" s="17" t="str">
        <f>=IFERROR(INDEX($L$17:L45,MATCH(C46,$C$17:C45,0)),"")</f>
        <v/>
      </c>
    </row>
    <row r="47" ht="18" customHeight="1" spans="1:12" x14ac:dyDescent="0.25">
      <c r="A47" s="10" t="s">
        <v>2</v>
      </c>
      <c r="B47" s="10" t="s">
        <v>2</v>
      </c>
      <c r="C47" s="10" t="s">
        <v>2</v>
      </c>
      <c r="D47" s="11" t="str">
        <f>=IF(E47="","",IF(ISNUMBER(FIND("|",E47)),TRIM(LEFT(E47,FIND("|",E47)-1)),IF(ISNUMBER(MATCH(E47,Config!$C$1:$C$311,0)),E47,IFERROR(INDEX(Config!$C$1:$C$311,MATCH(E47,Config!$D$1:$D$311,0)),""))))</f>
        <v>OP-0180</v>
      </c>
      <c r="E47" s="12" t="s">
        <v>68</v>
      </c>
      <c r="F47" s="13">
        <v>10</v>
      </c>
      <c r="G47" s="14" t="str">
        <f>=IF(C47="","",SUMIF($C$17:$C$502,C47,$F$17:$F$502))</f>
        <v/>
      </c>
      <c r="H47" s="14" t="str">
        <f>=IFERROR($B$14/$B$10,"")</f>
        <v/>
      </c>
      <c r="I47" s="15" t="str">
        <f>=IFERROR(G47/H47,"")</f>
        <v/>
      </c>
      <c r="J47" s="16" t="str">
        <f>=IF(F47="","",F47/3600)</f>
        <v/>
      </c>
      <c r="K47" s="11" t="str">
        <f>=IF(L47="","",IF(ISNUMBER(FIND("|",L47)),TRIM(LEFT(L47,FIND("|",L47)-1)),IF(ISNUMBER(MATCH(L47,Config!$F$1:$F$853,0)),L47,IFERROR(INDEX(Config!$F$1:$F$853,MATCH(L47,Config!$G$1:$G$853,0)),""))))</f>
        <v/>
      </c>
      <c r="L47" s="17" t="str">
        <f>=IFERROR(INDEX($L$17:L46,MATCH(C47,$C$17:C46,0)),"")</f>
        <v/>
      </c>
    </row>
    <row r="48" ht="18" customHeight="1" spans="1:12" x14ac:dyDescent="0.25">
      <c r="A48" s="10" t="s">
        <v>2</v>
      </c>
      <c r="B48" s="10" t="s">
        <v>2</v>
      </c>
      <c r="C48" s="10" t="s">
        <v>2</v>
      </c>
      <c r="D48" s="11" t="str">
        <f>=IF(E48="","",IF(ISNUMBER(FIND("|",E48)),TRIM(LEFT(E48,FIND("|",E48)-1)),IF(ISNUMBER(MATCH(E48,Config!$C$1:$C$311,0)),E48,IFERROR(INDEX(Config!$C$1:$C$311,MATCH(E48,Config!$D$1:$D$311,0)),""))))</f>
        <v>OP-0181</v>
      </c>
      <c r="E48" s="12" t="s">
        <v>69</v>
      </c>
      <c r="F48" s="13">
        <v>12</v>
      </c>
      <c r="G48" s="14" t="str">
        <f>=IF(C48="","",SUMIF($C$17:$C$502,C48,$F$17:$F$502))</f>
        <v/>
      </c>
      <c r="H48" s="14" t="str">
        <f>=IFERROR($B$14/$B$10,"")</f>
        <v/>
      </c>
      <c r="I48" s="15" t="str">
        <f>=IFERROR(G48/H48,"")</f>
        <v/>
      </c>
      <c r="J48" s="16" t="str">
        <f>=IF(F48="","",F48/3600)</f>
        <v/>
      </c>
      <c r="K48" s="11" t="str">
        <f>=IF(L48="","",IF(ISNUMBER(FIND("|",L48)),TRIM(LEFT(L48,FIND("|",L48)-1)),IF(ISNUMBER(MATCH(L48,Config!$F$1:$F$853,0)),L48,IFERROR(INDEX(Config!$F$1:$F$853,MATCH(L48,Config!$G$1:$G$853,0)),""))))</f>
        <v/>
      </c>
      <c r="L48" s="17" t="str">
        <f>=IFERROR(INDEX($L$17:L47,MATCH(C48,$C$17:C47,0)),"")</f>
        <v/>
      </c>
    </row>
    <row r="49" ht="18" customHeight="1" spans="1:12" x14ac:dyDescent="0.25">
      <c r="A49" s="10" t="s">
        <v>2</v>
      </c>
      <c r="B49" s="10" t="s">
        <v>2</v>
      </c>
      <c r="C49" s="10" t="s">
        <v>2</v>
      </c>
      <c r="D49" s="11" t="str">
        <f>=IF(E49="","",IF(ISNUMBER(FIND("|",E49)),TRIM(LEFT(E49,FIND("|",E49)-1)),IF(ISNUMBER(MATCH(E49,Config!$C$1:$C$311,0)),E49,IFERROR(INDEX(Config!$C$1:$C$311,MATCH(E49,Config!$D$1:$D$311,0)),""))))</f>
        <v>OP-0180</v>
      </c>
      <c r="E49" s="12" t="s">
        <v>68</v>
      </c>
      <c r="F49" s="13">
        <v>10</v>
      </c>
      <c r="G49" s="14" t="str">
        <f>=IF(C49="","",SUMIF($C$17:$C$502,C49,$F$17:$F$502))</f>
        <v/>
      </c>
      <c r="H49" s="14" t="str">
        <f>=IFERROR($B$14/$B$10,"")</f>
        <v/>
      </c>
      <c r="I49" s="15" t="str">
        <f>=IFERROR(G49/H49,"")</f>
        <v/>
      </c>
      <c r="J49" s="16" t="str">
        <f>=IF(F49="","",F49/3600)</f>
        <v/>
      </c>
      <c r="K49" s="11" t="str">
        <f>=IF(L49="","",IF(ISNUMBER(FIND("|",L49)),TRIM(LEFT(L49,FIND("|",L49)-1)),IF(ISNUMBER(MATCH(L49,Config!$F$1:$F$853,0)),L49,IFERROR(INDEX(Config!$F$1:$F$853,MATCH(L49,Config!$G$1:$G$853,0)),""))))</f>
        <v/>
      </c>
      <c r="L49" s="17" t="str">
        <f>=IFERROR(INDEX($L$17:L48,MATCH(C49,$C$17:C48,0)),"")</f>
        <v/>
      </c>
    </row>
    <row r="50" ht="18" customHeight="1" spans="1:12" x14ac:dyDescent="0.25">
      <c r="A50" s="10" t="s">
        <v>2</v>
      </c>
      <c r="B50" s="10" t="s">
        <v>2</v>
      </c>
      <c r="C50" s="10" t="s">
        <v>2</v>
      </c>
      <c r="D50" s="11" t="str">
        <f>=IF(E50="","",IF(ISNUMBER(FIND("|",E50)),TRIM(LEFT(E50,FIND("|",E50)-1)),IF(ISNUMBER(MATCH(E50,Config!$C$1:$C$311,0)),E50,IFERROR(INDEX(Config!$C$1:$C$311,MATCH(E50,Config!$D$1:$D$311,0)),""))))</f>
        <v>OP-0181</v>
      </c>
      <c r="E50" s="12" t="s">
        <v>69</v>
      </c>
      <c r="F50" s="13">
        <v>12</v>
      </c>
      <c r="G50" s="14" t="str">
        <f>=IF(C50="","",SUMIF($C$17:$C$502,C50,$F$17:$F$502))</f>
        <v/>
      </c>
      <c r="H50" s="14" t="str">
        <f>=IFERROR($B$14/$B$10,"")</f>
        <v/>
      </c>
      <c r="I50" s="15" t="str">
        <f>=IFERROR(G50/H50,"")</f>
        <v/>
      </c>
      <c r="J50" s="16" t="str">
        <f>=IF(F50="","",F50/3600)</f>
        <v/>
      </c>
      <c r="K50" s="11" t="str">
        <f>=IF(L50="","",IF(ISNUMBER(FIND("|",L50)),TRIM(LEFT(L50,FIND("|",L50)-1)),IF(ISNUMBER(MATCH(L50,Config!$F$1:$F$853,0)),L50,IFERROR(INDEX(Config!$F$1:$F$853,MATCH(L50,Config!$G$1:$G$853,0)),""))))</f>
        <v/>
      </c>
      <c r="L50" s="17" t="str">
        <f>=IFERROR(INDEX($L$17:L49,MATCH(C50,$C$17:C49,0)),"")</f>
        <v/>
      </c>
    </row>
    <row r="51" ht="18" customHeight="1" spans="1:12" x14ac:dyDescent="0.25">
      <c r="A51" s="10" t="s">
        <v>2</v>
      </c>
      <c r="B51" s="10" t="s">
        <v>2</v>
      </c>
      <c r="C51" s="10" t="s">
        <v>2</v>
      </c>
      <c r="D51" s="11" t="str">
        <f>=IF(E51="","",IF(ISNUMBER(FIND("|",E51)),TRIM(LEFT(E51,FIND("|",E51)-1)),IF(ISNUMBER(MATCH(E51,Config!$C$1:$C$311,0)),E51,IFERROR(INDEX(Config!$C$1:$C$311,MATCH(E51,Config!$D$1:$D$311,0)),""))))</f>
        <v>OP-0182</v>
      </c>
      <c r="E51" s="12" t="s">
        <v>70</v>
      </c>
      <c r="F51" s="13">
        <v>20</v>
      </c>
      <c r="G51" s="14" t="str">
        <f>=IF(C51="","",SUMIF($C$17:$C$502,C51,$F$17:$F$502))</f>
        <v/>
      </c>
      <c r="H51" s="14" t="str">
        <f>=IFERROR($B$14/$B$10,"")</f>
        <v/>
      </c>
      <c r="I51" s="15" t="str">
        <f>=IFERROR(G51/H51,"")</f>
        <v/>
      </c>
      <c r="J51" s="16" t="str">
        <f>=IF(F51="","",F51/3600)</f>
        <v/>
      </c>
      <c r="K51" s="11" t="str">
        <f>=IF(L51="","",IF(ISNUMBER(FIND("|",L51)),TRIM(LEFT(L51,FIND("|",L51)-1)),IF(ISNUMBER(MATCH(L51,Config!$F$1:$F$853,0)),L51,IFERROR(INDEX(Config!$F$1:$F$853,MATCH(L51,Config!$G$1:$G$853,0)),""))))</f>
        <v/>
      </c>
      <c r="L51" s="17" t="str">
        <f>=IFERROR(INDEX($L$17:L50,MATCH(C51,$C$17:C50,0)),"")</f>
        <v/>
      </c>
    </row>
    <row r="52" ht="18" customHeight="1" spans="1:12" x14ac:dyDescent="0.25">
      <c r="A52" s="10" t="s">
        <v>2</v>
      </c>
      <c r="B52" s="10" t="s">
        <v>2</v>
      </c>
      <c r="C52" s="10" t="s">
        <v>2</v>
      </c>
      <c r="D52" s="11" t="str">
        <f>=IF(E52="","",IF(ISNUMBER(FIND("|",E52)),TRIM(LEFT(E52,FIND("|",E52)-1)),IF(ISNUMBER(MATCH(E52,Config!$C$1:$C$311,0)),E52,IFERROR(INDEX(Config!$C$1:$C$311,MATCH(E52,Config!$D$1:$D$311,0)),""))))</f>
        <v>OP-0183</v>
      </c>
      <c r="E52" s="12" t="s">
        <v>71</v>
      </c>
      <c r="F52" s="13">
        <v>16</v>
      </c>
      <c r="G52" s="14" t="str">
        <f>=IF(C52="","",SUMIF($C$17:$C$502,C52,$F$17:$F$502))</f>
        <v/>
      </c>
      <c r="H52" s="14" t="str">
        <f>=IFERROR($B$14/$B$10,"")</f>
        <v/>
      </c>
      <c r="I52" s="15" t="str">
        <f>=IFERROR(G52/H52,"")</f>
        <v/>
      </c>
      <c r="J52" s="16" t="str">
        <f>=IF(F52="","",F52/3600)</f>
        <v/>
      </c>
      <c r="K52" s="11" t="str">
        <f>=IF(L52="","",IF(ISNUMBER(FIND("|",L52)),TRIM(LEFT(L52,FIND("|",L52)-1)),IF(ISNUMBER(MATCH(L52,Config!$F$1:$F$853,0)),L52,IFERROR(INDEX(Config!$F$1:$F$853,MATCH(L52,Config!$G$1:$G$853,0)),""))))</f>
        <v/>
      </c>
      <c r="L52" s="17" t="str">
        <f>=IFERROR(INDEX($L$17:L51,MATCH(C52,$C$17:C51,0)),"")</f>
        <v/>
      </c>
    </row>
    <row r="53" ht="18" customHeight="1" spans="1:12" x14ac:dyDescent="0.25">
      <c r="A53" s="10" t="s">
        <v>2</v>
      </c>
      <c r="B53" s="10" t="s">
        <v>2</v>
      </c>
      <c r="C53" s="10" t="s">
        <v>2</v>
      </c>
      <c r="D53" s="11" t="str">
        <f>=IF(E53="","",IF(ISNUMBER(FIND("|",E53)),TRIM(LEFT(E53,FIND("|",E53)-1)),IF(ISNUMBER(MATCH(E53,Config!$C$1:$C$311,0)),E53,IFERROR(INDEX(Config!$C$1:$C$311,MATCH(E53,Config!$D$1:$D$311,0)),""))))</f>
        <v>OP-0184</v>
      </c>
      <c r="E53" s="12" t="s">
        <v>72</v>
      </c>
      <c r="F53" s="13">
        <v>20</v>
      </c>
      <c r="G53" s="14" t="str">
        <f>=IF(C53="","",SUMIF($C$17:$C$502,C53,$F$17:$F$502))</f>
        <v/>
      </c>
      <c r="H53" s="14" t="str">
        <f>=IFERROR($B$14/$B$10,"")</f>
        <v/>
      </c>
      <c r="I53" s="15" t="str">
        <f>=IFERROR(G53/H53,"")</f>
        <v/>
      </c>
      <c r="J53" s="16" t="str">
        <f>=IF(F53="","",F53/3600)</f>
        <v/>
      </c>
      <c r="K53" s="11" t="str">
        <f>=IF(L53="","",IF(ISNUMBER(FIND("|",L53)),TRIM(LEFT(L53,FIND("|",L53)-1)),IF(ISNUMBER(MATCH(L53,Config!$F$1:$F$853,0)),L53,IFERROR(INDEX(Config!$F$1:$F$853,MATCH(L53,Config!$G$1:$G$853,0)),""))))</f>
        <v/>
      </c>
      <c r="L53" s="17" t="str">
        <f>=IFERROR(INDEX($L$17:L52,MATCH(C53,$C$17:C52,0)),"")</f>
        <v/>
      </c>
    </row>
    <row r="54" ht="18" customHeight="1" spans="1:12" x14ac:dyDescent="0.25">
      <c r="A54" s="10" t="s">
        <v>2</v>
      </c>
      <c r="B54" s="10" t="s">
        <v>2</v>
      </c>
      <c r="C54" s="10" t="s">
        <v>2</v>
      </c>
      <c r="D54" s="11" t="str">
        <f>=IF(E54="","",IF(ISNUMBER(FIND("|",E54)),TRIM(LEFT(E54,FIND("|",E54)-1)),IF(ISNUMBER(MATCH(E54,Config!$C$1:$C$311,0)),E54,IFERROR(INDEX(Config!$C$1:$C$311,MATCH(E54,Config!$D$1:$D$311,0)),""))))</f>
        <v>OP-0185</v>
      </c>
      <c r="E54" s="12" t="s">
        <v>73</v>
      </c>
      <c r="F54" s="13">
        <v>16</v>
      </c>
      <c r="G54" s="14" t="str">
        <f>=IF(C54="","",SUMIF($C$17:$C$502,C54,$F$17:$F$502))</f>
        <v/>
      </c>
      <c r="H54" s="14" t="str">
        <f>=IFERROR($B$14/$B$10,"")</f>
        <v/>
      </c>
      <c r="I54" s="15" t="str">
        <f>=IFERROR(G54/H54,"")</f>
        <v/>
      </c>
      <c r="J54" s="16" t="str">
        <f>=IF(F54="","",F54/3600)</f>
        <v/>
      </c>
      <c r="K54" s="11" t="str">
        <f>=IF(L54="","",IF(ISNUMBER(FIND("|",L54)),TRIM(LEFT(L54,FIND("|",L54)-1)),IF(ISNUMBER(MATCH(L54,Config!$F$1:$F$853,0)),L54,IFERROR(INDEX(Config!$F$1:$F$853,MATCH(L54,Config!$G$1:$G$853,0)),""))))</f>
        <v/>
      </c>
      <c r="L54" s="17" t="str">
        <f>=IFERROR(INDEX($L$17:L53,MATCH(C54,$C$17:C53,0)),"")</f>
        <v/>
      </c>
    </row>
    <row r="55" ht="18" customHeight="1" spans="1:12" x14ac:dyDescent="0.25">
      <c r="A55" s="10" t="s">
        <v>2</v>
      </c>
      <c r="B55" s="10" t="s">
        <v>2</v>
      </c>
      <c r="C55" s="10" t="s">
        <v>2</v>
      </c>
      <c r="D55" s="11" t="str">
        <f>=IF(E55="","",IF(ISNUMBER(FIND("|",E55)),TRIM(LEFT(E55,FIND("|",E55)-1)),IF(ISNUMBER(MATCH(E55,Config!$C$1:$C$311,0)),E55,IFERROR(INDEX(Config!$C$1:$C$311,MATCH(E55,Config!$D$1:$D$311,0)),""))))</f>
        <v>OP-0186</v>
      </c>
      <c r="E55" s="12" t="s">
        <v>74</v>
      </c>
      <c r="F55" s="13">
        <v>12</v>
      </c>
      <c r="G55" s="14" t="str">
        <f>=IF(C55="","",SUMIF($C$17:$C$502,C55,$F$17:$F$502))</f>
        <v/>
      </c>
      <c r="H55" s="14" t="str">
        <f>=IFERROR($B$14/$B$10,"")</f>
        <v/>
      </c>
      <c r="I55" s="15" t="str">
        <f>=IFERROR(G55/H55,"")</f>
        <v/>
      </c>
      <c r="J55" s="16" t="str">
        <f>=IF(F55="","",F55/3600)</f>
        <v/>
      </c>
      <c r="K55" s="11" t="str">
        <f>=IF(L55="","",IF(ISNUMBER(FIND("|",L55)),TRIM(LEFT(L55,FIND("|",L55)-1)),IF(ISNUMBER(MATCH(L55,Config!$F$1:$F$853,0)),L55,IFERROR(INDEX(Config!$F$1:$F$853,MATCH(L55,Config!$G$1:$G$853,0)),""))))</f>
        <v/>
      </c>
      <c r="L55" s="17" t="str">
        <f>=IFERROR(INDEX($L$17:L54,MATCH(C55,$C$17:C54,0)),"")</f>
        <v/>
      </c>
    </row>
    <row r="56" ht="18" customHeight="1" spans="1:12" x14ac:dyDescent="0.25">
      <c r="A56" s="10" t="s">
        <v>2</v>
      </c>
      <c r="B56" s="10" t="s">
        <v>2</v>
      </c>
      <c r="C56" s="10" t="s">
        <v>2</v>
      </c>
      <c r="D56" s="11" t="str">
        <f>=IF(E56="","",IF(ISNUMBER(FIND("|",E56)),TRIM(LEFT(E56,FIND("|",E56)-1)),IF(ISNUMBER(MATCH(E56,Config!$C$1:$C$311,0)),E56,IFERROR(INDEX(Config!$C$1:$C$311,MATCH(E56,Config!$D$1:$D$311,0)),""))))</f>
        <v>OP-0187</v>
      </c>
      <c r="E56" s="12" t="s">
        <v>75</v>
      </c>
      <c r="F56" s="13">
        <v>10</v>
      </c>
      <c r="G56" s="14" t="str">
        <f>=IF(C56="","",SUMIF($C$17:$C$502,C56,$F$17:$F$502))</f>
        <v/>
      </c>
      <c r="H56" s="14" t="str">
        <f>=IFERROR($B$14/$B$10,"")</f>
        <v/>
      </c>
      <c r="I56" s="15" t="str">
        <f>=IFERROR(G56/H56,"")</f>
        <v/>
      </c>
      <c r="J56" s="16" t="str">
        <f>=IF(F56="","",F56/3600)</f>
        <v/>
      </c>
      <c r="K56" s="11" t="str">
        <f>=IF(L56="","",IF(ISNUMBER(FIND("|",L56)),TRIM(LEFT(L56,FIND("|",L56)-1)),IF(ISNUMBER(MATCH(L56,Config!$F$1:$F$853,0)),L56,IFERROR(INDEX(Config!$F$1:$F$853,MATCH(L56,Config!$G$1:$G$853,0)),""))))</f>
        <v/>
      </c>
      <c r="L56" s="17" t="str">
        <f>=IFERROR(INDEX($L$17:L55,MATCH(C56,$C$17:C55,0)),"")</f>
        <v/>
      </c>
    </row>
    <row r="57" ht="18" customHeight="1" spans="1:12" x14ac:dyDescent="0.25">
      <c r="A57" s="10" t="s">
        <v>2</v>
      </c>
      <c r="B57" s="10" t="s">
        <v>2</v>
      </c>
      <c r="C57" s="10" t="s">
        <v>2</v>
      </c>
      <c r="D57" s="11" t="str">
        <f>=IF(E57="","",IF(ISNUMBER(FIND("|",E57)),TRIM(LEFT(E57,FIND("|",E57)-1)),IF(ISNUMBER(MATCH(E57,Config!$C$1:$C$311,0)),E57,IFERROR(INDEX(Config!$C$1:$C$311,MATCH(E57,Config!$D$1:$D$311,0)),""))))</f>
        <v>OP-0186</v>
      </c>
      <c r="E57" s="12" t="s">
        <v>74</v>
      </c>
      <c r="F57" s="13">
        <v>12</v>
      </c>
      <c r="G57" s="14" t="str">
        <f>=IF(C57="","",SUMIF($C$17:$C$502,C57,$F$17:$F$502))</f>
        <v/>
      </c>
      <c r="H57" s="14" t="str">
        <f>=IFERROR($B$14/$B$10,"")</f>
        <v/>
      </c>
      <c r="I57" s="15" t="str">
        <f>=IFERROR(G57/H57,"")</f>
        <v/>
      </c>
      <c r="J57" s="16" t="str">
        <f>=IF(F57="","",F57/3600)</f>
        <v/>
      </c>
      <c r="K57" s="11" t="str">
        <f>=IF(L57="","",IF(ISNUMBER(FIND("|",L57)),TRIM(LEFT(L57,FIND("|",L57)-1)),IF(ISNUMBER(MATCH(L57,Config!$F$1:$F$853,0)),L57,IFERROR(INDEX(Config!$F$1:$F$853,MATCH(L57,Config!$G$1:$G$853,0)),""))))</f>
        <v/>
      </c>
      <c r="L57" s="17" t="str">
        <f>=IFERROR(INDEX($L$17:L56,MATCH(C57,$C$17:C56,0)),"")</f>
        <v/>
      </c>
    </row>
    <row r="58" ht="18" customHeight="1" spans="1:12" x14ac:dyDescent="0.25">
      <c r="A58" s="10" t="s">
        <v>2</v>
      </c>
      <c r="B58" s="10" t="s">
        <v>2</v>
      </c>
      <c r="C58" s="10" t="s">
        <v>2</v>
      </c>
      <c r="D58" s="11" t="str">
        <f>=IF(E58="","",IF(ISNUMBER(FIND("|",E58)),TRIM(LEFT(E58,FIND("|",E58)-1)),IF(ISNUMBER(MATCH(E58,Config!$C$1:$C$311,0)),E58,IFERROR(INDEX(Config!$C$1:$C$311,MATCH(E58,Config!$D$1:$D$311,0)),""))))</f>
        <v>OP-0187</v>
      </c>
      <c r="E58" s="12" t="s">
        <v>75</v>
      </c>
      <c r="F58" s="13">
        <v>10</v>
      </c>
      <c r="G58" s="14" t="str">
        <f>=IF(C58="","",SUMIF($C$17:$C$502,C58,$F$17:$F$502))</f>
        <v/>
      </c>
      <c r="H58" s="14" t="str">
        <f>=IFERROR($B$14/$B$10,"")</f>
        <v/>
      </c>
      <c r="I58" s="15" t="str">
        <f>=IFERROR(G58/H58,"")</f>
        <v/>
      </c>
      <c r="J58" s="16" t="str">
        <f>=IF(F58="","",F58/3600)</f>
        <v/>
      </c>
      <c r="K58" s="11" t="str">
        <f>=IF(L58="","",IF(ISNUMBER(FIND("|",L58)),TRIM(LEFT(L58,FIND("|",L58)-1)),IF(ISNUMBER(MATCH(L58,Config!$F$1:$F$853,0)),L58,IFERROR(INDEX(Config!$F$1:$F$853,MATCH(L58,Config!$G$1:$G$853,0)),""))))</f>
        <v/>
      </c>
      <c r="L58" s="17" t="str">
        <f>=IFERROR(INDEX($L$17:L57,MATCH(C58,$C$17:C57,0)),"")</f>
        <v/>
      </c>
    </row>
    <row r="59" ht="18" customHeight="1" spans="1:12" x14ac:dyDescent="0.25">
      <c r="A59" s="10" t="s">
        <v>2</v>
      </c>
      <c r="B59" s="10" t="s">
        <v>2</v>
      </c>
      <c r="C59" s="10" t="s">
        <v>2</v>
      </c>
      <c r="D59" s="11" t="str">
        <f>=IF(E59="","",IF(ISNUMBER(FIND("|",E59)),TRIM(LEFT(E59,FIND("|",E59)-1)),IF(ISNUMBER(MATCH(E59,Config!$C$1:$C$311,0)),E59,IFERROR(INDEX(Config!$C$1:$C$311,MATCH(E59,Config!$D$1:$D$311,0)),""))))</f>
        <v>OP-0188</v>
      </c>
      <c r="E59" s="12" t="s">
        <v>76</v>
      </c>
      <c r="F59" s="13">
        <v>12</v>
      </c>
      <c r="G59" s="14" t="str">
        <f>=IF(C59="","",SUMIF($C$17:$C$502,C59,$F$17:$F$502))</f>
        <v/>
      </c>
      <c r="H59" s="14" t="str">
        <f>=IFERROR($B$14/$B$10,"")</f>
        <v/>
      </c>
      <c r="I59" s="15" t="str">
        <f>=IFERROR(G59/H59,"")</f>
        <v/>
      </c>
      <c r="J59" s="16" t="str">
        <f>=IF(F59="","",F59/3600)</f>
        <v/>
      </c>
      <c r="K59" s="11" t="str">
        <f>=IF(L59="","",IF(ISNUMBER(FIND("|",L59)),TRIM(LEFT(L59,FIND("|",L59)-1)),IF(ISNUMBER(MATCH(L59,Config!$F$1:$F$853,0)),L59,IFERROR(INDEX(Config!$F$1:$F$853,MATCH(L59,Config!$G$1:$G$853,0)),""))))</f>
        <v/>
      </c>
      <c r="L59" s="17" t="str">
        <f>=IFERROR(INDEX($L$17:L58,MATCH(C59,$C$17:C58,0)),"")</f>
        <v/>
      </c>
    </row>
    <row r="60" ht="18" customHeight="1" spans="1:12" x14ac:dyDescent="0.25">
      <c r="A60" s="10" t="s">
        <v>2</v>
      </c>
      <c r="B60" s="10" t="s">
        <v>2</v>
      </c>
      <c r="C60" s="10" t="s">
        <v>2</v>
      </c>
      <c r="D60" s="11" t="str">
        <f>=IF(E60="","",IF(ISNUMBER(FIND("|",E60)),TRIM(LEFT(E60,FIND("|",E60)-1)),IF(ISNUMBER(MATCH(E60,Config!$C$1:$C$311,0)),E60,IFERROR(INDEX(Config!$C$1:$C$311,MATCH(E60,Config!$D$1:$D$311,0)),""))))</f>
        <v>OP-0189</v>
      </c>
      <c r="E60" s="12" t="s">
        <v>77</v>
      </c>
      <c r="F60" s="13">
        <v>16</v>
      </c>
      <c r="G60" s="14" t="str">
        <f>=IF(C60="","",SUMIF($C$17:$C$502,C60,$F$17:$F$502))</f>
        <v/>
      </c>
      <c r="H60" s="14" t="str">
        <f>=IFERROR($B$14/$B$10,"")</f>
        <v/>
      </c>
      <c r="I60" s="15" t="str">
        <f>=IFERROR(G60/H60,"")</f>
        <v/>
      </c>
      <c r="J60" s="16" t="str">
        <f>=IF(F60="","",F60/3600)</f>
        <v/>
      </c>
      <c r="K60" s="11" t="str">
        <f>=IF(L60="","",IF(ISNUMBER(FIND("|",L60)),TRIM(LEFT(L60,FIND("|",L60)-1)),IF(ISNUMBER(MATCH(L60,Config!$F$1:$F$853,0)),L60,IFERROR(INDEX(Config!$F$1:$F$853,MATCH(L60,Config!$G$1:$G$853,0)),""))))</f>
        <v/>
      </c>
      <c r="L60" s="17" t="str">
        <f>=IFERROR(INDEX($L$17:L59,MATCH(C60,$C$17:C59,0)),"")</f>
        <v/>
      </c>
    </row>
    <row r="61" ht="18" customHeight="1" spans="1:12" x14ac:dyDescent="0.25">
      <c r="A61" s="10" t="s">
        <v>2</v>
      </c>
      <c r="B61" s="10" t="s">
        <v>2</v>
      </c>
      <c r="C61" s="10" t="s">
        <v>2</v>
      </c>
      <c r="D61" s="11" t="str">
        <f>=IF(E61="","",IF(ISNUMBER(FIND("|",E61)),TRIM(LEFT(E61,FIND("|",E61)-1)),IF(ISNUMBER(MATCH(E61,Config!$C$1:$C$311,0)),E61,IFERROR(INDEX(Config!$C$1:$C$311,MATCH(E61,Config!$D$1:$D$311,0)),""))))</f>
        <v>OP-0190</v>
      </c>
      <c r="E61" s="12" t="s">
        <v>78</v>
      </c>
      <c r="F61" s="13">
        <v>10</v>
      </c>
      <c r="G61" s="14" t="str">
        <f>=IF(C61="","",SUMIF($C$17:$C$502,C61,$F$17:$F$502))</f>
        <v/>
      </c>
      <c r="H61" s="14" t="str">
        <f>=IFERROR($B$14/$B$10,"")</f>
        <v/>
      </c>
      <c r="I61" s="15" t="str">
        <f>=IFERROR(G61/H61,"")</f>
        <v/>
      </c>
      <c r="J61" s="16" t="str">
        <f>=IF(F61="","",F61/3600)</f>
        <v/>
      </c>
      <c r="K61" s="11" t="str">
        <f>=IF(L61="","",IF(ISNUMBER(FIND("|",L61)),TRIM(LEFT(L61,FIND("|",L61)-1)),IF(ISNUMBER(MATCH(L61,Config!$F$1:$F$853,0)),L61,IFERROR(INDEX(Config!$F$1:$F$853,MATCH(L61,Config!$G$1:$G$853,0)),""))))</f>
        <v/>
      </c>
      <c r="L61" s="17" t="str">
        <f>=IFERROR(INDEX($L$17:L60,MATCH(C61,$C$17:C60,0)),"")</f>
        <v/>
      </c>
    </row>
    <row r="62" ht="18" customHeight="1" spans="1:12" x14ac:dyDescent="0.25">
      <c r="A62" s="10" t="s">
        <v>2</v>
      </c>
      <c r="B62" s="10" t="s">
        <v>2</v>
      </c>
      <c r="C62" s="10" t="s">
        <v>2</v>
      </c>
      <c r="D62" s="11" t="str">
        <f>=IF(E62="","",IF(ISNUMBER(FIND("|",E62)),TRIM(LEFT(E62,FIND("|",E62)-1)),IF(ISNUMBER(MATCH(E62,Config!$C$1:$C$311,0)),E62,IFERROR(INDEX(Config!$C$1:$C$311,MATCH(E62,Config!$D$1:$D$311,0)),""))))</f>
        <v>OP-0191</v>
      </c>
      <c r="E62" s="12" t="s">
        <v>79</v>
      </c>
      <c r="F62" s="13">
        <v>14</v>
      </c>
      <c r="G62" s="14" t="str">
        <f>=IF(C62="","",SUMIF($C$17:$C$502,C62,$F$17:$F$502))</f>
        <v/>
      </c>
      <c r="H62" s="14" t="str">
        <f>=IFERROR($B$14/$B$10,"")</f>
        <v/>
      </c>
      <c r="I62" s="15" t="str">
        <f>=IFERROR(G62/H62,"")</f>
        <v/>
      </c>
      <c r="J62" s="16" t="str">
        <f>=IF(F62="","",F62/3600)</f>
        <v/>
      </c>
      <c r="K62" s="11" t="str">
        <f>=IF(L62="","",IF(ISNUMBER(FIND("|",L62)),TRIM(LEFT(L62,FIND("|",L62)-1)),IF(ISNUMBER(MATCH(L62,Config!$F$1:$F$853,0)),L62,IFERROR(INDEX(Config!$F$1:$F$853,MATCH(L62,Config!$G$1:$G$853,0)),""))))</f>
        <v/>
      </c>
      <c r="L62" s="17" t="str">
        <f>=IFERROR(INDEX($L$17:L61,MATCH(C62,$C$17:C61,0)),"")</f>
        <v/>
      </c>
    </row>
    <row r="63" ht="18" customHeight="1" spans="1:12" x14ac:dyDescent="0.25">
      <c r="A63" s="10" t="s">
        <v>2</v>
      </c>
      <c r="B63" s="10" t="s">
        <v>2</v>
      </c>
      <c r="C63" s="10" t="s">
        <v>2</v>
      </c>
      <c r="D63" s="11" t="str">
        <f>=IF(E63="","",IF(ISNUMBER(FIND("|",E63)),TRIM(LEFT(E63,FIND("|",E63)-1)),IF(ISNUMBER(MATCH(E63,Config!$C$1:$C$311,0)),E63,IFERROR(INDEX(Config!$C$1:$C$311,MATCH(E63,Config!$D$1:$D$311,0)),""))))</f>
        <v>OP-0192</v>
      </c>
      <c r="E63" s="12" t="s">
        <v>80</v>
      </c>
      <c r="F63" s="13">
        <v>16</v>
      </c>
      <c r="G63" s="14" t="str">
        <f>=IF(C63="","",SUMIF($C$17:$C$502,C63,$F$17:$F$502))</f>
        <v/>
      </c>
      <c r="H63" s="14" t="str">
        <f>=IFERROR($B$14/$B$10,"")</f>
        <v/>
      </c>
      <c r="I63" s="15" t="str">
        <f>=IFERROR(G63/H63,"")</f>
        <v/>
      </c>
      <c r="J63" s="16" t="str">
        <f>=IF(F63="","",F63/3600)</f>
        <v/>
      </c>
      <c r="K63" s="11" t="str">
        <f>=IF(L63="","",IF(ISNUMBER(FIND("|",L63)),TRIM(LEFT(L63,FIND("|",L63)-1)),IF(ISNUMBER(MATCH(L63,Config!$F$1:$F$853,0)),L63,IFERROR(INDEX(Config!$F$1:$F$853,MATCH(L63,Config!$G$1:$G$853,0)),""))))</f>
        <v/>
      </c>
      <c r="L63" s="17" t="str">
        <f>=IFERROR(INDEX($L$17:L62,MATCH(C63,$C$17:C62,0)),"")</f>
        <v/>
      </c>
    </row>
    <row r="64" ht="18" customHeight="1" spans="1:12" x14ac:dyDescent="0.25">
      <c r="A64" s="10" t="s">
        <v>2</v>
      </c>
      <c r="B64" s="10" t="s">
        <v>2</v>
      </c>
      <c r="C64" s="10" t="s">
        <v>2</v>
      </c>
      <c r="D64" s="11" t="str">
        <f>=IF(E64="","",IF(ISNUMBER(FIND("|",E64)),TRIM(LEFT(E64,FIND("|",E64)-1)),IF(ISNUMBER(MATCH(E64,Config!$C$1:$C$311,0)),E64,IFERROR(INDEX(Config!$C$1:$C$311,MATCH(E64,Config!$D$1:$D$311,0)),""))))</f>
        <v>OP-0193</v>
      </c>
      <c r="E64" s="12" t="s">
        <v>81</v>
      </c>
      <c r="F64" s="13">
        <v>10</v>
      </c>
      <c r="G64" s="14" t="str">
        <f>=IF(C64="","",SUMIF($C$17:$C$502,C64,$F$17:$F$502))</f>
        <v/>
      </c>
      <c r="H64" s="14" t="str">
        <f>=IFERROR($B$14/$B$10,"")</f>
        <v/>
      </c>
      <c r="I64" s="15" t="str">
        <f>=IFERROR(G64/H64,"")</f>
        <v/>
      </c>
      <c r="J64" s="16" t="str">
        <f>=IF(F64="","",F64/3600)</f>
        <v/>
      </c>
      <c r="K64" s="11" t="str">
        <f>=IF(L64="","",IF(ISNUMBER(FIND("|",L64)),TRIM(LEFT(L64,FIND("|",L64)-1)),IF(ISNUMBER(MATCH(L64,Config!$F$1:$F$853,0)),L64,IFERROR(INDEX(Config!$F$1:$F$853,MATCH(L64,Config!$G$1:$G$853,0)),""))))</f>
        <v/>
      </c>
      <c r="L64" s="17" t="str">
        <f>=IFERROR(INDEX($L$17:L63,MATCH(C64,$C$17:C63,0)),"")</f>
        <v/>
      </c>
    </row>
    <row r="65" ht="18" customHeight="1" spans="1:12" x14ac:dyDescent="0.25">
      <c r="A65" s="10" t="s">
        <v>2</v>
      </c>
      <c r="B65" s="10" t="s">
        <v>2</v>
      </c>
      <c r="C65" s="10" t="s">
        <v>2</v>
      </c>
      <c r="D65" s="11" t="str">
        <f>=IF(E65="","",IF(ISNUMBER(FIND("|",E65)),TRIM(LEFT(E65,FIND("|",E65)-1)),IF(ISNUMBER(MATCH(E65,Config!$C$1:$C$311,0)),E65,IFERROR(INDEX(Config!$C$1:$C$311,MATCH(E65,Config!$D$1:$D$311,0)),""))))</f>
        <v>OP-0194</v>
      </c>
      <c r="E65" s="12" t="s">
        <v>82</v>
      </c>
      <c r="F65" s="13">
        <v>14</v>
      </c>
      <c r="G65" s="14" t="str">
        <f>=IF(C65="","",SUMIF($C$17:$C$502,C65,$F$17:$F$502))</f>
        <v/>
      </c>
      <c r="H65" s="14" t="str">
        <f>=IFERROR($B$14/$B$10,"")</f>
        <v/>
      </c>
      <c r="I65" s="15" t="str">
        <f>=IFERROR(G65/H65,"")</f>
        <v/>
      </c>
      <c r="J65" s="16" t="str">
        <f>=IF(F65="","",F65/3600)</f>
        <v/>
      </c>
      <c r="K65" s="11" t="str">
        <f>=IF(L65="","",IF(ISNUMBER(FIND("|",L65)),TRIM(LEFT(L65,FIND("|",L65)-1)),IF(ISNUMBER(MATCH(L65,Config!$F$1:$F$853,0)),L65,IFERROR(INDEX(Config!$F$1:$F$853,MATCH(L65,Config!$G$1:$G$853,0)),""))))</f>
        <v/>
      </c>
      <c r="L65" s="17" t="str">
        <f>=IFERROR(INDEX($L$17:L64,MATCH(C65,$C$17:C64,0)),"")</f>
        <v/>
      </c>
    </row>
    <row r="66" ht="18" customHeight="1" spans="1:12" x14ac:dyDescent="0.25">
      <c r="A66" s="10" t="s">
        <v>2</v>
      </c>
      <c r="B66" s="10" t="s">
        <v>2</v>
      </c>
      <c r="C66" s="10" t="s">
        <v>2</v>
      </c>
      <c r="D66" s="11" t="str">
        <f>=IF(E66="","",IF(ISNUMBER(FIND("|",E66)),TRIM(LEFT(E66,FIND("|",E66)-1)),IF(ISNUMBER(MATCH(E66,Config!$C$1:$C$311,0)),E66,IFERROR(INDEX(Config!$C$1:$C$311,MATCH(E66,Config!$D$1:$D$311,0)),""))))</f>
        <v>OP-0195</v>
      </c>
      <c r="E66" s="12" t="s">
        <v>83</v>
      </c>
      <c r="F66" s="13">
        <v>10</v>
      </c>
      <c r="G66" s="14" t="str">
        <f>=IF(C66="","",SUMIF($C$17:$C$502,C66,$F$17:$F$502))</f>
        <v/>
      </c>
      <c r="H66" s="14" t="str">
        <f>=IFERROR($B$14/$B$10,"")</f>
        <v/>
      </c>
      <c r="I66" s="15" t="str">
        <f>=IFERROR(G66/H66,"")</f>
        <v/>
      </c>
      <c r="J66" s="16" t="str">
        <f>=IF(F66="","",F66/3600)</f>
        <v/>
      </c>
      <c r="K66" s="11" t="str">
        <f>=IF(L66="","",IF(ISNUMBER(FIND("|",L66)),TRIM(LEFT(L66,FIND("|",L66)-1)),IF(ISNUMBER(MATCH(L66,Config!$F$1:$F$853,0)),L66,IFERROR(INDEX(Config!$F$1:$F$853,MATCH(L66,Config!$G$1:$G$853,0)),""))))</f>
        <v/>
      </c>
      <c r="L66" s="17" t="str">
        <f>=IFERROR(INDEX($L$17:L65,MATCH(C66,$C$17:C65,0)),"")</f>
        <v/>
      </c>
    </row>
    <row r="67" ht="18" customHeight="1" spans="1:12" x14ac:dyDescent="0.25">
      <c r="A67" s="10" t="s">
        <v>2</v>
      </c>
      <c r="B67" s="10" t="s">
        <v>2</v>
      </c>
      <c r="C67" s="10" t="s">
        <v>2</v>
      </c>
      <c r="D67" s="11" t="str">
        <f>=IF(E67="","",IF(ISNUMBER(FIND("|",E67)),TRIM(LEFT(E67,FIND("|",E67)-1)),IF(ISNUMBER(MATCH(E67,Config!$C$1:$C$311,0)),E67,IFERROR(INDEX(Config!$C$1:$C$311,MATCH(E67,Config!$D$1:$D$311,0)),""))))</f>
        <v>OP-0196</v>
      </c>
      <c r="E67" s="12" t="s">
        <v>84</v>
      </c>
      <c r="F67" s="13">
        <v>20</v>
      </c>
      <c r="G67" s="14" t="str">
        <f>=IF(C67="","",SUMIF($C$17:$C$502,C67,$F$17:$F$502))</f>
        <v/>
      </c>
      <c r="H67" s="14" t="str">
        <f>=IFERROR($B$14/$B$10,"")</f>
        <v/>
      </c>
      <c r="I67" s="15" t="str">
        <f>=IFERROR(G67/H67,"")</f>
        <v/>
      </c>
      <c r="J67" s="16" t="str">
        <f>=IF(F67="","",F67/3600)</f>
        <v/>
      </c>
      <c r="K67" s="11" t="str">
        <f>=IF(L67="","",IF(ISNUMBER(FIND("|",L67)),TRIM(LEFT(L67,FIND("|",L67)-1)),IF(ISNUMBER(MATCH(L67,Config!$F$1:$F$853,0)),L67,IFERROR(INDEX(Config!$F$1:$F$853,MATCH(L67,Config!$G$1:$G$853,0)),""))))</f>
        <v/>
      </c>
      <c r="L67" s="17" t="str">
        <f>=IFERROR(INDEX($L$17:L66,MATCH(C67,$C$17:C66,0)),"")</f>
        <v/>
      </c>
    </row>
    <row r="68" ht="18" customHeight="1" spans="1:12" x14ac:dyDescent="0.25">
      <c r="A68" s="10" t="s">
        <v>2</v>
      </c>
      <c r="B68" s="10" t="s">
        <v>2</v>
      </c>
      <c r="C68" s="10" t="s">
        <v>2</v>
      </c>
      <c r="D68" s="11" t="str">
        <f>=IF(E68="","",IF(ISNUMBER(FIND("|",E68)),TRIM(LEFT(E68,FIND("|",E68)-1)),IF(ISNUMBER(MATCH(E68,Config!$C$1:$C$311,0)),E68,IFERROR(INDEX(Config!$C$1:$C$311,MATCH(E68,Config!$D$1:$D$311,0)),""))))</f>
        <v>OP-0197</v>
      </c>
      <c r="E68" s="12" t="s">
        <v>85</v>
      </c>
      <c r="F68" s="13">
        <v>18</v>
      </c>
      <c r="G68" s="14" t="str">
        <f>=IF(C68="","",SUMIF($C$17:$C$502,C68,$F$17:$F$502))</f>
        <v/>
      </c>
      <c r="H68" s="14" t="str">
        <f>=IFERROR($B$14/$B$10,"")</f>
        <v/>
      </c>
      <c r="I68" s="15" t="str">
        <f>=IFERROR(G68/H68,"")</f>
        <v/>
      </c>
      <c r="J68" s="16" t="str">
        <f>=IF(F68="","",F68/3600)</f>
        <v/>
      </c>
      <c r="K68" s="11" t="str">
        <f>=IF(L68="","",IF(ISNUMBER(FIND("|",L68)),TRIM(LEFT(L68,FIND("|",L68)-1)),IF(ISNUMBER(MATCH(L68,Config!$F$1:$F$853,0)),L68,IFERROR(INDEX(Config!$F$1:$F$853,MATCH(L68,Config!$G$1:$G$853,0)),""))))</f>
        <v/>
      </c>
      <c r="L68" s="17" t="str">
        <f>=IFERROR(INDEX($L$17:L67,MATCH(C68,$C$17:C67,0)),"")</f>
        <v/>
      </c>
    </row>
    <row r="69" ht="18" customHeight="1" spans="1:12" x14ac:dyDescent="0.25">
      <c r="A69" s="10" t="s">
        <v>2</v>
      </c>
      <c r="B69" s="10" t="s">
        <v>2</v>
      </c>
      <c r="C69" s="10" t="s">
        <v>2</v>
      </c>
      <c r="D69" s="11" t="str">
        <f>=IF(E69="","",IF(ISNUMBER(FIND("|",E69)),TRIM(LEFT(E69,FIND("|",E69)-1)),IF(ISNUMBER(MATCH(E69,Config!$C$1:$C$311,0)),E69,IFERROR(INDEX(Config!$C$1:$C$311,MATCH(E69,Config!$D$1:$D$311,0)),""))))</f>
        <v>OP-0198</v>
      </c>
      <c r="E69" s="12" t="s">
        <v>86</v>
      </c>
      <c r="F69" s="13">
        <v>20</v>
      </c>
      <c r="G69" s="14" t="str">
        <f>=IF(C69="","",SUMIF($C$17:$C$502,C69,$F$17:$F$502))</f>
        <v/>
      </c>
      <c r="H69" s="14" t="str">
        <f>=IFERROR($B$14/$B$10,"")</f>
        <v/>
      </c>
      <c r="I69" s="15" t="str">
        <f>=IFERROR(G69/H69,"")</f>
        <v/>
      </c>
      <c r="J69" s="16" t="str">
        <f>=IF(F69="","",F69/3600)</f>
        <v/>
      </c>
      <c r="K69" s="11" t="str">
        <f>=IF(L69="","",IF(ISNUMBER(FIND("|",L69)),TRIM(LEFT(L69,FIND("|",L69)-1)),IF(ISNUMBER(MATCH(L69,Config!$F$1:$F$853,0)),L69,IFERROR(INDEX(Config!$F$1:$F$853,MATCH(L69,Config!$G$1:$G$853,0)),""))))</f>
        <v/>
      </c>
      <c r="L69" s="17" t="str">
        <f>=IFERROR(INDEX($L$17:L68,MATCH(C69,$C$17:C68,0)),"")</f>
        <v/>
      </c>
    </row>
    <row r="70" ht="18" customHeight="1" spans="1:12" x14ac:dyDescent="0.25">
      <c r="A70" s="10" t="s">
        <v>2</v>
      </c>
      <c r="B70" s="10" t="s">
        <v>2</v>
      </c>
      <c r="C70" s="10" t="s">
        <v>2</v>
      </c>
      <c r="D70" s="11" t="str">
        <f>=IF(E70="","",IF(ISNUMBER(FIND("|",E70)),TRIM(LEFT(E70,FIND("|",E70)-1)),IF(ISNUMBER(MATCH(E70,Config!$C$1:$C$311,0)),E70,IFERROR(INDEX(Config!$C$1:$C$311,MATCH(E70,Config!$D$1:$D$311,0)),""))))</f>
        <v>OP-0197</v>
      </c>
      <c r="E70" s="12" t="s">
        <v>85</v>
      </c>
      <c r="F70" s="13">
        <v>18</v>
      </c>
      <c r="G70" s="14" t="str">
        <f>=IF(C70="","",SUMIF($C$17:$C$502,C70,$F$17:$F$502))</f>
        <v/>
      </c>
      <c r="H70" s="14" t="str">
        <f>=IFERROR($B$14/$B$10,"")</f>
        <v/>
      </c>
      <c r="I70" s="15" t="str">
        <f>=IFERROR(G70/H70,"")</f>
        <v/>
      </c>
      <c r="J70" s="16" t="str">
        <f>=IF(F70="","",F70/3600)</f>
        <v/>
      </c>
      <c r="K70" s="11" t="str">
        <f>=IF(L70="","",IF(ISNUMBER(FIND("|",L70)),TRIM(LEFT(L70,FIND("|",L70)-1)),IF(ISNUMBER(MATCH(L70,Config!$F$1:$F$853,0)),L70,IFERROR(INDEX(Config!$F$1:$F$853,MATCH(L70,Config!$G$1:$G$853,0)),""))))</f>
        <v/>
      </c>
      <c r="L70" s="17" t="str">
        <f>=IFERROR(INDEX($L$17:L69,MATCH(C70,$C$17:C69,0)),"")</f>
        <v/>
      </c>
    </row>
    <row r="71" ht="18" customHeight="1" spans="1:12" x14ac:dyDescent="0.25">
      <c r="A71" s="10" t="s">
        <v>2</v>
      </c>
      <c r="B71" s="10" t="s">
        <v>2</v>
      </c>
      <c r="C71" s="10" t="s">
        <v>2</v>
      </c>
      <c r="D71" s="11" t="str">
        <f>=IF(E71="","",IF(ISNUMBER(FIND("|",E71)),TRIM(LEFT(E71,FIND("|",E71)-1)),IF(ISNUMBER(MATCH(E71,Config!$C$1:$C$311,0)),E71,IFERROR(INDEX(Config!$C$1:$C$311,MATCH(E71,Config!$D$1:$D$311,0)),""))))</f>
        <v>OP-0199</v>
      </c>
      <c r="E71" s="12" t="s">
        <v>87</v>
      </c>
      <c r="F71" s="13">
        <v>10</v>
      </c>
      <c r="G71" s="14" t="str">
        <f>=IF(C71="","",SUMIF($C$17:$C$502,C71,$F$17:$F$502))</f>
        <v/>
      </c>
      <c r="H71" s="14" t="str">
        <f>=IFERROR($B$14/$B$10,"")</f>
        <v/>
      </c>
      <c r="I71" s="15" t="str">
        <f>=IFERROR(G71/H71,"")</f>
        <v/>
      </c>
      <c r="J71" s="16" t="str">
        <f>=IF(F71="","",F71/3600)</f>
        <v/>
      </c>
      <c r="K71" s="11" t="str">
        <f>=IF(L71="","",IF(ISNUMBER(FIND("|",L71)),TRIM(LEFT(L71,FIND("|",L71)-1)),IF(ISNUMBER(MATCH(L71,Config!$F$1:$F$853,0)),L71,IFERROR(INDEX(Config!$F$1:$F$853,MATCH(L71,Config!$G$1:$G$853,0)),""))))</f>
        <v/>
      </c>
      <c r="L71" s="17" t="str">
        <f>=IFERROR(INDEX($L$17:L70,MATCH(C71,$C$17:C70,0)),"")</f>
        <v/>
      </c>
    </row>
    <row r="72" ht="18" customHeight="1" spans="1:12" x14ac:dyDescent="0.25">
      <c r="A72" s="10" t="s">
        <v>2</v>
      </c>
      <c r="B72" s="10" t="s">
        <v>2</v>
      </c>
      <c r="C72" s="10" t="s">
        <v>2</v>
      </c>
      <c r="D72" s="11" t="str">
        <f>=IF(E72="","",IF(ISNUMBER(FIND("|",E72)),TRIM(LEFT(E72,FIND("|",E72)-1)),IF(ISNUMBER(MATCH(E72,Config!$C$1:$C$311,0)),E72,IFERROR(INDEX(Config!$C$1:$C$311,MATCH(E72,Config!$D$1:$D$311,0)),""))))</f>
        <v>OP-0200</v>
      </c>
      <c r="E72" s="12" t="s">
        <v>88</v>
      </c>
      <c r="F72" s="13">
        <v>10</v>
      </c>
      <c r="G72" s="14" t="str">
        <f>=IF(C72="","",SUMIF($C$17:$C$502,C72,$F$17:$F$502))</f>
        <v/>
      </c>
      <c r="H72" s="14" t="str">
        <f>=IFERROR($B$14/$B$10,"")</f>
        <v/>
      </c>
      <c r="I72" s="15" t="str">
        <f>=IFERROR(G72/H72,"")</f>
        <v/>
      </c>
      <c r="J72" s="16" t="str">
        <f>=IF(F72="","",F72/3600)</f>
        <v/>
      </c>
      <c r="K72" s="11" t="str">
        <f>=IF(L72="","",IF(ISNUMBER(FIND("|",L72)),TRIM(LEFT(L72,FIND("|",L72)-1)),IF(ISNUMBER(MATCH(L72,Config!$F$1:$F$853,0)),L72,IFERROR(INDEX(Config!$F$1:$F$853,MATCH(L72,Config!$G$1:$G$853,0)),""))))</f>
        <v/>
      </c>
      <c r="L72" s="17" t="str">
        <f>=IFERROR(INDEX($L$17:L71,MATCH(C72,$C$17:C71,0)),"")</f>
        <v/>
      </c>
    </row>
    <row r="73" ht="18" customHeight="1" spans="1:12" x14ac:dyDescent="0.25">
      <c r="A73" s="10" t="s">
        <v>2</v>
      </c>
      <c r="B73" s="10" t="s">
        <v>2</v>
      </c>
      <c r="C73" s="10" t="s">
        <v>2</v>
      </c>
      <c r="D73" s="11" t="str">
        <f>=IF(E73="","",IF(ISNUMBER(FIND("|",E73)),TRIM(LEFT(E73,FIND("|",E73)-1)),IF(ISNUMBER(MATCH(E73,Config!$C$1:$C$311,0)),E73,IFERROR(INDEX(Config!$C$1:$C$311,MATCH(E73,Config!$D$1:$D$311,0)),""))))</f>
        <v>OP-0201</v>
      </c>
      <c r="E73" s="12" t="s">
        <v>89</v>
      </c>
      <c r="F73" s="13">
        <v>14</v>
      </c>
      <c r="G73" s="14" t="str">
        <f>=IF(C73="","",SUMIF($C$17:$C$502,C73,$F$17:$F$502))</f>
        <v/>
      </c>
      <c r="H73" s="14" t="str">
        <f>=IFERROR($B$14/$B$10,"")</f>
        <v/>
      </c>
      <c r="I73" s="15" t="str">
        <f>=IFERROR(G73/H73,"")</f>
        <v/>
      </c>
      <c r="J73" s="16" t="str">
        <f>=IF(F73="","",F73/3600)</f>
        <v/>
      </c>
      <c r="K73" s="11" t="str">
        <f>=IF(L73="","",IF(ISNUMBER(FIND("|",L73)),TRIM(LEFT(L73,FIND("|",L73)-1)),IF(ISNUMBER(MATCH(L73,Config!$F$1:$F$853,0)),L73,IFERROR(INDEX(Config!$F$1:$F$853,MATCH(L73,Config!$G$1:$G$853,0)),""))))</f>
        <v/>
      </c>
      <c r="L73" s="17" t="str">
        <f>=IFERROR(INDEX($L$17:L72,MATCH(C73,$C$17:C72,0)),"")</f>
        <v/>
      </c>
    </row>
    <row r="74" ht="18" customHeight="1" spans="1:12" x14ac:dyDescent="0.25">
      <c r="A74" s="10" t="s">
        <v>2</v>
      </c>
      <c r="B74" s="10" t="s">
        <v>2</v>
      </c>
      <c r="C74" s="10" t="s">
        <v>2</v>
      </c>
      <c r="D74" s="11" t="str">
        <f>=IF(E74="","",IF(ISNUMBER(FIND("|",E74)),TRIM(LEFT(E74,FIND("|",E74)-1)),IF(ISNUMBER(MATCH(E74,Config!$C$1:$C$311,0)),E74,IFERROR(INDEX(Config!$C$1:$C$311,MATCH(E74,Config!$D$1:$D$311,0)),""))))</f>
        <v>OP-0202</v>
      </c>
      <c r="E74" s="12" t="s">
        <v>90</v>
      </c>
      <c r="F74" s="13">
        <v>14</v>
      </c>
      <c r="G74" s="14" t="str">
        <f>=IF(C74="","",SUMIF($C$17:$C$502,C74,$F$17:$F$502))</f>
        <v/>
      </c>
      <c r="H74" s="14" t="str">
        <f>=IFERROR($B$14/$B$10,"")</f>
        <v/>
      </c>
      <c r="I74" s="15" t="str">
        <f>=IFERROR(G74/H74,"")</f>
        <v/>
      </c>
      <c r="J74" s="16" t="str">
        <f>=IF(F74="","",F74/3600)</f>
        <v/>
      </c>
      <c r="K74" s="11" t="str">
        <f>=IF(L74="","",IF(ISNUMBER(FIND("|",L74)),TRIM(LEFT(L74,FIND("|",L74)-1)),IF(ISNUMBER(MATCH(L74,Config!$F$1:$F$853,0)),L74,IFERROR(INDEX(Config!$F$1:$F$853,MATCH(L74,Config!$G$1:$G$853,0)),""))))</f>
        <v/>
      </c>
      <c r="L74" s="17" t="str">
        <f>=IFERROR(INDEX($L$17:L73,MATCH(C74,$C$17:C73,0)),"")</f>
        <v/>
      </c>
    </row>
    <row r="75" ht="18" customHeight="1" spans="1:12" x14ac:dyDescent="0.25">
      <c r="A75" s="10" t="s">
        <v>2</v>
      </c>
      <c r="B75" s="10" t="s">
        <v>2</v>
      </c>
      <c r="C75" s="10" t="s">
        <v>2</v>
      </c>
      <c r="D75" s="11" t="str">
        <f>=IF(E75="","",IF(ISNUMBER(FIND("|",E75)),TRIM(LEFT(E75,FIND("|",E75)-1)),IF(ISNUMBER(MATCH(E75,Config!$C$1:$C$311,0)),E75,IFERROR(INDEX(Config!$C$1:$C$311,MATCH(E75,Config!$D$1:$D$311,0)),""))))</f>
        <v>OP-0203</v>
      </c>
      <c r="E75" s="12" t="s">
        <v>91</v>
      </c>
      <c r="F75" s="13">
        <v>24</v>
      </c>
      <c r="G75" s="14" t="str">
        <f>=IF(C75="","",SUMIF($C$17:$C$502,C75,$F$17:$F$502))</f>
        <v/>
      </c>
      <c r="H75" s="14" t="str">
        <f>=IFERROR($B$14/$B$10,"")</f>
        <v/>
      </c>
      <c r="I75" s="15" t="str">
        <f>=IFERROR(G75/H75,"")</f>
        <v/>
      </c>
      <c r="J75" s="16" t="str">
        <f>=IF(F75="","",F75/3600)</f>
        <v/>
      </c>
      <c r="K75" s="11" t="str">
        <f>=IF(L75="","",IF(ISNUMBER(FIND("|",L75)),TRIM(LEFT(L75,FIND("|",L75)-1)),IF(ISNUMBER(MATCH(L75,Config!$F$1:$F$853,0)),L75,IFERROR(INDEX(Config!$F$1:$F$853,MATCH(L75,Config!$G$1:$G$853,0)),""))))</f>
        <v/>
      </c>
      <c r="L75" s="17" t="str">
        <f>=IFERROR(INDEX($L$17:L74,MATCH(C75,$C$17:C74,0)),"")</f>
        <v/>
      </c>
    </row>
    <row r="76" ht="18" customHeight="1" spans="1:12" x14ac:dyDescent="0.25">
      <c r="A76" s="10" t="s">
        <v>2</v>
      </c>
      <c r="B76" s="10" t="s">
        <v>2</v>
      </c>
      <c r="C76" s="10" t="s">
        <v>2</v>
      </c>
      <c r="D76" s="11" t="str">
        <f>=IF(E76="","",IF(ISNUMBER(FIND("|",E76)),TRIM(LEFT(E76,FIND("|",E76)-1)),IF(ISNUMBER(MATCH(E76,Config!$C$1:$C$311,0)),E76,IFERROR(INDEX(Config!$C$1:$C$311,MATCH(E76,Config!$D$1:$D$311,0)),""))))</f>
        <v>OP-0204</v>
      </c>
      <c r="E76" s="12" t="s">
        <v>92</v>
      </c>
      <c r="F76" s="13">
        <v>10</v>
      </c>
      <c r="G76" s="14" t="str">
        <f>=IF(C76="","",SUMIF($C$17:$C$502,C76,$F$17:$F$502))</f>
        <v/>
      </c>
      <c r="H76" s="14" t="str">
        <f>=IFERROR($B$14/$B$10,"")</f>
        <v/>
      </c>
      <c r="I76" s="15" t="str">
        <f>=IFERROR(G76/H76,"")</f>
        <v/>
      </c>
      <c r="J76" s="16" t="str">
        <f>=IF(F76="","",F76/3600)</f>
        <v/>
      </c>
      <c r="K76" s="11" t="str">
        <f>=IF(L76="","",IF(ISNUMBER(FIND("|",L76)),TRIM(LEFT(L76,FIND("|",L76)-1)),IF(ISNUMBER(MATCH(L76,Config!$F$1:$F$853,0)),L76,IFERROR(INDEX(Config!$F$1:$F$853,MATCH(L76,Config!$G$1:$G$853,0)),""))))</f>
        <v/>
      </c>
      <c r="L76" s="17" t="str">
        <f>=IFERROR(INDEX($L$17:L75,MATCH(C76,$C$17:C75,0)),"")</f>
        <v/>
      </c>
    </row>
    <row r="77" ht="18" customHeight="1" spans="1:12" x14ac:dyDescent="0.25">
      <c r="A77" s="10" t="s">
        <v>2</v>
      </c>
      <c r="B77" s="10" t="s">
        <v>2</v>
      </c>
      <c r="C77" s="10" t="s">
        <v>2</v>
      </c>
      <c r="D77" s="11" t="str">
        <f>=IF(E77="","",IF(ISNUMBER(FIND("|",E77)),TRIM(LEFT(E77,FIND("|",E77)-1)),IF(ISNUMBER(MATCH(E77,Config!$C$1:$C$311,0)),E77,IFERROR(INDEX(Config!$C$1:$C$311,MATCH(E77,Config!$D$1:$D$311,0)),""))))</f>
        <v>OP-0205</v>
      </c>
      <c r="E77" s="12" t="s">
        <v>93</v>
      </c>
      <c r="F77" s="13">
        <v>24</v>
      </c>
      <c r="G77" s="14" t="str">
        <f>=IF(C77="","",SUMIF($C$17:$C$502,C77,$F$17:$F$502))</f>
        <v/>
      </c>
      <c r="H77" s="14" t="str">
        <f>=IFERROR($B$14/$B$10,"")</f>
        <v/>
      </c>
      <c r="I77" s="15" t="str">
        <f>=IFERROR(G77/H77,"")</f>
        <v/>
      </c>
      <c r="J77" s="16" t="str">
        <f>=IF(F77="","",F77/3600)</f>
        <v/>
      </c>
      <c r="K77" s="11" t="str">
        <f>=IF(L77="","",IF(ISNUMBER(FIND("|",L77)),TRIM(LEFT(L77,FIND("|",L77)-1)),IF(ISNUMBER(MATCH(L77,Config!$F$1:$F$853,0)),L77,IFERROR(INDEX(Config!$F$1:$F$853,MATCH(L77,Config!$G$1:$G$853,0)),""))))</f>
        <v/>
      </c>
      <c r="L77" s="17" t="str">
        <f>=IFERROR(INDEX($L$17:L76,MATCH(C77,$C$17:C76,0)),"")</f>
        <v/>
      </c>
    </row>
    <row r="78" ht="18" customHeight="1" spans="1:12" x14ac:dyDescent="0.25">
      <c r="A78" s="10" t="s">
        <v>2</v>
      </c>
      <c r="B78" s="10" t="s">
        <v>2</v>
      </c>
      <c r="C78" s="10" t="s">
        <v>2</v>
      </c>
      <c r="D78" s="11" t="str">
        <f>=IF(E78="","",IF(ISNUMBER(FIND("|",E78)),TRIM(LEFT(E78,FIND("|",E78)-1)),IF(ISNUMBER(MATCH(E78,Config!$C$1:$C$311,0)),E78,IFERROR(INDEX(Config!$C$1:$C$311,MATCH(E78,Config!$D$1:$D$311,0)),""))))</f>
        <v>OP-0206</v>
      </c>
      <c r="E78" s="12" t="s">
        <v>94</v>
      </c>
      <c r="F78" s="13">
        <v>12</v>
      </c>
      <c r="G78" s="14" t="str">
        <f>=IF(C78="","",SUMIF($C$17:$C$502,C78,$F$17:$F$502))</f>
        <v/>
      </c>
      <c r="H78" s="14" t="str">
        <f>=IFERROR($B$14/$B$10,"")</f>
        <v/>
      </c>
      <c r="I78" s="15" t="str">
        <f>=IFERROR(G78/H78,"")</f>
        <v/>
      </c>
      <c r="J78" s="16" t="str">
        <f>=IF(F78="","",F78/3600)</f>
        <v/>
      </c>
      <c r="K78" s="11" t="str">
        <f>=IF(L78="","",IF(ISNUMBER(FIND("|",L78)),TRIM(LEFT(L78,FIND("|",L78)-1)),IF(ISNUMBER(MATCH(L78,Config!$F$1:$F$853,0)),L78,IFERROR(INDEX(Config!$F$1:$F$853,MATCH(L78,Config!$G$1:$G$853,0)),""))))</f>
        <v/>
      </c>
      <c r="L78" s="17" t="str">
        <f>=IFERROR(INDEX($L$17:L77,MATCH(C78,$C$17:C77,0)),"")</f>
        <v/>
      </c>
    </row>
    <row r="79" ht="18" customHeight="1" spans="1:12" x14ac:dyDescent="0.25">
      <c r="A79" s="10" t="s">
        <v>2</v>
      </c>
      <c r="B79" s="10" t="s">
        <v>2</v>
      </c>
      <c r="C79" s="10" t="s">
        <v>2</v>
      </c>
      <c r="D79" s="11" t="str">
        <f>=IF(E79="","",IF(ISNUMBER(FIND("|",E79)),TRIM(LEFT(E79,FIND("|",E79)-1)),IF(ISNUMBER(MATCH(E79,Config!$C$1:$C$311,0)),E79,IFERROR(INDEX(Config!$C$1:$C$311,MATCH(E79,Config!$D$1:$D$311,0)),""))))</f>
        <v>OP-0207</v>
      </c>
      <c r="E79" s="12" t="s">
        <v>95</v>
      </c>
      <c r="F79" s="13">
        <v>18</v>
      </c>
      <c r="G79" s="14" t="str">
        <f>=IF(C79="","",SUMIF($C$17:$C$502,C79,$F$17:$F$502))</f>
        <v/>
      </c>
      <c r="H79" s="14" t="str">
        <f>=IFERROR($B$14/$B$10,"")</f>
        <v/>
      </c>
      <c r="I79" s="15" t="str">
        <f>=IFERROR(G79/H79,"")</f>
        <v/>
      </c>
      <c r="J79" s="16" t="str">
        <f>=IF(F79="","",F79/3600)</f>
        <v/>
      </c>
      <c r="K79" s="11" t="str">
        <f>=IF(L79="","",IF(ISNUMBER(FIND("|",L79)),TRIM(LEFT(L79,FIND("|",L79)-1)),IF(ISNUMBER(MATCH(L79,Config!$F$1:$F$853,0)),L79,IFERROR(INDEX(Config!$F$1:$F$853,MATCH(L79,Config!$G$1:$G$853,0)),""))))</f>
        <v/>
      </c>
      <c r="L79" s="17" t="str">
        <f>=IFERROR(INDEX($L$17:L78,MATCH(C79,$C$17:C78,0)),"")</f>
        <v/>
      </c>
    </row>
    <row r="80" ht="18" customHeight="1" spans="1:12" x14ac:dyDescent="0.25">
      <c r="A80" s="10" t="s">
        <v>2</v>
      </c>
      <c r="B80" s="10" t="s">
        <v>2</v>
      </c>
      <c r="C80" s="10" t="s">
        <v>2</v>
      </c>
      <c r="D80" s="11" t="str">
        <f>=IF(E80="","",IF(ISNUMBER(FIND("|",E80)),TRIM(LEFT(E80,FIND("|",E80)-1)),IF(ISNUMBER(MATCH(E80,Config!$C$1:$C$311,0)),E80,IFERROR(INDEX(Config!$C$1:$C$311,MATCH(E80,Config!$D$1:$D$311,0)),""))))</f>
        <v>OP-0187</v>
      </c>
      <c r="E80" s="12" t="s">
        <v>75</v>
      </c>
      <c r="F80" s="13">
        <v>16</v>
      </c>
      <c r="G80" s="14" t="str">
        <f>=IF(C80="","",SUMIF($C$17:$C$502,C80,$F$17:$F$502))</f>
        <v/>
      </c>
      <c r="H80" s="14" t="str">
        <f>=IFERROR($B$14/$B$10,"")</f>
        <v/>
      </c>
      <c r="I80" s="15" t="str">
        <f>=IFERROR(G80/H80,"")</f>
        <v/>
      </c>
      <c r="J80" s="16" t="str">
        <f>=IF(F80="","",F80/3600)</f>
        <v/>
      </c>
      <c r="K80" s="11" t="str">
        <f>=IF(L80="","",IF(ISNUMBER(FIND("|",L80)),TRIM(LEFT(L80,FIND("|",L80)-1)),IF(ISNUMBER(MATCH(L80,Config!$F$1:$F$853,0)),L80,IFERROR(INDEX(Config!$F$1:$F$853,MATCH(L80,Config!$G$1:$G$853,0)),""))))</f>
        <v/>
      </c>
      <c r="L80" s="17" t="str">
        <f>=IFERROR(INDEX($L$17:L79,MATCH(C80,$C$17:C79,0)),"")</f>
        <v/>
      </c>
    </row>
    <row r="81" ht="18" customHeight="1" spans="1:12" x14ac:dyDescent="0.25">
      <c r="A81" s="10" t="s">
        <v>2</v>
      </c>
      <c r="B81" s="10" t="s">
        <v>2</v>
      </c>
      <c r="C81" s="10" t="s">
        <v>2</v>
      </c>
      <c r="D81" s="11" t="str">
        <f>=IF(E81="","",IF(ISNUMBER(FIND("|",E81)),TRIM(LEFT(E81,FIND("|",E81)-1)),IF(ISNUMBER(MATCH(E81,Config!$C$1:$C$311,0)),E81,IFERROR(INDEX(Config!$C$1:$C$311,MATCH(E81,Config!$D$1:$D$311,0)),""))))</f>
        <v>OP-0208</v>
      </c>
      <c r="E81" s="12" t="s">
        <v>96</v>
      </c>
      <c r="F81" s="13">
        <v>12</v>
      </c>
      <c r="G81" s="14" t="str">
        <f>=IF(C81="","",SUMIF($C$17:$C$502,C81,$F$17:$F$502))</f>
        <v/>
      </c>
      <c r="H81" s="14" t="str">
        <f>=IFERROR($B$14/$B$10,"")</f>
        <v/>
      </c>
      <c r="I81" s="15" t="str">
        <f>=IFERROR(G81/H81,"")</f>
        <v/>
      </c>
      <c r="J81" s="16" t="str">
        <f>=IF(F81="","",F81/3600)</f>
        <v/>
      </c>
      <c r="K81" s="11" t="str">
        <f>=IF(L81="","",IF(ISNUMBER(FIND("|",L81)),TRIM(LEFT(L81,FIND("|",L81)-1)),IF(ISNUMBER(MATCH(L81,Config!$F$1:$F$853,0)),L81,IFERROR(INDEX(Config!$F$1:$F$853,MATCH(L81,Config!$G$1:$G$853,0)),""))))</f>
        <v/>
      </c>
      <c r="L81" s="17" t="str">
        <f>=IFERROR(INDEX($L$17:L80,MATCH(C81,$C$17:C80,0)),"")</f>
        <v/>
      </c>
    </row>
    <row r="82" ht="18" customHeight="1" spans="1:12" x14ac:dyDescent="0.25">
      <c r="A82" s="10" t="s">
        <v>2</v>
      </c>
      <c r="B82" s="10" t="s">
        <v>2</v>
      </c>
      <c r="C82" s="10" t="s">
        <v>2</v>
      </c>
      <c r="D82" s="11" t="str">
        <f>=IF(E82="","",IF(ISNUMBER(FIND("|",E82)),TRIM(LEFT(E82,FIND("|",E82)-1)),IF(ISNUMBER(MATCH(E82,Config!$C$1:$C$311,0)),E82,IFERROR(INDEX(Config!$C$1:$C$311,MATCH(E82,Config!$D$1:$D$311,0)),""))))</f>
        <v>OP-0209</v>
      </c>
      <c r="E82" s="12" t="s">
        <v>97</v>
      </c>
      <c r="F82" s="13">
        <v>32</v>
      </c>
      <c r="G82" s="14" t="str">
        <f>=IF(C82="","",SUMIF($C$17:$C$502,C82,$F$17:$F$502))</f>
        <v/>
      </c>
      <c r="H82" s="14" t="str">
        <f>=IFERROR($B$14/$B$10,"")</f>
        <v/>
      </c>
      <c r="I82" s="15" t="str">
        <f>=IFERROR(G82/H82,"")</f>
        <v/>
      </c>
      <c r="J82" s="16" t="str">
        <f>=IF(F82="","",F82/3600)</f>
        <v/>
      </c>
      <c r="K82" s="11" t="str">
        <f>=IF(L82="","",IF(ISNUMBER(FIND("|",L82)),TRIM(LEFT(L82,FIND("|",L82)-1)),IF(ISNUMBER(MATCH(L82,Config!$F$1:$F$853,0)),L82,IFERROR(INDEX(Config!$F$1:$F$853,MATCH(L82,Config!$G$1:$G$853,0)),""))))</f>
        <v/>
      </c>
      <c r="L82" s="17" t="str">
        <f>=IFERROR(INDEX($L$17:L81,MATCH(C82,$C$17:C81,0)),"")</f>
        <v/>
      </c>
    </row>
    <row r="83" ht="18" customHeight="1" spans="1:12" x14ac:dyDescent="0.25">
      <c r="A83" s="10" t="s">
        <v>2</v>
      </c>
      <c r="B83" s="10" t="s">
        <v>2</v>
      </c>
      <c r="C83" s="10" t="s">
        <v>2</v>
      </c>
      <c r="D83" s="11" t="str">
        <f>=IF(E83="","",IF(ISNUMBER(FIND("|",E83)),TRIM(LEFT(E83,FIND("|",E83)-1)),IF(ISNUMBER(MATCH(E83,Config!$C$1:$C$311,0)),E83,IFERROR(INDEX(Config!$C$1:$C$311,MATCH(E83,Config!$D$1:$D$311,0)),""))))</f>
        <v>OP-0208</v>
      </c>
      <c r="E83" s="12" t="s">
        <v>96</v>
      </c>
      <c r="F83" s="13">
        <v>12</v>
      </c>
      <c r="G83" s="14" t="str">
        <f>=IF(C83="","",SUMIF($C$17:$C$502,C83,$F$17:$F$502))</f>
        <v/>
      </c>
      <c r="H83" s="14" t="str">
        <f>=IFERROR($B$14/$B$10,"")</f>
        <v/>
      </c>
      <c r="I83" s="15" t="str">
        <f>=IFERROR(G83/H83,"")</f>
        <v/>
      </c>
      <c r="J83" s="16" t="str">
        <f>=IF(F83="","",F83/3600)</f>
        <v/>
      </c>
      <c r="K83" s="11" t="str">
        <f>=IF(L83="","",IF(ISNUMBER(FIND("|",L83)),TRIM(LEFT(L83,FIND("|",L83)-1)),IF(ISNUMBER(MATCH(L83,Config!$F$1:$F$853,0)),L83,IFERROR(INDEX(Config!$F$1:$F$853,MATCH(L83,Config!$G$1:$G$853,0)),""))))</f>
        <v/>
      </c>
      <c r="L83" s="17" t="str">
        <f>=IFERROR(INDEX($L$17:L82,MATCH(C83,$C$17:C82,0)),"")</f>
        <v/>
      </c>
    </row>
    <row r="84" ht="18" customHeight="1" spans="1:12" x14ac:dyDescent="0.25">
      <c r="A84" s="10" t="s">
        <v>2</v>
      </c>
      <c r="B84" s="10" t="s">
        <v>2</v>
      </c>
      <c r="C84" s="10" t="s">
        <v>2</v>
      </c>
      <c r="D84" s="11" t="str">
        <f>=IF(E84="","",IF(ISNUMBER(FIND("|",E84)),TRIM(LEFT(E84,FIND("|",E84)-1)),IF(ISNUMBER(MATCH(E84,Config!$C$1:$C$311,0)),E84,IFERROR(INDEX(Config!$C$1:$C$311,MATCH(E84,Config!$D$1:$D$311,0)),""))))</f>
        <v>OP-0210</v>
      </c>
      <c r="E84" s="12" t="s">
        <v>98</v>
      </c>
      <c r="F84" s="13">
        <v>10</v>
      </c>
      <c r="G84" s="14" t="str">
        <f>=IF(C84="","",SUMIF($C$17:$C$502,C84,$F$17:$F$502))</f>
        <v/>
      </c>
      <c r="H84" s="14" t="str">
        <f>=IFERROR($B$14/$B$10,"")</f>
        <v/>
      </c>
      <c r="I84" s="15" t="str">
        <f>=IFERROR(G84/H84,"")</f>
        <v/>
      </c>
      <c r="J84" s="16" t="str">
        <f>=IF(F84="","",F84/3600)</f>
        <v/>
      </c>
      <c r="K84" s="11" t="str">
        <f>=IF(L84="","",IF(ISNUMBER(FIND("|",L84)),TRIM(LEFT(L84,FIND("|",L84)-1)),IF(ISNUMBER(MATCH(L84,Config!$F$1:$F$853,0)),L84,IFERROR(INDEX(Config!$F$1:$F$853,MATCH(L84,Config!$G$1:$G$853,0)),""))))</f>
        <v/>
      </c>
      <c r="L84" s="17" t="str">
        <f>=IFERROR(INDEX($L$17:L83,MATCH(C84,$C$17:C83,0)),"")</f>
        <v/>
      </c>
    </row>
    <row r="85" ht="18" customHeight="1" spans="1:12" x14ac:dyDescent="0.25">
      <c r="A85" s="10" t="s">
        <v>2</v>
      </c>
      <c r="B85" s="10" t="s">
        <v>2</v>
      </c>
      <c r="C85" s="10" t="s">
        <v>2</v>
      </c>
      <c r="D85" s="11" t="str">
        <f>=IF(E85="","",IF(ISNUMBER(FIND("|",E85)),TRIM(LEFT(E85,FIND("|",E85)-1)),IF(ISNUMBER(MATCH(E85,Config!$C$1:$C$311,0)),E85,IFERROR(INDEX(Config!$C$1:$C$311,MATCH(E85,Config!$D$1:$D$311,0)),""))))</f>
        <v>OP-0211</v>
      </c>
      <c r="E85" s="12" t="s">
        <v>99</v>
      </c>
      <c r="F85" s="13">
        <v>8</v>
      </c>
      <c r="G85" s="14" t="str">
        <f>=IF(C85="","",SUMIF($C$17:$C$502,C85,$F$17:$F$502))</f>
        <v/>
      </c>
      <c r="H85" s="14" t="str">
        <f>=IFERROR($B$14/$B$10,"")</f>
        <v/>
      </c>
      <c r="I85" s="15" t="str">
        <f>=IFERROR(G85/H85,"")</f>
        <v/>
      </c>
      <c r="J85" s="16" t="str">
        <f>=IF(F85="","",F85/3600)</f>
        <v/>
      </c>
      <c r="K85" s="11" t="str">
        <f>=IF(L85="","",IF(ISNUMBER(FIND("|",L85)),TRIM(LEFT(L85,FIND("|",L85)-1)),IF(ISNUMBER(MATCH(L85,Config!$F$1:$F$853,0)),L85,IFERROR(INDEX(Config!$F$1:$F$853,MATCH(L85,Config!$G$1:$G$853,0)),""))))</f>
        <v/>
      </c>
      <c r="L85" s="17" t="str">
        <f>=IFERROR(INDEX($L$17:L84,MATCH(C85,$C$17:C84,0)),"")</f>
        <v/>
      </c>
    </row>
    <row r="86" ht="18" customHeight="1" spans="1:12" x14ac:dyDescent="0.25">
      <c r="A86" s="10" t="s">
        <v>2</v>
      </c>
      <c r="B86" s="10" t="s">
        <v>2</v>
      </c>
      <c r="C86" s="10" t="s">
        <v>2</v>
      </c>
      <c r="D86" s="11" t="str">
        <f>=IF(E86="","",IF(ISNUMBER(FIND("|",E86)),TRIM(LEFT(E86,FIND("|",E86)-1)),IF(ISNUMBER(MATCH(E86,Config!$C$1:$C$311,0)),E86,IFERROR(INDEX(Config!$C$1:$C$311,MATCH(E86,Config!$D$1:$D$311,0)),""))))</f>
        <v>OP-0212</v>
      </c>
      <c r="E86" s="12" t="s">
        <v>100</v>
      </c>
      <c r="F86" s="13">
        <v>8</v>
      </c>
      <c r="G86" s="14" t="str">
        <f>=IF(C86="","",SUMIF($C$17:$C$502,C86,$F$17:$F$502))</f>
        <v/>
      </c>
      <c r="H86" s="14" t="str">
        <f>=IFERROR($B$14/$B$10,"")</f>
        <v/>
      </c>
      <c r="I86" s="15" t="str">
        <f>=IFERROR(G86/H86,"")</f>
        <v/>
      </c>
      <c r="J86" s="16" t="str">
        <f>=IF(F86="","",F86/3600)</f>
        <v/>
      </c>
      <c r="K86" s="11" t="str">
        <f>=IF(L86="","",IF(ISNUMBER(FIND("|",L86)),TRIM(LEFT(L86,FIND("|",L86)-1)),IF(ISNUMBER(MATCH(L86,Config!$F$1:$F$853,0)),L86,IFERROR(INDEX(Config!$F$1:$F$853,MATCH(L86,Config!$G$1:$G$853,0)),""))))</f>
        <v/>
      </c>
      <c r="L86" s="17" t="str">
        <f>=IFERROR(INDEX($L$17:L85,MATCH(C86,$C$17:C85,0)),"")</f>
        <v/>
      </c>
    </row>
    <row r="87" ht="18" customHeight="1" spans="1:12" x14ac:dyDescent="0.25">
      <c r="A87" s="10" t="s">
        <v>2</v>
      </c>
      <c r="B87" s="10" t="s">
        <v>2</v>
      </c>
      <c r="C87" s="10" t="s">
        <v>2</v>
      </c>
      <c r="D87" s="11" t="str">
        <f>=IF(E87="","",IF(ISNUMBER(FIND("|",E87)),TRIM(LEFT(E87,FIND("|",E87)-1)),IF(ISNUMBER(MATCH(E87,Config!$C$1:$C$311,0)),E87,IFERROR(INDEX(Config!$C$1:$C$311,MATCH(E87,Config!$D$1:$D$311,0)),""))))</f>
        <v>OP-0213</v>
      </c>
      <c r="E87" s="12" t="s">
        <v>101</v>
      </c>
      <c r="F87" s="13">
        <v>8</v>
      </c>
      <c r="G87" s="14" t="str">
        <f>=IF(C87="","",SUMIF($C$17:$C$502,C87,$F$17:$F$502))</f>
        <v/>
      </c>
      <c r="H87" s="14" t="str">
        <f>=IFERROR($B$14/$B$10,"")</f>
        <v/>
      </c>
      <c r="I87" s="15" t="str">
        <f>=IFERROR(G87/H87,"")</f>
        <v/>
      </c>
      <c r="J87" s="16" t="str">
        <f>=IF(F87="","",F87/3600)</f>
        <v/>
      </c>
      <c r="K87" s="11" t="str">
        <f>=IF(L87="","",IF(ISNUMBER(FIND("|",L87)),TRIM(LEFT(L87,FIND("|",L87)-1)),IF(ISNUMBER(MATCH(L87,Config!$F$1:$F$853,0)),L87,IFERROR(INDEX(Config!$F$1:$F$853,MATCH(L87,Config!$G$1:$G$853,0)),""))))</f>
        <v/>
      </c>
      <c r="L87" s="17" t="str">
        <f>=IFERROR(INDEX($L$17:L86,MATCH(C87,$C$17:C86,0)),"")</f>
        <v/>
      </c>
    </row>
    <row r="88" ht="18" customHeight="1" spans="1:12" x14ac:dyDescent="0.25">
      <c r="A88" s="10" t="s">
        <v>2</v>
      </c>
      <c r="B88" s="10" t="s">
        <v>2</v>
      </c>
      <c r="C88" s="10" t="s">
        <v>2</v>
      </c>
      <c r="D88" s="11" t="str">
        <f>=IF(E88="","",IF(ISNUMBER(FIND("|",E88)),TRIM(LEFT(E88,FIND("|",E88)-1)),IF(ISNUMBER(MATCH(E88,Config!$C$1:$C$311,0)),E88,IFERROR(INDEX(Config!$C$1:$C$311,MATCH(E88,Config!$D$1:$D$311,0)),""))))</f>
        <v>OP-0214</v>
      </c>
      <c r="E88" s="12" t="s">
        <v>102</v>
      </c>
      <c r="F88" s="13">
        <v>12</v>
      </c>
      <c r="G88" s="14" t="str">
        <f>=IF(C88="","",SUMIF($C$17:$C$502,C88,$F$17:$F$502))</f>
        <v/>
      </c>
      <c r="H88" s="14" t="str">
        <f>=IFERROR($B$14/$B$10,"")</f>
        <v/>
      </c>
      <c r="I88" s="15" t="str">
        <f>=IFERROR(G88/H88,"")</f>
        <v/>
      </c>
      <c r="J88" s="16" t="str">
        <f>=IF(F88="","",F88/3600)</f>
        <v/>
      </c>
      <c r="K88" s="11" t="str">
        <f>=IF(L88="","",IF(ISNUMBER(FIND("|",L88)),TRIM(LEFT(L88,FIND("|",L88)-1)),IF(ISNUMBER(MATCH(L88,Config!$F$1:$F$853,0)),L88,IFERROR(INDEX(Config!$F$1:$F$853,MATCH(L88,Config!$G$1:$G$853,0)),""))))</f>
        <v/>
      </c>
      <c r="L88" s="17" t="str">
        <f>=IFERROR(INDEX($L$17:L87,MATCH(C88,$C$17:C87,0)),"")</f>
        <v/>
      </c>
    </row>
    <row r="89" ht="18" customHeight="1" spans="1:12" x14ac:dyDescent="0.25">
      <c r="A89" s="10" t="s">
        <v>2</v>
      </c>
      <c r="B89" s="10" t="s">
        <v>2</v>
      </c>
      <c r="C89" s="10" t="s">
        <v>2</v>
      </c>
      <c r="D89" s="11" t="str">
        <f>=IF(E89="","",IF(ISNUMBER(FIND("|",E89)),TRIM(LEFT(E89,FIND("|",E89)-1)),IF(ISNUMBER(MATCH(E89,Config!$C$1:$C$311,0)),E89,IFERROR(INDEX(Config!$C$1:$C$311,MATCH(E89,Config!$D$1:$D$311,0)),""))))</f>
        <v>OP-0215</v>
      </c>
      <c r="E89" s="12" t="s">
        <v>103</v>
      </c>
      <c r="F89" s="13">
        <v>16</v>
      </c>
      <c r="G89" s="14" t="str">
        <f>=IF(C89="","",SUMIF($C$17:$C$502,C89,$F$17:$F$502))</f>
        <v/>
      </c>
      <c r="H89" s="14" t="str">
        <f>=IFERROR($B$14/$B$10,"")</f>
        <v/>
      </c>
      <c r="I89" s="15" t="str">
        <f>=IFERROR(G89/H89,"")</f>
        <v/>
      </c>
      <c r="J89" s="16" t="str">
        <f>=IF(F89="","",F89/3600)</f>
        <v/>
      </c>
      <c r="K89" s="11" t="str">
        <f>=IF(L89="","",IF(ISNUMBER(FIND("|",L89)),TRIM(LEFT(L89,FIND("|",L89)-1)),IF(ISNUMBER(MATCH(L89,Config!$F$1:$F$853,0)),L89,IFERROR(INDEX(Config!$F$1:$F$853,MATCH(L89,Config!$G$1:$G$853,0)),""))))</f>
        <v/>
      </c>
      <c r="L89" s="17" t="str">
        <f>=IFERROR(INDEX($L$17:L88,MATCH(C89,$C$17:C88,0)),"")</f>
        <v/>
      </c>
    </row>
    <row r="90" ht="18" customHeight="1" spans="1:12" x14ac:dyDescent="0.25">
      <c r="A90" s="10" t="s">
        <v>2</v>
      </c>
      <c r="B90" s="10" t="s">
        <v>2</v>
      </c>
      <c r="C90" s="10" t="s">
        <v>2</v>
      </c>
      <c r="D90" s="11" t="str">
        <f>=IF(E90="","",IF(ISNUMBER(FIND("|",E90)),TRIM(LEFT(E90,FIND("|",E90)-1)),IF(ISNUMBER(MATCH(E90,Config!$C$1:$C$311,0)),E90,IFERROR(INDEX(Config!$C$1:$C$311,MATCH(E90,Config!$D$1:$D$311,0)),""))))</f>
        <v>OP-0216</v>
      </c>
      <c r="E90" s="12" t="s">
        <v>104</v>
      </c>
      <c r="F90" s="13">
        <v>16</v>
      </c>
      <c r="G90" s="14" t="str">
        <f>=IF(C90="","",SUMIF($C$17:$C$502,C90,$F$17:$F$502))</f>
        <v/>
      </c>
      <c r="H90" s="14" t="str">
        <f>=IFERROR($B$14/$B$10,"")</f>
        <v/>
      </c>
      <c r="I90" s="15" t="str">
        <f>=IFERROR(G90/H90,"")</f>
        <v/>
      </c>
      <c r="J90" s="16" t="str">
        <f>=IF(F90="","",F90/3600)</f>
        <v/>
      </c>
      <c r="K90" s="11" t="str">
        <f>=IF(L90="","",IF(ISNUMBER(FIND("|",L90)),TRIM(LEFT(L90,FIND("|",L90)-1)),IF(ISNUMBER(MATCH(L90,Config!$F$1:$F$853,0)),L90,IFERROR(INDEX(Config!$F$1:$F$853,MATCH(L90,Config!$G$1:$G$853,0)),""))))</f>
        <v/>
      </c>
      <c r="L90" s="17" t="str">
        <f>=IFERROR(INDEX($L$17:L89,MATCH(C90,$C$17:C89,0)),"")</f>
        <v/>
      </c>
    </row>
    <row r="91" ht="18" customHeight="1" spans="1:12" x14ac:dyDescent="0.25">
      <c r="A91" s="10" t="s">
        <v>2</v>
      </c>
      <c r="B91" s="10" t="s">
        <v>2</v>
      </c>
      <c r="C91" s="10" t="s">
        <v>2</v>
      </c>
      <c r="D91" s="11" t="str">
        <f>=IF(E91="","",IF(ISNUMBER(FIND("|",E91)),TRIM(LEFT(E91,FIND("|",E91)-1)),IF(ISNUMBER(MATCH(E91,Config!$C$1:$C$311,0)),E91,IFERROR(INDEX(Config!$C$1:$C$311,MATCH(E91,Config!$D$1:$D$311,0)),""))))</f>
        <v>OP-0217</v>
      </c>
      <c r="E91" s="12" t="s">
        <v>105</v>
      </c>
      <c r="F91" s="13">
        <v>10</v>
      </c>
      <c r="G91" s="14" t="str">
        <f>=IF(C91="","",SUMIF($C$17:$C$502,C91,$F$17:$F$502))</f>
        <v/>
      </c>
      <c r="H91" s="14" t="str">
        <f>=IFERROR($B$14/$B$10,"")</f>
        <v/>
      </c>
      <c r="I91" s="15" t="str">
        <f>=IFERROR(G91/H91,"")</f>
        <v/>
      </c>
      <c r="J91" s="16" t="str">
        <f>=IF(F91="","",F91/3600)</f>
        <v/>
      </c>
      <c r="K91" s="11" t="str">
        <f>=IF(L91="","",IF(ISNUMBER(FIND("|",L91)),TRIM(LEFT(L91,FIND("|",L91)-1)),IF(ISNUMBER(MATCH(L91,Config!$F$1:$F$853,0)),L91,IFERROR(INDEX(Config!$F$1:$F$853,MATCH(L91,Config!$G$1:$G$853,0)),""))))</f>
        <v/>
      </c>
      <c r="L91" s="17" t="str">
        <f>=IFERROR(INDEX($L$17:L90,MATCH(C91,$C$17:C90,0)),"")</f>
        <v/>
      </c>
    </row>
    <row r="92" ht="18" customHeight="1" spans="1:12" x14ac:dyDescent="0.25">
      <c r="A92" s="10" t="s">
        <v>2</v>
      </c>
      <c r="B92" s="10" t="s">
        <v>2</v>
      </c>
      <c r="C92" s="10" t="s">
        <v>2</v>
      </c>
      <c r="D92" s="11" t="str">
        <f>=IF(E92="","",IF(ISNUMBER(FIND("|",E92)),TRIM(LEFT(E92,FIND("|",E92)-1)),IF(ISNUMBER(MATCH(E92,Config!$C$1:$C$311,0)),E92,IFERROR(INDEX(Config!$C$1:$C$311,MATCH(E92,Config!$D$1:$D$311,0)),""))))</f>
        <v>OP-0218</v>
      </c>
      <c r="E92" s="12" t="s">
        <v>106</v>
      </c>
      <c r="F92" s="13">
        <v>16</v>
      </c>
      <c r="G92" s="14" t="str">
        <f>=IF(C92="","",SUMIF($C$17:$C$502,C92,$F$17:$F$502))</f>
        <v/>
      </c>
      <c r="H92" s="14" t="str">
        <f>=IFERROR($B$14/$B$10,"")</f>
        <v/>
      </c>
      <c r="I92" s="15" t="str">
        <f>=IFERROR(G92/H92,"")</f>
        <v/>
      </c>
      <c r="J92" s="16" t="str">
        <f>=IF(F92="","",F92/3600)</f>
        <v/>
      </c>
      <c r="K92" s="11" t="str">
        <f>=IF(L92="","",IF(ISNUMBER(FIND("|",L92)),TRIM(LEFT(L92,FIND("|",L92)-1)),IF(ISNUMBER(MATCH(L92,Config!$F$1:$F$853,0)),L92,IFERROR(INDEX(Config!$F$1:$F$853,MATCH(L92,Config!$G$1:$G$853,0)),""))))</f>
        <v/>
      </c>
      <c r="L92" s="17" t="str">
        <f>=IFERROR(INDEX($L$17:L91,MATCH(C92,$C$17:C91,0)),"")</f>
        <v/>
      </c>
    </row>
    <row r="93" ht="18" customHeight="1" spans="1:12" x14ac:dyDescent="0.25">
      <c r="A93" s="10" t="s">
        <v>2</v>
      </c>
      <c r="B93" s="10" t="s">
        <v>2</v>
      </c>
      <c r="C93" s="10" t="s">
        <v>2</v>
      </c>
      <c r="D93" s="11" t="str">
        <f>=IF(E93="","",IF(ISNUMBER(FIND("|",E93)),TRIM(LEFT(E93,FIND("|",E93)-1)),IF(ISNUMBER(MATCH(E93,Config!$C$1:$C$311,0)),E93,IFERROR(INDEX(Config!$C$1:$C$311,MATCH(E93,Config!$D$1:$D$311,0)),""))))</f>
        <v>OP-0219</v>
      </c>
      <c r="E93" s="12" t="s">
        <v>107</v>
      </c>
      <c r="F93" s="13">
        <v>16</v>
      </c>
      <c r="G93" s="14" t="str">
        <f>=IF(C93="","",SUMIF($C$17:$C$502,C93,$F$17:$F$502))</f>
        <v/>
      </c>
      <c r="H93" s="14" t="str">
        <f>=IFERROR($B$14/$B$10,"")</f>
        <v/>
      </c>
      <c r="I93" s="15" t="str">
        <f>=IFERROR(G93/H93,"")</f>
        <v/>
      </c>
      <c r="J93" s="16" t="str">
        <f>=IF(F93="","",F93/3600)</f>
        <v/>
      </c>
      <c r="K93" s="11" t="str">
        <f>=IF(L93="","",IF(ISNUMBER(FIND("|",L93)),TRIM(LEFT(L93,FIND("|",L93)-1)),IF(ISNUMBER(MATCH(L93,Config!$F$1:$F$853,0)),L93,IFERROR(INDEX(Config!$F$1:$F$853,MATCH(L93,Config!$G$1:$G$853,0)),""))))</f>
        <v/>
      </c>
      <c r="L93" s="17" t="str">
        <f>=IFERROR(INDEX($L$17:L92,MATCH(C93,$C$17:C92,0)),"")</f>
        <v/>
      </c>
    </row>
    <row r="94" ht="18" customHeight="1" spans="1:12" x14ac:dyDescent="0.25">
      <c r="A94" s="10" t="s">
        <v>2</v>
      </c>
      <c r="B94" s="10" t="s">
        <v>2</v>
      </c>
      <c r="C94" s="10" t="s">
        <v>2</v>
      </c>
      <c r="D94" s="11" t="str">
        <f>=IF(E94="","",IF(ISNUMBER(FIND("|",E94)),TRIM(LEFT(E94,FIND("|",E94)-1)),IF(ISNUMBER(MATCH(E94,Config!$C$1:$C$311,0)),E94,IFERROR(INDEX(Config!$C$1:$C$311,MATCH(E94,Config!$D$1:$D$311,0)),""))))</f>
        <v>OP-0220</v>
      </c>
      <c r="E94" s="12" t="s">
        <v>108</v>
      </c>
      <c r="F94" s="13">
        <v>16</v>
      </c>
      <c r="G94" s="14" t="str">
        <f>=IF(C94="","",SUMIF($C$17:$C$502,C94,$F$17:$F$502))</f>
        <v/>
      </c>
      <c r="H94" s="14" t="str">
        <f>=IFERROR($B$14/$B$10,"")</f>
        <v/>
      </c>
      <c r="I94" s="15" t="str">
        <f>=IFERROR(G94/H94,"")</f>
        <v/>
      </c>
      <c r="J94" s="16" t="str">
        <f>=IF(F94="","",F94/3600)</f>
        <v/>
      </c>
      <c r="K94" s="11" t="str">
        <f>=IF(L94="","",IF(ISNUMBER(FIND("|",L94)),TRIM(LEFT(L94,FIND("|",L94)-1)),IF(ISNUMBER(MATCH(L94,Config!$F$1:$F$853,0)),L94,IFERROR(INDEX(Config!$F$1:$F$853,MATCH(L94,Config!$G$1:$G$853,0)),""))))</f>
        <v/>
      </c>
      <c r="L94" s="17" t="str">
        <f>=IFERROR(INDEX($L$17:L93,MATCH(C94,$C$17:C93,0)),"")</f>
        <v/>
      </c>
    </row>
    <row r="95" ht="18" customHeight="1" spans="1:12" x14ac:dyDescent="0.25">
      <c r="A95" s="10" t="s">
        <v>2</v>
      </c>
      <c r="B95" s="10" t="s">
        <v>2</v>
      </c>
      <c r="C95" s="10" t="s">
        <v>2</v>
      </c>
      <c r="D95" s="11" t="str">
        <f>=IF(E95="","",IF(ISNUMBER(FIND("|",E95)),TRIM(LEFT(E95,FIND("|",E95)-1)),IF(ISNUMBER(MATCH(E95,Config!$C$1:$C$311,0)),E95,IFERROR(INDEX(Config!$C$1:$C$311,MATCH(E95,Config!$D$1:$D$311,0)),""))))</f>
        <v>OP-0221</v>
      </c>
      <c r="E95" s="12" t="s">
        <v>109</v>
      </c>
      <c r="F95" s="13">
        <v>12</v>
      </c>
      <c r="G95" s="14" t="str">
        <f>=IF(C95="","",SUMIF($C$17:$C$502,C95,$F$17:$F$502))</f>
        <v/>
      </c>
      <c r="H95" s="14" t="str">
        <f>=IFERROR($B$14/$B$10,"")</f>
        <v/>
      </c>
      <c r="I95" s="15" t="str">
        <f>=IFERROR(G95/H95,"")</f>
        <v/>
      </c>
      <c r="J95" s="16" t="str">
        <f>=IF(F95="","",F95/3600)</f>
        <v/>
      </c>
      <c r="K95" s="11" t="str">
        <f>=IF(L95="","",IF(ISNUMBER(FIND("|",L95)),TRIM(LEFT(L95,FIND("|",L95)-1)),IF(ISNUMBER(MATCH(L95,Config!$F$1:$F$853,0)),L95,IFERROR(INDEX(Config!$F$1:$F$853,MATCH(L95,Config!$G$1:$G$853,0)),""))))</f>
        <v/>
      </c>
      <c r="L95" s="17" t="str">
        <f>=IFERROR(INDEX($L$17:L94,MATCH(C95,$C$17:C94,0)),"")</f>
        <v/>
      </c>
    </row>
    <row r="96" ht="18" customHeight="1" spans="1:12" x14ac:dyDescent="0.25">
      <c r="A96" s="10" t="s">
        <v>2</v>
      </c>
      <c r="B96" s="10" t="s">
        <v>2</v>
      </c>
      <c r="C96" s="10" t="s">
        <v>2</v>
      </c>
      <c r="D96" s="11" t="str">
        <f>=IF(E96="","",IF(ISNUMBER(FIND("|",E96)),TRIM(LEFT(E96,FIND("|",E96)-1)),IF(ISNUMBER(MATCH(E96,Config!$C$1:$C$311,0)),E96,IFERROR(INDEX(Config!$C$1:$C$311,MATCH(E96,Config!$D$1:$D$311,0)),""))))</f>
        <v>OP-0222</v>
      </c>
      <c r="E96" s="12" t="s">
        <v>110</v>
      </c>
      <c r="F96" s="13">
        <v>13</v>
      </c>
      <c r="G96" s="14" t="str">
        <f>=IF(C96="","",SUMIF($C$17:$C$502,C96,$F$17:$F$502))</f>
        <v/>
      </c>
      <c r="H96" s="14" t="str">
        <f>=IFERROR($B$14/$B$10,"")</f>
        <v/>
      </c>
      <c r="I96" s="15" t="str">
        <f>=IFERROR(G96/H96,"")</f>
        <v/>
      </c>
      <c r="J96" s="16" t="str">
        <f>=IF(F96="","",F96/3600)</f>
        <v/>
      </c>
      <c r="K96" s="11" t="str">
        <f>=IF(L96="","",IF(ISNUMBER(FIND("|",L96)),TRIM(LEFT(L96,FIND("|",L96)-1)),IF(ISNUMBER(MATCH(L96,Config!$F$1:$F$853,0)),L96,IFERROR(INDEX(Config!$F$1:$F$853,MATCH(L96,Config!$G$1:$G$853,0)),""))))</f>
        <v/>
      </c>
      <c r="L96" s="17" t="str">
        <f>=IFERROR(INDEX($L$17:L95,MATCH(C96,$C$17:C95,0)),"")</f>
        <v/>
      </c>
    </row>
    <row r="97" ht="18" customHeight="1" spans="1:12" x14ac:dyDescent="0.25">
      <c r="A97" s="10" t="s">
        <v>2</v>
      </c>
      <c r="B97" s="10" t="s">
        <v>2</v>
      </c>
      <c r="C97" s="10" t="s">
        <v>2</v>
      </c>
      <c r="D97" s="11" t="str">
        <f>=IF(E97="","",IF(ISNUMBER(FIND("|",E97)),TRIM(LEFT(E97,FIND("|",E97)-1)),IF(ISNUMBER(MATCH(E97,Config!$C$1:$C$311,0)),E97,IFERROR(INDEX(Config!$C$1:$C$311,MATCH(E97,Config!$D$1:$D$311,0)),""))))</f>
        <v>OP-0223</v>
      </c>
      <c r="E97" s="12" t="s">
        <v>111</v>
      </c>
      <c r="F97" s="13">
        <v>12</v>
      </c>
      <c r="G97" s="14" t="str">
        <f>=IF(C97="","",SUMIF($C$17:$C$502,C97,$F$17:$F$502))</f>
        <v/>
      </c>
      <c r="H97" s="14" t="str">
        <f>=IFERROR($B$14/$B$10,"")</f>
        <v/>
      </c>
      <c r="I97" s="15" t="str">
        <f>=IFERROR(G97/H97,"")</f>
        <v/>
      </c>
      <c r="J97" s="16" t="str">
        <f>=IF(F97="","",F97/3600)</f>
        <v/>
      </c>
      <c r="K97" s="11" t="str">
        <f>=IF(L97="","",IF(ISNUMBER(FIND("|",L97)),TRIM(LEFT(L97,FIND("|",L97)-1)),IF(ISNUMBER(MATCH(L97,Config!$F$1:$F$853,0)),L97,IFERROR(INDEX(Config!$F$1:$F$853,MATCH(L97,Config!$G$1:$G$853,0)),""))))</f>
        <v/>
      </c>
      <c r="L97" s="17" t="str">
        <f>=IFERROR(INDEX($L$17:L96,MATCH(C97,$C$17:C96,0)),"")</f>
        <v/>
      </c>
    </row>
    <row r="98" ht="18" customHeight="1" spans="1:12" x14ac:dyDescent="0.25">
      <c r="A98" s="10" t="s">
        <v>2</v>
      </c>
      <c r="B98" s="10" t="s">
        <v>2</v>
      </c>
      <c r="C98" s="10" t="s">
        <v>2</v>
      </c>
      <c r="D98" s="11" t="str">
        <f>=IF(E98="","",IF(ISNUMBER(FIND("|",E98)),TRIM(LEFT(E98,FIND("|",E98)-1)),IF(ISNUMBER(MATCH(E98,Config!$C$1:$C$311,0)),E98,IFERROR(INDEX(Config!$C$1:$C$311,MATCH(E98,Config!$D$1:$D$311,0)),""))))</f>
        <v>OP-0224</v>
      </c>
      <c r="E98" s="12" t="s">
        <v>112</v>
      </c>
      <c r="F98" s="13">
        <v>9</v>
      </c>
      <c r="G98" s="14" t="str">
        <f>=IF(C98="","",SUMIF($C$17:$C$502,C98,$F$17:$F$502))</f>
        <v/>
      </c>
      <c r="H98" s="14" t="str">
        <f>=IFERROR($B$14/$B$10,"")</f>
        <v/>
      </c>
      <c r="I98" s="15" t="str">
        <f>=IFERROR(G98/H98,"")</f>
        <v/>
      </c>
      <c r="J98" s="16" t="str">
        <f>=IF(F98="","",F98/3600)</f>
        <v/>
      </c>
      <c r="K98" s="11" t="str">
        <f>=IF(L98="","",IF(ISNUMBER(FIND("|",L98)),TRIM(LEFT(L98,FIND("|",L98)-1)),IF(ISNUMBER(MATCH(L98,Config!$F$1:$F$853,0)),L98,IFERROR(INDEX(Config!$F$1:$F$853,MATCH(L98,Config!$G$1:$G$853,0)),""))))</f>
        <v/>
      </c>
      <c r="L98" s="17" t="str">
        <f>=IFERROR(INDEX($L$17:L97,MATCH(C98,$C$17:C97,0)),"")</f>
        <v/>
      </c>
    </row>
    <row r="99" ht="18" customHeight="1" spans="1:12" x14ac:dyDescent="0.25">
      <c r="A99" s="10" t="s">
        <v>2</v>
      </c>
      <c r="B99" s="10" t="s">
        <v>2</v>
      </c>
      <c r="C99" s="10" t="s">
        <v>2</v>
      </c>
      <c r="D99" s="11" t="str">
        <f>=IF(E99="","",IF(ISNUMBER(FIND("|",E99)),TRIM(LEFT(E99,FIND("|",E99)-1)),IF(ISNUMBER(MATCH(E99,Config!$C$1:$C$311,0)),E99,IFERROR(INDEX(Config!$C$1:$C$311,MATCH(E99,Config!$D$1:$D$311,0)),""))))</f>
        <v>OP-0225</v>
      </c>
      <c r="E99" s="12" t="s">
        <v>113</v>
      </c>
      <c r="F99" s="13">
        <v>12</v>
      </c>
      <c r="G99" s="14" t="str">
        <f>=IF(C99="","",SUMIF($C$17:$C$502,C99,$F$17:$F$502))</f>
        <v/>
      </c>
      <c r="H99" s="14" t="str">
        <f>=IFERROR($B$14/$B$10,"")</f>
        <v/>
      </c>
      <c r="I99" s="15" t="str">
        <f>=IFERROR(G99/H99,"")</f>
        <v/>
      </c>
      <c r="J99" s="16" t="str">
        <f>=IF(F99="","",F99/3600)</f>
        <v/>
      </c>
      <c r="K99" s="11" t="str">
        <f>=IF(L99="","",IF(ISNUMBER(FIND("|",L99)),TRIM(LEFT(L99,FIND("|",L99)-1)),IF(ISNUMBER(MATCH(L99,Config!$F$1:$F$853,0)),L99,IFERROR(INDEX(Config!$F$1:$F$853,MATCH(L99,Config!$G$1:$G$853,0)),""))))</f>
        <v/>
      </c>
      <c r="L99" s="17" t="str">
        <f>=IFERROR(INDEX($L$17:L98,MATCH(C99,$C$17:C98,0)),"")</f>
        <v/>
      </c>
    </row>
    <row r="100" ht="18" customHeight="1" spans="1:12" x14ac:dyDescent="0.25">
      <c r="A100" s="10" t="s">
        <v>2</v>
      </c>
      <c r="B100" s="10" t="s">
        <v>2</v>
      </c>
      <c r="C100" s="10" t="s">
        <v>2</v>
      </c>
      <c r="D100" s="11" t="str">
        <f>=IF(E100="","",IF(ISNUMBER(FIND("|",E100)),TRIM(LEFT(E100,FIND("|",E100)-1)),IF(ISNUMBER(MATCH(E100,Config!$C$1:$C$311,0)),E100,IFERROR(INDEX(Config!$C$1:$C$311,MATCH(E100,Config!$D$1:$D$311,0)),""))))</f>
        <v>OP-0226</v>
      </c>
      <c r="E100" s="12" t="s">
        <v>114</v>
      </c>
      <c r="F100" s="13">
        <v>12</v>
      </c>
      <c r="G100" s="14" t="str">
        <f>=IF(C100="","",SUMIF($C$17:$C$502,C100,$F$17:$F$502))</f>
        <v/>
      </c>
      <c r="H100" s="14" t="str">
        <f>=IFERROR($B$14/$B$10,"")</f>
        <v/>
      </c>
      <c r="I100" s="15" t="str">
        <f>=IFERROR(G100/H100,"")</f>
        <v/>
      </c>
      <c r="J100" s="16" t="str">
        <f>=IF(F100="","",F100/3600)</f>
        <v/>
      </c>
      <c r="K100" s="11" t="str">
        <f>=IF(L100="","",IF(ISNUMBER(FIND("|",L100)),TRIM(LEFT(L100,FIND("|",L100)-1)),IF(ISNUMBER(MATCH(L100,Config!$F$1:$F$853,0)),L100,IFERROR(INDEX(Config!$F$1:$F$853,MATCH(L100,Config!$G$1:$G$853,0)),""))))</f>
        <v/>
      </c>
      <c r="L100" s="17" t="str">
        <f>=IFERROR(INDEX($L$17:L99,MATCH(C100,$C$17:C99,0)),"")</f>
        <v/>
      </c>
    </row>
    <row r="101" ht="18" customHeight="1" spans="1:12" x14ac:dyDescent="0.25">
      <c r="A101" s="10" t="s">
        <v>2</v>
      </c>
      <c r="B101" s="10" t="s">
        <v>2</v>
      </c>
      <c r="C101" s="10" t="s">
        <v>2</v>
      </c>
      <c r="D101" s="11" t="str">
        <f>=IF(E101="","",IF(ISNUMBER(FIND("|",E101)),TRIM(LEFT(E101,FIND("|",E101)-1)),IF(ISNUMBER(MATCH(E101,Config!$C$1:$C$311,0)),E101,IFERROR(INDEX(Config!$C$1:$C$311,MATCH(E101,Config!$D$1:$D$311,0)),""))))</f>
        <v>OP-0227</v>
      </c>
      <c r="E101" s="12" t="s">
        <v>115</v>
      </c>
      <c r="F101" s="13">
        <v>12</v>
      </c>
      <c r="G101" s="14" t="str">
        <f>=IF(C101="","",SUMIF($C$17:$C$502,C101,$F$17:$F$502))</f>
        <v/>
      </c>
      <c r="H101" s="14" t="str">
        <f>=IFERROR($B$14/$B$10,"")</f>
        <v/>
      </c>
      <c r="I101" s="15" t="str">
        <f>=IFERROR(G101/H101,"")</f>
        <v/>
      </c>
      <c r="J101" s="16" t="str">
        <f>=IF(F101="","",F101/3600)</f>
        <v/>
      </c>
      <c r="K101" s="11" t="str">
        <f>=IF(L101="","",IF(ISNUMBER(FIND("|",L101)),TRIM(LEFT(L101,FIND("|",L101)-1)),IF(ISNUMBER(MATCH(L101,Config!$F$1:$F$853,0)),L101,IFERROR(INDEX(Config!$F$1:$F$853,MATCH(L101,Config!$G$1:$G$853,0)),""))))</f>
        <v/>
      </c>
      <c r="L101" s="17" t="str">
        <f>=IFERROR(INDEX($L$17:L100,MATCH(C101,$C$17:C100,0)),"")</f>
        <v/>
      </c>
    </row>
    <row r="102" ht="18" customHeight="1" spans="1:12" x14ac:dyDescent="0.25">
      <c r="A102" s="10" t="s">
        <v>2</v>
      </c>
      <c r="B102" s="10" t="s">
        <v>2</v>
      </c>
      <c r="C102" s="10" t="s">
        <v>2</v>
      </c>
      <c r="D102" s="11" t="str">
        <f>=IF(E102="","",IF(ISNUMBER(FIND("|",E102)),TRIM(LEFT(E102,FIND("|",E102)-1)),IF(ISNUMBER(MATCH(E102,Config!$C$1:$C$311,0)),E102,IFERROR(INDEX(Config!$C$1:$C$311,MATCH(E102,Config!$D$1:$D$311,0)),""))))</f>
        <v>OP-0228</v>
      </c>
      <c r="E102" s="12" t="s">
        <v>116</v>
      </c>
      <c r="F102" s="13">
        <v>37.5</v>
      </c>
      <c r="G102" s="14" t="str">
        <f>=IF(C102="","",SUMIF($C$17:$C$502,C102,$F$17:$F$502))</f>
        <v/>
      </c>
      <c r="H102" s="14" t="str">
        <f>=IFERROR($B$14/$B$10,"")</f>
        <v/>
      </c>
      <c r="I102" s="15" t="str">
        <f>=IFERROR(G102/H102,"")</f>
        <v/>
      </c>
      <c r="J102" s="16" t="str">
        <f>=IF(F102="","",F102/3600)</f>
        <v/>
      </c>
      <c r="K102" s="11" t="str">
        <f>=IF(L102="","",IF(ISNUMBER(FIND("|",L102)),TRIM(LEFT(L102,FIND("|",L102)-1)),IF(ISNUMBER(MATCH(L102,Config!$F$1:$F$853,0)),L102,IFERROR(INDEX(Config!$F$1:$F$853,MATCH(L102,Config!$G$1:$G$853,0)),""))))</f>
        <v/>
      </c>
      <c r="L102" s="17" t="str">
        <f>=IFERROR(INDEX($L$17:L101,MATCH(C102,$C$17:C101,0)),"")</f>
        <v/>
      </c>
    </row>
    <row r="103" ht="18" customHeight="1" spans="1:12" x14ac:dyDescent="0.25">
      <c r="A103" s="10" t="s">
        <v>2</v>
      </c>
      <c r="B103" s="10" t="s">
        <v>2</v>
      </c>
      <c r="C103" s="10" t="s">
        <v>2</v>
      </c>
      <c r="D103" s="11" t="str">
        <f>=IF(E103="","",IF(ISNUMBER(FIND("|",E103)),TRIM(LEFT(E103,FIND("|",E103)-1)),IF(ISNUMBER(MATCH(E103,Config!$C$1:$C$311,0)),E103,IFERROR(INDEX(Config!$C$1:$C$311,MATCH(E103,Config!$D$1:$D$311,0)),""))))</f>
        <v>OP-0229</v>
      </c>
      <c r="E103" s="12" t="s">
        <v>117</v>
      </c>
      <c r="F103" s="13">
        <v>28</v>
      </c>
      <c r="G103" s="14" t="str">
        <f>=IF(C103="","",SUMIF($C$17:$C$502,C103,$F$17:$F$502))</f>
        <v/>
      </c>
      <c r="H103" s="14" t="str">
        <f>=IFERROR($B$14/$B$10,"")</f>
        <v/>
      </c>
      <c r="I103" s="15" t="str">
        <f>=IFERROR(G103/H103,"")</f>
        <v/>
      </c>
      <c r="J103" s="16" t="str">
        <f>=IF(F103="","",F103/3600)</f>
        <v/>
      </c>
      <c r="K103" s="11" t="str">
        <f>=IF(L103="","",IF(ISNUMBER(FIND("|",L103)),TRIM(LEFT(L103,FIND("|",L103)-1)),IF(ISNUMBER(MATCH(L103,Config!$F$1:$F$853,0)),L103,IFERROR(INDEX(Config!$F$1:$F$853,MATCH(L103,Config!$G$1:$G$853,0)),""))))</f>
        <v/>
      </c>
      <c r="L103" s="17" t="str">
        <f>=IFERROR(INDEX($L$17:L102,MATCH(C103,$C$17:C102,0)),"")</f>
        <v/>
      </c>
    </row>
    <row r="104" ht="18" customHeight="1" spans="1:12" x14ac:dyDescent="0.25">
      <c r="A104" s="10" t="s">
        <v>2</v>
      </c>
      <c r="B104" s="10" t="s">
        <v>2</v>
      </c>
      <c r="C104" s="10" t="s">
        <v>2</v>
      </c>
      <c r="D104" s="11" t="str">
        <f>=IF(E104="","",IF(ISNUMBER(FIND("|",E104)),TRIM(LEFT(E104,FIND("|",E104)-1)),IF(ISNUMBER(MATCH(E104,Config!$C$1:$C$311,0)),E104,IFERROR(INDEX(Config!$C$1:$C$311,MATCH(E104,Config!$D$1:$D$311,0)),""))))</f>
        <v>OP-0230</v>
      </c>
      <c r="E104" s="12" t="s">
        <v>118</v>
      </c>
      <c r="F104" s="13">
        <v>10</v>
      </c>
      <c r="G104" s="14" t="str">
        <f>=IF(C104="","",SUMIF($C$17:$C$502,C104,$F$17:$F$502))</f>
        <v/>
      </c>
      <c r="H104" s="14" t="str">
        <f>=IFERROR($B$14/$B$10,"")</f>
        <v/>
      </c>
      <c r="I104" s="15" t="str">
        <f>=IFERROR(G104/H104,"")</f>
        <v/>
      </c>
      <c r="J104" s="16" t="str">
        <f>=IF(F104="","",F104/3600)</f>
        <v/>
      </c>
      <c r="K104" s="11" t="str">
        <f>=IF(L104="","",IF(ISNUMBER(FIND("|",L104)),TRIM(LEFT(L104,FIND("|",L104)-1)),IF(ISNUMBER(MATCH(L104,Config!$F$1:$F$853,0)),L104,IFERROR(INDEX(Config!$F$1:$F$853,MATCH(L104,Config!$G$1:$G$853,0)),""))))</f>
        <v/>
      </c>
      <c r="L104" s="17" t="str">
        <f>=IFERROR(INDEX($L$17:L103,MATCH(C104,$C$17:C103,0)),"")</f>
        <v/>
      </c>
    </row>
    <row r="105" ht="18" customHeight="1" spans="1:12" x14ac:dyDescent="0.25">
      <c r="A105" s="10" t="s">
        <v>2</v>
      </c>
      <c r="B105" s="10" t="s">
        <v>2</v>
      </c>
      <c r="C105" s="10" t="s">
        <v>2</v>
      </c>
      <c r="D105" s="11" t="str">
        <f>=IF(E105="","",IF(ISNUMBER(FIND("|",E105)),TRIM(LEFT(E105,FIND("|",E105)-1)),IF(ISNUMBER(MATCH(E105,Config!$C$1:$C$311,0)),E105,IFERROR(INDEX(Config!$C$1:$C$311,MATCH(E105,Config!$D$1:$D$311,0)),""))))</f>
        <v>OP-0231</v>
      </c>
      <c r="E105" s="12" t="s">
        <v>119</v>
      </c>
      <c r="F105" s="13">
        <v>14</v>
      </c>
      <c r="G105" s="14" t="str">
        <f>=IF(C105="","",SUMIF($C$17:$C$502,C105,$F$17:$F$502))</f>
        <v/>
      </c>
      <c r="H105" s="14" t="str">
        <f>=IFERROR($B$14/$B$10,"")</f>
        <v/>
      </c>
      <c r="I105" s="15" t="str">
        <f>=IFERROR(G105/H105,"")</f>
        <v/>
      </c>
      <c r="J105" s="16" t="str">
        <f>=IF(F105="","",F105/3600)</f>
        <v/>
      </c>
      <c r="K105" s="11" t="str">
        <f>=IF(L105="","",IF(ISNUMBER(FIND("|",L105)),TRIM(LEFT(L105,FIND("|",L105)-1)),IF(ISNUMBER(MATCH(L105,Config!$F$1:$F$853,0)),L105,IFERROR(INDEX(Config!$F$1:$F$853,MATCH(L105,Config!$G$1:$G$853,0)),""))))</f>
        <v/>
      </c>
      <c r="L105" s="17" t="str">
        <f>=IFERROR(INDEX($L$17:L104,MATCH(C105,$C$17:C104,0)),"")</f>
        <v/>
      </c>
    </row>
    <row r="106" ht="18" customHeight="1" spans="1:12" x14ac:dyDescent="0.25">
      <c r="A106" s="10" t="s">
        <v>2</v>
      </c>
      <c r="B106" s="10" t="s">
        <v>2</v>
      </c>
      <c r="C106" s="10" t="s">
        <v>2</v>
      </c>
      <c r="D106" s="11" t="str">
        <f>=IF(E106="","",IF(ISNUMBER(FIND("|",E106)),TRIM(LEFT(E106,FIND("|",E106)-1)),IF(ISNUMBER(MATCH(E106,Config!$C$1:$C$311,0)),E106,IFERROR(INDEX(Config!$C$1:$C$311,MATCH(E106,Config!$D$1:$D$311,0)),""))))</f>
        <v>OP-0232</v>
      </c>
      <c r="E106" s="12" t="s">
        <v>120</v>
      </c>
      <c r="F106" s="13">
        <v>24</v>
      </c>
      <c r="G106" s="14" t="str">
        <f>=IF(C106="","",SUMIF($C$17:$C$502,C106,$F$17:$F$502))</f>
        <v/>
      </c>
      <c r="H106" s="14" t="str">
        <f>=IFERROR($B$14/$B$10,"")</f>
        <v/>
      </c>
      <c r="I106" s="15" t="str">
        <f>=IFERROR(G106/H106,"")</f>
        <v/>
      </c>
      <c r="J106" s="16" t="str">
        <f>=IF(F106="","",F106/3600)</f>
        <v/>
      </c>
      <c r="K106" s="11" t="str">
        <f>=IF(L106="","",IF(ISNUMBER(FIND("|",L106)),TRIM(LEFT(L106,FIND("|",L106)-1)),IF(ISNUMBER(MATCH(L106,Config!$F$1:$F$853,0)),L106,IFERROR(INDEX(Config!$F$1:$F$853,MATCH(L106,Config!$G$1:$G$853,0)),""))))</f>
        <v/>
      </c>
      <c r="L106" s="17" t="str">
        <f>=IFERROR(INDEX($L$17:L105,MATCH(C106,$C$17:C105,0)),"")</f>
        <v/>
      </c>
    </row>
    <row r="107" ht="18" customHeight="1" spans="1:12" x14ac:dyDescent="0.25">
      <c r="A107" s="10" t="s">
        <v>2</v>
      </c>
      <c r="B107" s="10" t="s">
        <v>2</v>
      </c>
      <c r="C107" s="10" t="s">
        <v>2</v>
      </c>
      <c r="D107" s="11" t="str">
        <f>=IF(E107="","",IF(ISNUMBER(FIND("|",E107)),TRIM(LEFT(E107,FIND("|",E107)-1)),IF(ISNUMBER(MATCH(E107,Config!$C$1:$C$311,0)),E107,IFERROR(INDEX(Config!$C$1:$C$311,MATCH(E107,Config!$D$1:$D$311,0)),""))))</f>
        <v>OP-0233</v>
      </c>
      <c r="E107" s="12" t="s">
        <v>121</v>
      </c>
      <c r="F107" s="13">
        <v>24</v>
      </c>
      <c r="G107" s="14" t="str">
        <f>=IF(C107="","",SUMIF($C$17:$C$502,C107,$F$17:$F$502))</f>
        <v/>
      </c>
      <c r="H107" s="14" t="str">
        <f>=IFERROR($B$14/$B$10,"")</f>
        <v/>
      </c>
      <c r="I107" s="15" t="str">
        <f>=IFERROR(G107/H107,"")</f>
        <v/>
      </c>
      <c r="J107" s="16" t="str">
        <f>=IF(F107="","",F107/3600)</f>
        <v/>
      </c>
      <c r="K107" s="11" t="str">
        <f>=IF(L107="","",IF(ISNUMBER(FIND("|",L107)),TRIM(LEFT(L107,FIND("|",L107)-1)),IF(ISNUMBER(MATCH(L107,Config!$F$1:$F$853,0)),L107,IFERROR(INDEX(Config!$F$1:$F$853,MATCH(L107,Config!$G$1:$G$853,0)),""))))</f>
        <v/>
      </c>
      <c r="L107" s="17" t="str">
        <f>=IFERROR(INDEX($L$17:L106,MATCH(C107,$C$17:C106,0)),"")</f>
        <v/>
      </c>
    </row>
    <row r="108" ht="18" customHeight="1" spans="1:12" x14ac:dyDescent="0.25">
      <c r="A108" s="10" t="s">
        <v>2</v>
      </c>
      <c r="B108" s="10" t="s">
        <v>2</v>
      </c>
      <c r="C108" s="10" t="s">
        <v>2</v>
      </c>
      <c r="D108" s="11" t="str">
        <f>=IF(E108="","",IF(ISNUMBER(FIND("|",E108)),TRIM(LEFT(E108,FIND("|",E108)-1)),IF(ISNUMBER(MATCH(E108,Config!$C$1:$C$311,0)),E108,IFERROR(INDEX(Config!$C$1:$C$311,MATCH(E108,Config!$D$1:$D$311,0)),""))))</f>
        <v>OP-0232</v>
      </c>
      <c r="E108" s="12" t="s">
        <v>120</v>
      </c>
      <c r="F108" s="13">
        <v>24</v>
      </c>
      <c r="G108" s="14" t="str">
        <f>=IF(C108="","",SUMIF($C$17:$C$502,C108,$F$17:$F$502))</f>
        <v/>
      </c>
      <c r="H108" s="14" t="str">
        <f>=IFERROR($B$14/$B$10,"")</f>
        <v/>
      </c>
      <c r="I108" s="15" t="str">
        <f>=IFERROR(G108/H108,"")</f>
        <v/>
      </c>
      <c r="J108" s="16" t="str">
        <f>=IF(F108="","",F108/3600)</f>
        <v/>
      </c>
      <c r="K108" s="11" t="str">
        <f>=IF(L108="","",IF(ISNUMBER(FIND("|",L108)),TRIM(LEFT(L108,FIND("|",L108)-1)),IF(ISNUMBER(MATCH(L108,Config!$F$1:$F$853,0)),L108,IFERROR(INDEX(Config!$F$1:$F$853,MATCH(L108,Config!$G$1:$G$853,0)),""))))</f>
        <v/>
      </c>
      <c r="L108" s="17" t="str">
        <f>=IFERROR(INDEX($L$17:L107,MATCH(C108,$C$17:C107,0)),"")</f>
        <v/>
      </c>
    </row>
    <row r="109" ht="18" customHeight="1" spans="1:12" x14ac:dyDescent="0.25">
      <c r="A109" s="10" t="s">
        <v>2</v>
      </c>
      <c r="B109" s="10" t="s">
        <v>2</v>
      </c>
      <c r="C109" s="10" t="s">
        <v>2</v>
      </c>
      <c r="D109" s="11" t="str">
        <f>=IF(E109="","",IF(ISNUMBER(FIND("|",E109)),TRIM(LEFT(E109,FIND("|",E109)-1)),IF(ISNUMBER(MATCH(E109,Config!$C$1:$C$311,0)),E109,IFERROR(INDEX(Config!$C$1:$C$311,MATCH(E109,Config!$D$1:$D$311,0)),""))))</f>
        <v>OP-0233</v>
      </c>
      <c r="E109" s="12" t="s">
        <v>121</v>
      </c>
      <c r="F109" s="13">
        <v>20</v>
      </c>
      <c r="G109" s="14" t="str">
        <f>=IF(C109="","",SUMIF($C$17:$C$502,C109,$F$17:$F$502))</f>
        <v/>
      </c>
      <c r="H109" s="14" t="str">
        <f>=IFERROR($B$14/$B$10,"")</f>
        <v/>
      </c>
      <c r="I109" s="15" t="str">
        <f>=IFERROR(G109/H109,"")</f>
        <v/>
      </c>
      <c r="J109" s="16" t="str">
        <f>=IF(F109="","",F109/3600)</f>
        <v/>
      </c>
      <c r="K109" s="11" t="str">
        <f>=IF(L109="","",IF(ISNUMBER(FIND("|",L109)),TRIM(LEFT(L109,FIND("|",L109)-1)),IF(ISNUMBER(MATCH(L109,Config!$F$1:$F$853,0)),L109,IFERROR(INDEX(Config!$F$1:$F$853,MATCH(L109,Config!$G$1:$G$853,0)),""))))</f>
        <v/>
      </c>
      <c r="L109" s="17" t="str">
        <f>=IFERROR(INDEX($L$17:L108,MATCH(C109,$C$17:C108,0)),"")</f>
        <v/>
      </c>
    </row>
    <row r="110" ht="18" customHeight="1" spans="1:12" x14ac:dyDescent="0.25">
      <c r="A110" s="10" t="s">
        <v>2</v>
      </c>
      <c r="B110" s="10" t="s">
        <v>2</v>
      </c>
      <c r="C110" s="10" t="s">
        <v>2</v>
      </c>
      <c r="D110" s="11" t="str">
        <f>=IF(E110="","",IF(ISNUMBER(FIND("|",E110)),TRIM(LEFT(E110,FIND("|",E110)-1)),IF(ISNUMBER(MATCH(E110,Config!$C$1:$C$311,0)),E110,IFERROR(INDEX(Config!$C$1:$C$311,MATCH(E110,Config!$D$1:$D$311,0)),""))))</f>
        <v>OP-0234</v>
      </c>
      <c r="E110" s="12" t="s">
        <v>122</v>
      </c>
      <c r="F110" s="13">
        <v>20</v>
      </c>
      <c r="G110" s="14" t="str">
        <f>=IF(C110="","",SUMIF($C$17:$C$502,C110,$F$17:$F$502))</f>
        <v/>
      </c>
      <c r="H110" s="14" t="str">
        <f>=IFERROR($B$14/$B$10,"")</f>
        <v/>
      </c>
      <c r="I110" s="15" t="str">
        <f>=IFERROR(G110/H110,"")</f>
        <v/>
      </c>
      <c r="J110" s="16" t="str">
        <f>=IF(F110="","",F110/3600)</f>
        <v/>
      </c>
      <c r="K110" s="11" t="str">
        <f>=IF(L110="","",IF(ISNUMBER(FIND("|",L110)),TRIM(LEFT(L110,FIND("|",L110)-1)),IF(ISNUMBER(MATCH(L110,Config!$F$1:$F$853,0)),L110,IFERROR(INDEX(Config!$F$1:$F$853,MATCH(L110,Config!$G$1:$G$853,0)),""))))</f>
        <v/>
      </c>
      <c r="L110" s="17" t="str">
        <f>=IFERROR(INDEX($L$17:L109,MATCH(C110,$C$17:C109,0)),"")</f>
        <v/>
      </c>
    </row>
    <row r="111" ht="18" customHeight="1" spans="1:12" x14ac:dyDescent="0.25">
      <c r="A111" s="10" t="s">
        <v>2</v>
      </c>
      <c r="B111" s="10" t="s">
        <v>2</v>
      </c>
      <c r="C111" s="10" t="s">
        <v>2</v>
      </c>
      <c r="D111" s="11" t="str">
        <f>=IF(E111="","",IF(ISNUMBER(FIND("|",E111)),TRIM(LEFT(E111,FIND("|",E111)-1)),IF(ISNUMBER(MATCH(E111,Config!$C$1:$C$311,0)),E111,IFERROR(INDEX(Config!$C$1:$C$311,MATCH(E111,Config!$D$1:$D$311,0)),""))))</f>
        <v>OP-0234</v>
      </c>
      <c r="E111" s="12" t="s">
        <v>122</v>
      </c>
      <c r="F111" s="13">
        <v>20</v>
      </c>
      <c r="G111" s="14" t="str">
        <f>=IF(C111="","",SUMIF($C$17:$C$502,C111,$F$17:$F$502))</f>
        <v/>
      </c>
      <c r="H111" s="14" t="str">
        <f>=IFERROR($B$14/$B$10,"")</f>
        <v/>
      </c>
      <c r="I111" s="15" t="str">
        <f>=IFERROR(G111/H111,"")</f>
        <v/>
      </c>
      <c r="J111" s="16" t="str">
        <f>=IF(F111="","",F111/3600)</f>
        <v/>
      </c>
      <c r="K111" s="11" t="str">
        <f>=IF(L111="","",IF(ISNUMBER(FIND("|",L111)),TRIM(LEFT(L111,FIND("|",L111)-1)),IF(ISNUMBER(MATCH(L111,Config!$F$1:$F$853,0)),L111,IFERROR(INDEX(Config!$F$1:$F$853,MATCH(L111,Config!$G$1:$G$853,0)),""))))</f>
        <v/>
      </c>
      <c r="L111" s="17" t="str">
        <f>=IFERROR(INDEX($L$17:L110,MATCH(C111,$C$17:C110,0)),"")</f>
        <v/>
      </c>
    </row>
    <row r="112" ht="18" customHeight="1" spans="1:12" x14ac:dyDescent="0.25">
      <c r="A112" s="10" t="s">
        <v>2</v>
      </c>
      <c r="B112" s="10" t="s">
        <v>2</v>
      </c>
      <c r="C112" s="10" t="s">
        <v>2</v>
      </c>
      <c r="D112" s="11" t="str">
        <f>=IF(E112="","",IF(ISNUMBER(FIND("|",E112)),TRIM(LEFT(E112,FIND("|",E112)-1)),IF(ISNUMBER(MATCH(E112,Config!$C$1:$C$311,0)),E112,IFERROR(INDEX(Config!$C$1:$C$311,MATCH(E112,Config!$D$1:$D$311,0)),""))))</f>
        <v>OP-0235</v>
      </c>
      <c r="E112" s="12" t="s">
        <v>123</v>
      </c>
      <c r="F112" s="13">
        <v>28</v>
      </c>
      <c r="G112" s="14" t="str">
        <f>=IF(C112="","",SUMIF($C$17:$C$502,C112,$F$17:$F$502))</f>
        <v/>
      </c>
      <c r="H112" s="14" t="str">
        <f>=IFERROR($B$14/$B$10,"")</f>
        <v/>
      </c>
      <c r="I112" s="15" t="str">
        <f>=IFERROR(G112/H112,"")</f>
        <v/>
      </c>
      <c r="J112" s="16" t="str">
        <f>=IF(F112="","",F112/3600)</f>
        <v/>
      </c>
      <c r="K112" s="11" t="str">
        <f>=IF(L112="","",IF(ISNUMBER(FIND("|",L112)),TRIM(LEFT(L112,FIND("|",L112)-1)),IF(ISNUMBER(MATCH(L112,Config!$F$1:$F$853,0)),L112,IFERROR(INDEX(Config!$F$1:$F$853,MATCH(L112,Config!$G$1:$G$853,0)),""))))</f>
        <v/>
      </c>
      <c r="L112" s="17" t="str">
        <f>=IFERROR(INDEX($L$17:L111,MATCH(C112,$C$17:C111,0)),"")</f>
        <v/>
      </c>
    </row>
    <row r="113" ht="18" customHeight="1" spans="1:12" x14ac:dyDescent="0.25">
      <c r="A113" s="10" t="s">
        <v>2</v>
      </c>
      <c r="B113" s="10" t="s">
        <v>2</v>
      </c>
      <c r="C113" s="10" t="s">
        <v>2</v>
      </c>
      <c r="D113" s="11" t="str">
        <f>=IF(E113="","",IF(ISNUMBER(FIND("|",E113)),TRIM(LEFT(E113,FIND("|",E113)-1)),IF(ISNUMBER(MATCH(E113,Config!$C$1:$C$311,0)),E113,IFERROR(INDEX(Config!$C$1:$C$311,MATCH(E113,Config!$D$1:$D$311,0)),""))))</f>
        <v>OP-0236</v>
      </c>
      <c r="E113" s="12" t="s">
        <v>124</v>
      </c>
      <c r="F113" s="13">
        <v>20</v>
      </c>
      <c r="G113" s="14" t="str">
        <f>=IF(C113="","",SUMIF($C$17:$C$502,C113,$F$17:$F$502))</f>
        <v/>
      </c>
      <c r="H113" s="14" t="str">
        <f>=IFERROR($B$14/$B$10,"")</f>
        <v/>
      </c>
      <c r="I113" s="15" t="str">
        <f>=IFERROR(G113/H113,"")</f>
        <v/>
      </c>
      <c r="J113" s="16" t="str">
        <f>=IF(F113="","",F113/3600)</f>
        <v/>
      </c>
      <c r="K113" s="11" t="str">
        <f>=IF(L113="","",IF(ISNUMBER(FIND("|",L113)),TRIM(LEFT(L113,FIND("|",L113)-1)),IF(ISNUMBER(MATCH(L113,Config!$F$1:$F$853,0)),L113,IFERROR(INDEX(Config!$F$1:$F$853,MATCH(L113,Config!$G$1:$G$853,0)),""))))</f>
        <v/>
      </c>
      <c r="L113" s="17" t="str">
        <f>=IFERROR(INDEX($L$17:L112,MATCH(C113,$C$17:C112,0)),"")</f>
        <v/>
      </c>
    </row>
    <row r="114" ht="18" customHeight="1" spans="1:12" x14ac:dyDescent="0.25">
      <c r="A114" s="10" t="s">
        <v>2</v>
      </c>
      <c r="B114" s="10" t="s">
        <v>2</v>
      </c>
      <c r="C114" s="10" t="s">
        <v>2</v>
      </c>
      <c r="D114" s="11" t="str">
        <f>=IF(E114="","",IF(ISNUMBER(FIND("|",E114)),TRIM(LEFT(E114,FIND("|",E114)-1)),IF(ISNUMBER(MATCH(E114,Config!$C$1:$C$311,0)),E114,IFERROR(INDEX(Config!$C$1:$C$311,MATCH(E114,Config!$D$1:$D$311,0)),""))))</f>
        <v>OP-0237</v>
      </c>
      <c r="E114" s="12" t="s">
        <v>125</v>
      </c>
      <c r="F114" s="13">
        <v>16</v>
      </c>
      <c r="G114" s="14" t="str">
        <f>=IF(C114="","",SUMIF($C$17:$C$502,C114,$F$17:$F$502))</f>
        <v/>
      </c>
      <c r="H114" s="14" t="str">
        <f>=IFERROR($B$14/$B$10,"")</f>
        <v/>
      </c>
      <c r="I114" s="15" t="str">
        <f>=IFERROR(G114/H114,"")</f>
        <v/>
      </c>
      <c r="J114" s="16" t="str">
        <f>=IF(F114="","",F114/3600)</f>
        <v/>
      </c>
      <c r="K114" s="11" t="str">
        <f>=IF(L114="","",IF(ISNUMBER(FIND("|",L114)),TRIM(LEFT(L114,FIND("|",L114)-1)),IF(ISNUMBER(MATCH(L114,Config!$F$1:$F$853,0)),L114,IFERROR(INDEX(Config!$F$1:$F$853,MATCH(L114,Config!$G$1:$G$853,0)),""))))</f>
        <v/>
      </c>
      <c r="L114" s="17" t="str">
        <f>=IFERROR(INDEX($L$17:L113,MATCH(C114,$C$17:C113,0)),"")</f>
        <v/>
      </c>
    </row>
    <row r="115" ht="18" customHeight="1" spans="1:12" x14ac:dyDescent="0.25">
      <c r="A115" s="10" t="s">
        <v>2</v>
      </c>
      <c r="B115" s="10" t="s">
        <v>2</v>
      </c>
      <c r="C115" s="10" t="s">
        <v>2</v>
      </c>
      <c r="D115" s="11" t="str">
        <f>=IF(E115="","",IF(ISNUMBER(FIND("|",E115)),TRIM(LEFT(E115,FIND("|",E115)-1)),IF(ISNUMBER(MATCH(E115,Config!$C$1:$C$311,0)),E115,IFERROR(INDEX(Config!$C$1:$C$311,MATCH(E115,Config!$D$1:$D$311,0)),""))))</f>
        <v>OP-0238</v>
      </c>
      <c r="E115" s="12" t="s">
        <v>126</v>
      </c>
      <c r="F115" s="13">
        <v>16</v>
      </c>
      <c r="G115" s="14" t="str">
        <f>=IF(C115="","",SUMIF($C$17:$C$502,C115,$F$17:$F$502))</f>
        <v/>
      </c>
      <c r="H115" s="14" t="str">
        <f>=IFERROR($B$14/$B$10,"")</f>
        <v/>
      </c>
      <c r="I115" s="15" t="str">
        <f>=IFERROR(G115/H115,"")</f>
        <v/>
      </c>
      <c r="J115" s="16" t="str">
        <f>=IF(F115="","",F115/3600)</f>
        <v/>
      </c>
      <c r="K115" s="11" t="str">
        <f>=IF(L115="","",IF(ISNUMBER(FIND("|",L115)),TRIM(LEFT(L115,FIND("|",L115)-1)),IF(ISNUMBER(MATCH(L115,Config!$F$1:$F$853,0)),L115,IFERROR(INDEX(Config!$F$1:$F$853,MATCH(L115,Config!$G$1:$G$853,0)),""))))</f>
        <v/>
      </c>
      <c r="L115" s="17" t="str">
        <f>=IFERROR(INDEX($L$17:L114,MATCH(C115,$C$17:C114,0)),"")</f>
        <v/>
      </c>
    </row>
    <row r="116" ht="18" customHeight="1" spans="1:12" x14ac:dyDescent="0.25">
      <c r="A116" s="10" t="s">
        <v>2</v>
      </c>
      <c r="B116" s="10" t="s">
        <v>2</v>
      </c>
      <c r="C116" s="10" t="s">
        <v>2</v>
      </c>
      <c r="D116" s="11" t="str">
        <f>=IF(E116="","",IF(ISNUMBER(FIND("|",E116)),TRIM(LEFT(E116,FIND("|",E116)-1)),IF(ISNUMBER(MATCH(E116,Config!$C$1:$C$311,0)),E116,IFERROR(INDEX(Config!$C$1:$C$311,MATCH(E116,Config!$D$1:$D$311,0)),""))))</f>
        <v>OP-0239</v>
      </c>
      <c r="E116" s="12" t="s">
        <v>127</v>
      </c>
      <c r="F116" s="13">
        <v>4</v>
      </c>
      <c r="G116" s="14" t="str">
        <f>=IF(C116="","",SUMIF($C$17:$C$502,C116,$F$17:$F$502))</f>
        <v/>
      </c>
      <c r="H116" s="14" t="str">
        <f>=IFERROR($B$14/$B$10,"")</f>
        <v/>
      </c>
      <c r="I116" s="15" t="str">
        <f>=IFERROR(G116/H116,"")</f>
        <v/>
      </c>
      <c r="J116" s="16" t="str">
        <f>=IF(F116="","",F116/3600)</f>
        <v/>
      </c>
      <c r="K116" s="11" t="str">
        <f>=IF(L116="","",IF(ISNUMBER(FIND("|",L116)),TRIM(LEFT(L116,FIND("|",L116)-1)),IF(ISNUMBER(MATCH(L116,Config!$F$1:$F$853,0)),L116,IFERROR(INDEX(Config!$F$1:$F$853,MATCH(L116,Config!$G$1:$G$853,0)),""))))</f>
        <v/>
      </c>
      <c r="L116" s="17" t="str">
        <f>=IFERROR(INDEX($L$17:L115,MATCH(C116,$C$17:C115,0)),"")</f>
        <v/>
      </c>
    </row>
    <row r="117" ht="18" customHeight="1" spans="1:12" x14ac:dyDescent="0.25">
      <c r="A117" s="10" t="s">
        <v>2</v>
      </c>
      <c r="B117" s="10" t="s">
        <v>2</v>
      </c>
      <c r="C117" s="10" t="s">
        <v>2</v>
      </c>
      <c r="D117" s="11" t="str">
        <f>=IF(E117="","",IF(ISNUMBER(FIND("|",E117)),TRIM(LEFT(E117,FIND("|",E117)-1)),IF(ISNUMBER(MATCH(E117,Config!$C$1:$C$311,0)),E117,IFERROR(INDEX(Config!$C$1:$C$311,MATCH(E117,Config!$D$1:$D$311,0)),""))))</f>
        <v>OP-0240</v>
      </c>
      <c r="E117" s="12" t="s">
        <v>128</v>
      </c>
      <c r="F117" s="13">
        <v>18</v>
      </c>
      <c r="G117" s="14" t="str">
        <f>=IF(C117="","",SUMIF($C$17:$C$502,C117,$F$17:$F$502))</f>
        <v/>
      </c>
      <c r="H117" s="14" t="str">
        <f>=IFERROR($B$14/$B$10,"")</f>
        <v/>
      </c>
      <c r="I117" s="15" t="str">
        <f>=IFERROR(G117/H117,"")</f>
        <v/>
      </c>
      <c r="J117" s="16" t="str">
        <f>=IF(F117="","",F117/3600)</f>
        <v/>
      </c>
      <c r="K117" s="11" t="str">
        <f>=IF(L117="","",IF(ISNUMBER(FIND("|",L117)),TRIM(LEFT(L117,FIND("|",L117)-1)),IF(ISNUMBER(MATCH(L117,Config!$F$1:$F$853,0)),L117,IFERROR(INDEX(Config!$F$1:$F$853,MATCH(L117,Config!$G$1:$G$853,0)),""))))</f>
        <v/>
      </c>
      <c r="L117" s="17" t="str">
        <f>=IFERROR(INDEX($L$17:L116,MATCH(C117,$C$17:C116,0)),"")</f>
        <v/>
      </c>
    </row>
    <row r="118" ht="18" customHeight="1" spans="1:12" x14ac:dyDescent="0.25">
      <c r="A118" s="10" t="s">
        <v>2</v>
      </c>
      <c r="B118" s="10" t="s">
        <v>2</v>
      </c>
      <c r="C118" s="10" t="s">
        <v>2</v>
      </c>
      <c r="D118" s="11" t="str">
        <f>=IF(E118="","",IF(ISNUMBER(FIND("|",E118)),TRIM(LEFT(E118,FIND("|",E118)-1)),IF(ISNUMBER(MATCH(E118,Config!$C$1:$C$311,0)),E118,IFERROR(INDEX(Config!$C$1:$C$311,MATCH(E118,Config!$D$1:$D$311,0)),""))))</f>
        <v>OP-0241</v>
      </c>
      <c r="E118" s="12" t="s">
        <v>129</v>
      </c>
      <c r="F118" s="13">
        <v>10</v>
      </c>
      <c r="G118" s="14" t="str">
        <f>=IF(C118="","",SUMIF($C$17:$C$502,C118,$F$17:$F$502))</f>
        <v/>
      </c>
      <c r="H118" s="14" t="str">
        <f>=IFERROR($B$14/$B$10,"")</f>
        <v/>
      </c>
      <c r="I118" s="15" t="str">
        <f>=IFERROR(G118/H118,"")</f>
        <v/>
      </c>
      <c r="J118" s="16" t="str">
        <f>=IF(F118="","",F118/3600)</f>
        <v/>
      </c>
      <c r="K118" s="11" t="str">
        <f>=IF(L118="","",IF(ISNUMBER(FIND("|",L118)),TRIM(LEFT(L118,FIND("|",L118)-1)),IF(ISNUMBER(MATCH(L118,Config!$F$1:$F$853,0)),L118,IFERROR(INDEX(Config!$F$1:$F$853,MATCH(L118,Config!$G$1:$G$853,0)),""))))</f>
        <v/>
      </c>
      <c r="L118" s="17" t="str">
        <f>=IFERROR(INDEX($L$17:L117,MATCH(C118,$C$17:C117,0)),"")</f>
        <v/>
      </c>
    </row>
    <row r="119" ht="18" customHeight="1" spans="1:12" x14ac:dyDescent="0.25">
      <c r="A119" s="10" t="s">
        <v>2</v>
      </c>
      <c r="B119" s="10" t="s">
        <v>2</v>
      </c>
      <c r="C119" s="10" t="s">
        <v>2</v>
      </c>
      <c r="D119" s="11" t="str">
        <f>=IF(E119="","",IF(ISNUMBER(FIND("|",E119)),TRIM(LEFT(E119,FIND("|",E119)-1)),IF(ISNUMBER(MATCH(E119,Config!$C$1:$C$311,0)),E119,IFERROR(INDEX(Config!$C$1:$C$311,MATCH(E119,Config!$D$1:$D$311,0)),""))))</f>
        <v>OP-0242</v>
      </c>
      <c r="E119" s="12" t="s">
        <v>130</v>
      </c>
      <c r="F119" s="13">
        <v>12</v>
      </c>
      <c r="G119" s="14" t="str">
        <f>=IF(C119="","",SUMIF($C$17:$C$502,C119,$F$17:$F$502))</f>
        <v/>
      </c>
      <c r="H119" s="14" t="str">
        <f>=IFERROR($B$14/$B$10,"")</f>
        <v/>
      </c>
      <c r="I119" s="15" t="str">
        <f>=IFERROR(G119/H119,"")</f>
        <v/>
      </c>
      <c r="J119" s="16" t="str">
        <f>=IF(F119="","",F119/3600)</f>
        <v/>
      </c>
      <c r="K119" s="11" t="str">
        <f>=IF(L119="","",IF(ISNUMBER(FIND("|",L119)),TRIM(LEFT(L119,FIND("|",L119)-1)),IF(ISNUMBER(MATCH(L119,Config!$F$1:$F$853,0)),L119,IFERROR(INDEX(Config!$F$1:$F$853,MATCH(L119,Config!$G$1:$G$853,0)),""))))</f>
        <v/>
      </c>
      <c r="L119" s="17" t="str">
        <f>=IFERROR(INDEX($L$17:L118,MATCH(C119,$C$17:C118,0)),"")</f>
        <v/>
      </c>
    </row>
    <row r="120" ht="18" customHeight="1" spans="1:12" x14ac:dyDescent="0.25">
      <c r="A120" s="10" t="s">
        <v>2</v>
      </c>
      <c r="B120" s="10" t="s">
        <v>2</v>
      </c>
      <c r="C120" s="10" t="s">
        <v>2</v>
      </c>
      <c r="D120" s="11" t="str">
        <f>=IF(E120="","",IF(ISNUMBER(FIND("|",E120)),TRIM(LEFT(E120,FIND("|",E120)-1)),IF(ISNUMBER(MATCH(E120,Config!$C$1:$C$311,0)),E120,IFERROR(INDEX(Config!$C$1:$C$311,MATCH(E120,Config!$D$1:$D$311,0)),""))))</f>
        <v>OP-0243</v>
      </c>
      <c r="E120" s="12" t="s">
        <v>131</v>
      </c>
      <c r="F120" s="13">
        <v>48</v>
      </c>
      <c r="G120" s="14" t="str">
        <f>=IF(C120="","",SUMIF($C$17:$C$502,C120,$F$17:$F$502))</f>
        <v/>
      </c>
      <c r="H120" s="14" t="str">
        <f>=IFERROR($B$14/$B$10,"")</f>
        <v/>
      </c>
      <c r="I120" s="15" t="str">
        <f>=IFERROR(G120/H120,"")</f>
        <v/>
      </c>
      <c r="J120" s="16" t="str">
        <f>=IF(F120="","",F120/3600)</f>
        <v/>
      </c>
      <c r="K120" s="11" t="str">
        <f>=IF(L120="","",IF(ISNUMBER(FIND("|",L120)),TRIM(LEFT(L120,FIND("|",L120)-1)),IF(ISNUMBER(MATCH(L120,Config!$F$1:$F$853,0)),L120,IFERROR(INDEX(Config!$F$1:$F$853,MATCH(L120,Config!$G$1:$G$853,0)),""))))</f>
        <v/>
      </c>
      <c r="L120" s="17" t="str">
        <f>=IFERROR(INDEX($L$17:L119,MATCH(C120,$C$17:C119,0)),"")</f>
        <v/>
      </c>
    </row>
    <row r="121" ht="18" customHeight="1" spans="1:12" x14ac:dyDescent="0.25">
      <c r="A121" s="10" t="s">
        <v>2</v>
      </c>
      <c r="B121" s="10" t="s">
        <v>2</v>
      </c>
      <c r="C121" s="10" t="s">
        <v>2</v>
      </c>
      <c r="D121" s="11" t="str">
        <f>=IF(E121="","",IF(ISNUMBER(FIND("|",E121)),TRIM(LEFT(E121,FIND("|",E121)-1)),IF(ISNUMBER(MATCH(E121,Config!$C$1:$C$311,0)),E121,IFERROR(INDEX(Config!$C$1:$C$311,MATCH(E121,Config!$D$1:$D$311,0)),""))))</f>
        <v>OP-0244</v>
      </c>
      <c r="E121" s="12" t="s">
        <v>132</v>
      </c>
      <c r="F121" s="13">
        <v>48</v>
      </c>
      <c r="G121" s="14" t="str">
        <f>=IF(C121="","",SUMIF($C$17:$C$502,C121,$F$17:$F$502))</f>
        <v/>
      </c>
      <c r="H121" s="14" t="str">
        <f>=IFERROR($B$14/$B$10,"")</f>
        <v/>
      </c>
      <c r="I121" s="15" t="str">
        <f>=IFERROR(G121/H121,"")</f>
        <v/>
      </c>
      <c r="J121" s="16" t="str">
        <f>=IF(F121="","",F121/3600)</f>
        <v/>
      </c>
      <c r="K121" s="11" t="str">
        <f>=IF(L121="","",IF(ISNUMBER(FIND("|",L121)),TRIM(LEFT(L121,FIND("|",L121)-1)),IF(ISNUMBER(MATCH(L121,Config!$F$1:$F$853,0)),L121,IFERROR(INDEX(Config!$F$1:$F$853,MATCH(L121,Config!$G$1:$G$853,0)),""))))</f>
        <v/>
      </c>
      <c r="L121" s="17" t="str">
        <f>=IFERROR(INDEX($L$17:L120,MATCH(C121,$C$17:C120,0)),"")</f>
        <v/>
      </c>
    </row>
    <row r="122" ht="18" customHeight="1" spans="1:12" x14ac:dyDescent="0.25">
      <c r="A122" s="10" t="s">
        <v>2</v>
      </c>
      <c r="B122" s="10" t="s">
        <v>2</v>
      </c>
      <c r="C122" s="10" t="s">
        <v>2</v>
      </c>
      <c r="D122" s="11" t="str">
        <f>=IF(E122="","",IF(ISNUMBER(FIND("|",E122)),TRIM(LEFT(E122,FIND("|",E122)-1)),IF(ISNUMBER(MATCH(E122,Config!$C$1:$C$311,0)),E122,IFERROR(INDEX(Config!$C$1:$C$311,MATCH(E122,Config!$D$1:$D$311,0)),""))))</f>
        <v>OP-0245</v>
      </c>
      <c r="E122" s="12" t="s">
        <v>133</v>
      </c>
      <c r="F122" s="13">
        <v>16</v>
      </c>
      <c r="G122" s="14" t="str">
        <f>=IF(C122="","",SUMIF($C$17:$C$502,C122,$F$17:$F$502))</f>
        <v/>
      </c>
      <c r="H122" s="14" t="str">
        <f>=IFERROR($B$14/$B$10,"")</f>
        <v/>
      </c>
      <c r="I122" s="15" t="str">
        <f>=IFERROR(G122/H122,"")</f>
        <v/>
      </c>
      <c r="J122" s="16" t="str">
        <f>=IF(F122="","",F122/3600)</f>
        <v/>
      </c>
      <c r="K122" s="11" t="str">
        <f>=IF(L122="","",IF(ISNUMBER(FIND("|",L122)),TRIM(LEFT(L122,FIND("|",L122)-1)),IF(ISNUMBER(MATCH(L122,Config!$F$1:$F$853,0)),L122,IFERROR(INDEX(Config!$F$1:$F$853,MATCH(L122,Config!$G$1:$G$853,0)),""))))</f>
        <v/>
      </c>
      <c r="L122" s="17" t="str">
        <f>=IFERROR(INDEX($L$17:L121,MATCH(C122,$C$17:C121,0)),"")</f>
        <v/>
      </c>
    </row>
    <row r="123" ht="18" customHeight="1" spans="1:12" x14ac:dyDescent="0.25">
      <c r="A123" s="10" t="s">
        <v>2</v>
      </c>
      <c r="B123" s="10" t="s">
        <v>2</v>
      </c>
      <c r="C123" s="10" t="s">
        <v>2</v>
      </c>
      <c r="D123" s="11" t="str">
        <f>=IF(E123="","",IF(ISNUMBER(FIND("|",E123)),TRIM(LEFT(E123,FIND("|",E123)-1)),IF(ISNUMBER(MATCH(E123,Config!$C$1:$C$311,0)),E123,IFERROR(INDEX(Config!$C$1:$C$311,MATCH(E123,Config!$D$1:$D$311,0)),""))))</f>
        <v>OP-0246</v>
      </c>
      <c r="E123" s="12" t="s">
        <v>134</v>
      </c>
      <c r="F123" s="13">
        <v>36</v>
      </c>
      <c r="G123" s="14" t="str">
        <f>=IF(C123="","",SUMIF($C$17:$C$502,C123,$F$17:$F$502))</f>
        <v/>
      </c>
      <c r="H123" s="14" t="str">
        <f>=IFERROR($B$14/$B$10,"")</f>
        <v/>
      </c>
      <c r="I123" s="15" t="str">
        <f>=IFERROR(G123/H123,"")</f>
        <v/>
      </c>
      <c r="J123" s="16" t="str">
        <f>=IF(F123="","",F123/3600)</f>
        <v/>
      </c>
      <c r="K123" s="11" t="str">
        <f>=IF(L123="","",IF(ISNUMBER(FIND("|",L123)),TRIM(LEFT(L123,FIND("|",L123)-1)),IF(ISNUMBER(MATCH(L123,Config!$F$1:$F$853,0)),L123,IFERROR(INDEX(Config!$F$1:$F$853,MATCH(L123,Config!$G$1:$G$853,0)),""))))</f>
        <v/>
      </c>
      <c r="L123" s="17" t="str">
        <f>=IFERROR(INDEX($L$17:L122,MATCH(C123,$C$17:C122,0)),"")</f>
        <v/>
      </c>
    </row>
    <row r="124" ht="18" customHeight="1" spans="1:12" x14ac:dyDescent="0.25">
      <c r="A124" s="10" t="s">
        <v>2</v>
      </c>
      <c r="B124" s="10" t="s">
        <v>2</v>
      </c>
      <c r="C124" s="10" t="s">
        <v>2</v>
      </c>
      <c r="D124" s="11" t="str">
        <f>=IF(E124="","",IF(ISNUMBER(FIND("|",E124)),TRIM(LEFT(E124,FIND("|",E124)-1)),IF(ISNUMBER(MATCH(E124,Config!$C$1:$C$311,0)),E124,IFERROR(INDEX(Config!$C$1:$C$311,MATCH(E124,Config!$D$1:$D$311,0)),""))))</f>
        <v>OP-0247</v>
      </c>
      <c r="E124" s="12" t="s">
        <v>135</v>
      </c>
      <c r="F124" s="13">
        <v>28</v>
      </c>
      <c r="G124" s="14" t="str">
        <f>=IF(C124="","",SUMIF($C$17:$C$502,C124,$F$17:$F$502))</f>
        <v/>
      </c>
      <c r="H124" s="14" t="str">
        <f>=IFERROR($B$14/$B$10,"")</f>
        <v/>
      </c>
      <c r="I124" s="15" t="str">
        <f>=IFERROR(G124/H124,"")</f>
        <v/>
      </c>
      <c r="J124" s="16" t="str">
        <f>=IF(F124="","",F124/3600)</f>
        <v/>
      </c>
      <c r="K124" s="11" t="str">
        <f>=IF(L124="","",IF(ISNUMBER(FIND("|",L124)),TRIM(LEFT(L124,FIND("|",L124)-1)),IF(ISNUMBER(MATCH(L124,Config!$F$1:$F$853,0)),L124,IFERROR(INDEX(Config!$F$1:$F$853,MATCH(L124,Config!$G$1:$G$853,0)),""))))</f>
        <v/>
      </c>
      <c r="L124" s="17" t="str">
        <f>=IFERROR(INDEX($L$17:L123,MATCH(C124,$C$17:C123,0)),"")</f>
        <v/>
      </c>
    </row>
    <row r="125" ht="18" customHeight="1" spans="1:12" x14ac:dyDescent="0.25">
      <c r="A125" s="10" t="s">
        <v>2</v>
      </c>
      <c r="B125" s="10" t="s">
        <v>2</v>
      </c>
      <c r="C125" s="10" t="s">
        <v>2</v>
      </c>
      <c r="D125" s="11" t="str">
        <f>=IF(E125="","",IF(ISNUMBER(FIND("|",E125)),TRIM(LEFT(E125,FIND("|",E125)-1)),IF(ISNUMBER(MATCH(E125,Config!$C$1:$C$311,0)),E125,IFERROR(INDEX(Config!$C$1:$C$311,MATCH(E125,Config!$D$1:$D$311,0)),""))))</f>
        <v>OP-0248</v>
      </c>
      <c r="E125" s="12" t="s">
        <v>136</v>
      </c>
      <c r="F125" s="13">
        <v>5</v>
      </c>
      <c r="G125" s="14" t="str">
        <f>=IF(C125="","",SUMIF($C$17:$C$502,C125,$F$17:$F$502))</f>
        <v/>
      </c>
      <c r="H125" s="14" t="str">
        <f>=IFERROR($B$14/$B$10,"")</f>
        <v/>
      </c>
      <c r="I125" s="15" t="str">
        <f>=IFERROR(G125/H125,"")</f>
        <v/>
      </c>
      <c r="J125" s="16" t="str">
        <f>=IF(F125="","",F125/3600)</f>
        <v/>
      </c>
      <c r="K125" s="11" t="str">
        <f>=IF(L125="","",IF(ISNUMBER(FIND("|",L125)),TRIM(LEFT(L125,FIND("|",L125)-1)),IF(ISNUMBER(MATCH(L125,Config!$F$1:$F$853,0)),L125,IFERROR(INDEX(Config!$F$1:$F$853,MATCH(L125,Config!$G$1:$G$853,0)),""))))</f>
        <v/>
      </c>
      <c r="L125" s="17" t="str">
        <f>=IFERROR(INDEX($L$17:L124,MATCH(C125,$C$17:C124,0)),"")</f>
        <v/>
      </c>
    </row>
    <row r="126" ht="18" customHeight="1" spans="1:12" x14ac:dyDescent="0.25">
      <c r="A126" s="10" t="s">
        <v>2</v>
      </c>
      <c r="B126" s="10" t="s">
        <v>2</v>
      </c>
      <c r="C126" s="10" t="s">
        <v>2</v>
      </c>
      <c r="D126" s="11" t="str">
        <f>=IF(E126="","",IF(ISNUMBER(FIND("|",E126)),TRIM(LEFT(E126,FIND("|",E126)-1)),IF(ISNUMBER(MATCH(E126,Config!$C$1:$C$311,0)),E126,IFERROR(INDEX(Config!$C$1:$C$311,MATCH(E126,Config!$D$1:$D$311,0)),""))))</f>
        <v>OP-0249</v>
      </c>
      <c r="E126" s="12" t="s">
        <v>137</v>
      </c>
      <c r="F126" s="13">
        <v>5</v>
      </c>
      <c r="G126" s="14" t="str">
        <f>=IF(C126="","",SUMIF($C$17:$C$502,C126,$F$17:$F$502))</f>
        <v/>
      </c>
      <c r="H126" s="14" t="str">
        <f>=IFERROR($B$14/$B$10,"")</f>
        <v/>
      </c>
      <c r="I126" s="15" t="str">
        <f>=IFERROR(G126/H126,"")</f>
        <v/>
      </c>
      <c r="J126" s="16" t="str">
        <f>=IF(F126="","",F126/3600)</f>
        <v/>
      </c>
      <c r="K126" s="11" t="str">
        <f>=IF(L126="","",IF(ISNUMBER(FIND("|",L126)),TRIM(LEFT(L126,FIND("|",L126)-1)),IF(ISNUMBER(MATCH(L126,Config!$F$1:$F$853,0)),L126,IFERROR(INDEX(Config!$F$1:$F$853,MATCH(L126,Config!$G$1:$G$853,0)),""))))</f>
        <v/>
      </c>
      <c r="L126" s="17" t="str">
        <f>=IFERROR(INDEX($L$17:L125,MATCH(C126,$C$17:C125,0)),"")</f>
        <v/>
      </c>
    </row>
    <row r="127" ht="18" customHeight="1" spans="1:12" x14ac:dyDescent="0.25">
      <c r="A127" s="10" t="s">
        <v>2</v>
      </c>
      <c r="B127" s="10" t="s">
        <v>2</v>
      </c>
      <c r="C127" s="10" t="s">
        <v>2</v>
      </c>
      <c r="D127" s="11" t="str">
        <f>=IF(E127="","",IF(ISNUMBER(FIND("|",E127)),TRIM(LEFT(E127,FIND("|",E127)-1)),IF(ISNUMBER(MATCH(E127,Config!$C$1:$C$311,0)),E127,IFERROR(INDEX(Config!$C$1:$C$311,MATCH(E127,Config!$D$1:$D$311,0)),""))))</f>
        <v>OP-0250</v>
      </c>
      <c r="E127" s="12" t="s">
        <v>138</v>
      </c>
      <c r="F127" s="13">
        <v>14</v>
      </c>
      <c r="G127" s="14" t="str">
        <f>=IF(C127="","",SUMIF($C$17:$C$502,C127,$F$17:$F$502))</f>
        <v/>
      </c>
      <c r="H127" s="14" t="str">
        <f>=IFERROR($B$14/$B$10,"")</f>
        <v/>
      </c>
      <c r="I127" s="15" t="str">
        <f>=IFERROR(G127/H127,"")</f>
        <v/>
      </c>
      <c r="J127" s="16" t="str">
        <f>=IF(F127="","",F127/3600)</f>
        <v/>
      </c>
      <c r="K127" s="11" t="str">
        <f>=IF(L127="","",IF(ISNUMBER(FIND("|",L127)),TRIM(LEFT(L127,FIND("|",L127)-1)),IF(ISNUMBER(MATCH(L127,Config!$F$1:$F$853,0)),L127,IFERROR(INDEX(Config!$F$1:$F$853,MATCH(L127,Config!$G$1:$G$853,0)),""))))</f>
        <v/>
      </c>
      <c r="L127" s="17" t="str">
        <f>=IFERROR(INDEX($L$17:L126,MATCH(C127,$C$17:C126,0)),"")</f>
        <v/>
      </c>
    </row>
    <row r="128" ht="18" customHeight="1" spans="1:12" x14ac:dyDescent="0.25">
      <c r="A128" s="10" t="s">
        <v>2</v>
      </c>
      <c r="B128" s="10" t="s">
        <v>2</v>
      </c>
      <c r="C128" s="10" t="s">
        <v>2</v>
      </c>
      <c r="D128" s="11" t="str">
        <f>=IF(E128="","",IF(ISNUMBER(FIND("|",E128)),TRIM(LEFT(E128,FIND("|",E128)-1)),IF(ISNUMBER(MATCH(E128,Config!$C$1:$C$311,0)),E128,IFERROR(INDEX(Config!$C$1:$C$311,MATCH(E128,Config!$D$1:$D$311,0)),""))))</f>
        <v>OP-0251</v>
      </c>
      <c r="E128" s="12" t="s">
        <v>139</v>
      </c>
      <c r="F128" s="13">
        <v>14</v>
      </c>
      <c r="G128" s="14" t="str">
        <f>=IF(C128="","",SUMIF($C$17:$C$502,C128,$F$17:$F$502))</f>
        <v/>
      </c>
      <c r="H128" s="14" t="str">
        <f>=IFERROR($B$14/$B$10,"")</f>
        <v/>
      </c>
      <c r="I128" s="15" t="str">
        <f>=IFERROR(G128/H128,"")</f>
        <v/>
      </c>
      <c r="J128" s="16" t="str">
        <f>=IF(F128="","",F128/3600)</f>
        <v/>
      </c>
      <c r="K128" s="11" t="str">
        <f>=IF(L128="","",IF(ISNUMBER(FIND("|",L128)),TRIM(LEFT(L128,FIND("|",L128)-1)),IF(ISNUMBER(MATCH(L128,Config!$F$1:$F$853,0)),L128,IFERROR(INDEX(Config!$F$1:$F$853,MATCH(L128,Config!$G$1:$G$853,0)),""))))</f>
        <v/>
      </c>
      <c r="L128" s="17" t="str">
        <f>=IFERROR(INDEX($L$17:L127,MATCH(C128,$C$17:C127,0)),"")</f>
        <v/>
      </c>
    </row>
    <row r="129" ht="18" customHeight="1" spans="1:12" x14ac:dyDescent="0.25">
      <c r="A129" s="10" t="s">
        <v>2</v>
      </c>
      <c r="B129" s="10" t="s">
        <v>2</v>
      </c>
      <c r="C129" s="10" t="s">
        <v>2</v>
      </c>
      <c r="D129" s="11" t="str">
        <f>=IF(E129="","",IF(ISNUMBER(FIND("|",E129)),TRIM(LEFT(E129,FIND("|",E129)-1)),IF(ISNUMBER(MATCH(E129,Config!$C$1:$C$311,0)),E129,IFERROR(INDEX(Config!$C$1:$C$311,MATCH(E129,Config!$D$1:$D$311,0)),""))))</f>
        <v>OP-0252</v>
      </c>
      <c r="E129" s="12" t="s">
        <v>140</v>
      </c>
      <c r="F129" s="13">
        <v>16</v>
      </c>
      <c r="G129" s="14" t="str">
        <f>=IF(C129="","",SUMIF($C$17:$C$502,C129,$F$17:$F$502))</f>
        <v/>
      </c>
      <c r="H129" s="14" t="str">
        <f>=IFERROR($B$14/$B$10,"")</f>
        <v/>
      </c>
      <c r="I129" s="15" t="str">
        <f>=IFERROR(G129/H129,"")</f>
        <v/>
      </c>
      <c r="J129" s="16" t="str">
        <f>=IF(F129="","",F129/3600)</f>
        <v/>
      </c>
      <c r="K129" s="11" t="str">
        <f>=IF(L129="","",IF(ISNUMBER(FIND("|",L129)),TRIM(LEFT(L129,FIND("|",L129)-1)),IF(ISNUMBER(MATCH(L129,Config!$F$1:$F$853,0)),L129,IFERROR(INDEX(Config!$F$1:$F$853,MATCH(L129,Config!$G$1:$G$853,0)),""))))</f>
        <v/>
      </c>
      <c r="L129" s="17" t="str">
        <f>=IFERROR(INDEX($L$17:L128,MATCH(C129,$C$17:C128,0)),"")</f>
        <v/>
      </c>
    </row>
    <row r="130" ht="18" customHeight="1" spans="1:12" x14ac:dyDescent="0.25">
      <c r="A130" s="10" t="s">
        <v>2</v>
      </c>
      <c r="B130" s="10" t="s">
        <v>2</v>
      </c>
      <c r="C130" s="10" t="s">
        <v>2</v>
      </c>
      <c r="D130" s="11" t="str">
        <f>=IF(E130="","",IF(ISNUMBER(FIND("|",E130)),TRIM(LEFT(E130,FIND("|",E130)-1)),IF(ISNUMBER(MATCH(E130,Config!$C$1:$C$311,0)),E130,IFERROR(INDEX(Config!$C$1:$C$311,MATCH(E130,Config!$D$1:$D$311,0)),""))))</f>
        <v>OP-0253</v>
      </c>
      <c r="E130" s="12" t="s">
        <v>141</v>
      </c>
      <c r="F130" s="13">
        <v>28</v>
      </c>
      <c r="G130" s="14" t="str">
        <f>=IF(C130="","",SUMIF($C$17:$C$502,C130,$F$17:$F$502))</f>
        <v/>
      </c>
      <c r="H130" s="14" t="str">
        <f>=IFERROR($B$14/$B$10,"")</f>
        <v/>
      </c>
      <c r="I130" s="15" t="str">
        <f>=IFERROR(G130/H130,"")</f>
        <v/>
      </c>
      <c r="J130" s="16" t="str">
        <f>=IF(F130="","",F130/3600)</f>
        <v/>
      </c>
      <c r="K130" s="11" t="str">
        <f>=IF(L130="","",IF(ISNUMBER(FIND("|",L130)),TRIM(LEFT(L130,FIND("|",L130)-1)),IF(ISNUMBER(MATCH(L130,Config!$F$1:$F$853,0)),L130,IFERROR(INDEX(Config!$F$1:$F$853,MATCH(L130,Config!$G$1:$G$853,0)),""))))</f>
        <v/>
      </c>
      <c r="L130" s="17" t="str">
        <f>=IFERROR(INDEX($L$17:L129,MATCH(C130,$C$17:C129,0)),"")</f>
        <v/>
      </c>
    </row>
    <row r="131" ht="18" customHeight="1" spans="1:12" x14ac:dyDescent="0.25">
      <c r="A131" s="10" t="s">
        <v>2</v>
      </c>
      <c r="B131" s="10" t="s">
        <v>2</v>
      </c>
      <c r="C131" s="10" t="s">
        <v>2</v>
      </c>
      <c r="D131" s="11" t="str">
        <f>=IF(E131="","",IF(ISNUMBER(FIND("|",E131)),TRIM(LEFT(E131,FIND("|",E131)-1)),IF(ISNUMBER(MATCH(E131,Config!$C$1:$C$311,0)),E131,IFERROR(INDEX(Config!$C$1:$C$311,MATCH(E131,Config!$D$1:$D$311,0)),""))))</f>
        <v>OP-0254</v>
      </c>
      <c r="E131" s="12" t="s">
        <v>142</v>
      </c>
      <c r="F131" s="13">
        <v>12</v>
      </c>
      <c r="G131" s="14" t="str">
        <f>=IF(C131="","",SUMIF($C$17:$C$502,C131,$F$17:$F$502))</f>
        <v/>
      </c>
      <c r="H131" s="14" t="str">
        <f>=IFERROR($B$14/$B$10,"")</f>
        <v/>
      </c>
      <c r="I131" s="15" t="str">
        <f>=IFERROR(G131/H131,"")</f>
        <v/>
      </c>
      <c r="J131" s="16" t="str">
        <f>=IF(F131="","",F131/3600)</f>
        <v/>
      </c>
      <c r="K131" s="11" t="str">
        <f>=IF(L131="","",IF(ISNUMBER(FIND("|",L131)),TRIM(LEFT(L131,FIND("|",L131)-1)),IF(ISNUMBER(MATCH(L131,Config!$F$1:$F$853,0)),L131,IFERROR(INDEX(Config!$F$1:$F$853,MATCH(L131,Config!$G$1:$G$853,0)),""))))</f>
        <v/>
      </c>
      <c r="L131" s="17" t="str">
        <f>=IFERROR(INDEX($L$17:L130,MATCH(C131,$C$17:C130,0)),"")</f>
        <v/>
      </c>
    </row>
    <row r="132" ht="18" customHeight="1" spans="1:12" x14ac:dyDescent="0.25">
      <c r="A132" s="10" t="s">
        <v>2</v>
      </c>
      <c r="B132" s="10" t="s">
        <v>2</v>
      </c>
      <c r="C132" s="10" t="s">
        <v>2</v>
      </c>
      <c r="D132" s="11" t="str">
        <f>=IF(E132="","",IF(ISNUMBER(FIND("|",E132)),TRIM(LEFT(E132,FIND("|",E132)-1)),IF(ISNUMBER(MATCH(E132,Config!$C$1:$C$311,0)),E132,IFERROR(INDEX(Config!$C$1:$C$311,MATCH(E132,Config!$D$1:$D$311,0)),""))))</f>
        <v>OP-0255</v>
      </c>
      <c r="E132" s="12" t="s">
        <v>143</v>
      </c>
      <c r="F132" s="13">
        <v>18</v>
      </c>
      <c r="G132" s="14" t="str">
        <f>=IF(C132="","",SUMIF($C$17:$C$502,C132,$F$17:$F$502))</f>
        <v/>
      </c>
      <c r="H132" s="14" t="str">
        <f>=IFERROR($B$14/$B$10,"")</f>
        <v/>
      </c>
      <c r="I132" s="15" t="str">
        <f>=IFERROR(G132/H132,"")</f>
        <v/>
      </c>
      <c r="J132" s="16" t="str">
        <f>=IF(F132="","",F132/3600)</f>
        <v/>
      </c>
      <c r="K132" s="11" t="str">
        <f>=IF(L132="","",IF(ISNUMBER(FIND("|",L132)),TRIM(LEFT(L132,FIND("|",L132)-1)),IF(ISNUMBER(MATCH(L132,Config!$F$1:$F$853,0)),L132,IFERROR(INDEX(Config!$F$1:$F$853,MATCH(L132,Config!$G$1:$G$853,0)),""))))</f>
        <v/>
      </c>
      <c r="L132" s="17" t="str">
        <f>=IFERROR(INDEX($L$17:L131,MATCH(C132,$C$17:C131,0)),"")</f>
        <v/>
      </c>
    </row>
    <row r="133" ht="18" customHeight="1" spans="1:12" x14ac:dyDescent="0.25">
      <c r="A133" s="10" t="s">
        <v>2</v>
      </c>
      <c r="B133" s="10" t="s">
        <v>2</v>
      </c>
      <c r="C133" s="10" t="s">
        <v>2</v>
      </c>
      <c r="D133" s="11" t="str">
        <f>=IF(E133="","",IF(ISNUMBER(FIND("|",E133)),TRIM(LEFT(E133,FIND("|",E133)-1)),IF(ISNUMBER(MATCH(E133,Config!$C$1:$C$311,0)),E133,IFERROR(INDEX(Config!$C$1:$C$311,MATCH(E133,Config!$D$1:$D$311,0)),""))))</f>
        <v>OP-0256</v>
      </c>
      <c r="E133" s="12" t="s">
        <v>144</v>
      </c>
      <c r="F133" s="13">
        <v>18</v>
      </c>
      <c r="G133" s="14" t="str">
        <f>=IF(C133="","",SUMIF($C$17:$C$502,C133,$F$17:$F$502))</f>
        <v/>
      </c>
      <c r="H133" s="14" t="str">
        <f>=IFERROR($B$14/$B$10,"")</f>
        <v/>
      </c>
      <c r="I133" s="15" t="str">
        <f>=IFERROR(G133/H133,"")</f>
        <v/>
      </c>
      <c r="J133" s="16" t="str">
        <f>=IF(F133="","",F133/3600)</f>
        <v/>
      </c>
      <c r="K133" s="11" t="str">
        <f>=IF(L133="","",IF(ISNUMBER(FIND("|",L133)),TRIM(LEFT(L133,FIND("|",L133)-1)),IF(ISNUMBER(MATCH(L133,Config!$F$1:$F$853,0)),L133,IFERROR(INDEX(Config!$F$1:$F$853,MATCH(L133,Config!$G$1:$G$853,0)),""))))</f>
        <v/>
      </c>
      <c r="L133" s="17" t="str">
        <f>=IFERROR(INDEX($L$17:L132,MATCH(C133,$C$17:C132,0)),"")</f>
        <v/>
      </c>
    </row>
    <row r="134" ht="18" customHeight="1" spans="1:12" x14ac:dyDescent="0.25">
      <c r="A134" s="10" t="s">
        <v>2</v>
      </c>
      <c r="B134" s="10" t="s">
        <v>2</v>
      </c>
      <c r="C134" s="10" t="s">
        <v>2</v>
      </c>
      <c r="D134" s="11" t="str">
        <f>=IF(E134="","",IF(ISNUMBER(FIND("|",E134)),TRIM(LEFT(E134,FIND("|",E134)-1)),IF(ISNUMBER(MATCH(E134,Config!$C$1:$C$311,0)),E134,IFERROR(INDEX(Config!$C$1:$C$311,MATCH(E134,Config!$D$1:$D$311,0)),""))))</f>
        <v>OP-0257</v>
      </c>
      <c r="E134" s="12" t="s">
        <v>145</v>
      </c>
      <c r="F134" s="13">
        <v>10</v>
      </c>
      <c r="G134" s="14" t="str">
        <f>=IF(C134="","",SUMIF($C$17:$C$502,C134,$F$17:$F$502))</f>
        <v/>
      </c>
      <c r="H134" s="14" t="str">
        <f>=IFERROR($B$14/$B$10,"")</f>
        <v/>
      </c>
      <c r="I134" s="15" t="str">
        <f>=IFERROR(G134/H134,"")</f>
        <v/>
      </c>
      <c r="J134" s="16" t="str">
        <f>=IF(F134="","",F134/3600)</f>
        <v/>
      </c>
      <c r="K134" s="11" t="str">
        <f>=IF(L134="","",IF(ISNUMBER(FIND("|",L134)),TRIM(LEFT(L134,FIND("|",L134)-1)),IF(ISNUMBER(MATCH(L134,Config!$F$1:$F$853,0)),L134,IFERROR(INDEX(Config!$F$1:$F$853,MATCH(L134,Config!$G$1:$G$853,0)),""))))</f>
        <v/>
      </c>
      <c r="L134" s="17" t="str">
        <f>=IFERROR(INDEX($L$17:L133,MATCH(C134,$C$17:C133,0)),"")</f>
        <v/>
      </c>
    </row>
    <row r="135" ht="18" customHeight="1" spans="1:12" x14ac:dyDescent="0.25">
      <c r="A135" s="10" t="s">
        <v>2</v>
      </c>
      <c r="B135" s="10" t="s">
        <v>2</v>
      </c>
      <c r="C135" s="10" t="s">
        <v>2</v>
      </c>
      <c r="D135" s="11" t="str">
        <f>=IF(E135="","",IF(ISNUMBER(FIND("|",E135)),TRIM(LEFT(E135,FIND("|",E135)-1)),IF(ISNUMBER(MATCH(E135,Config!$C$1:$C$311,0)),E135,IFERROR(INDEX(Config!$C$1:$C$311,MATCH(E135,Config!$D$1:$D$311,0)),""))))</f>
        <v>OP-0258</v>
      </c>
      <c r="E135" s="12" t="s">
        <v>146</v>
      </c>
      <c r="F135" s="13">
        <v>12</v>
      </c>
      <c r="G135" s="14" t="str">
        <f>=IF(C135="","",SUMIF($C$17:$C$502,C135,$F$17:$F$502))</f>
        <v/>
      </c>
      <c r="H135" s="14" t="str">
        <f>=IFERROR($B$14/$B$10,"")</f>
        <v/>
      </c>
      <c r="I135" s="15" t="str">
        <f>=IFERROR(G135/H135,"")</f>
        <v/>
      </c>
      <c r="J135" s="16" t="str">
        <f>=IF(F135="","",F135/3600)</f>
        <v/>
      </c>
      <c r="K135" s="11" t="str">
        <f>=IF(L135="","",IF(ISNUMBER(FIND("|",L135)),TRIM(LEFT(L135,FIND("|",L135)-1)),IF(ISNUMBER(MATCH(L135,Config!$F$1:$F$853,0)),L135,IFERROR(INDEX(Config!$F$1:$F$853,MATCH(L135,Config!$G$1:$G$853,0)),""))))</f>
        <v/>
      </c>
      <c r="L135" s="17" t="str">
        <f>=IFERROR(INDEX($L$17:L134,MATCH(C135,$C$17:C134,0)),"")</f>
        <v/>
      </c>
    </row>
    <row r="136" ht="18" customHeight="1" spans="1:12" x14ac:dyDescent="0.25">
      <c r="A136" s="10" t="s">
        <v>2</v>
      </c>
      <c r="B136" s="10" t="s">
        <v>2</v>
      </c>
      <c r="C136" s="10" t="s">
        <v>2</v>
      </c>
      <c r="D136" s="11" t="str">
        <f>=IF(E136="","",IF(ISNUMBER(FIND("|",E136)),TRIM(LEFT(E136,FIND("|",E136)-1)),IF(ISNUMBER(MATCH(E136,Config!$C$1:$C$311,0)),E136,IFERROR(INDEX(Config!$C$1:$C$311,MATCH(E136,Config!$D$1:$D$311,0)),""))))</f>
        <v>OP-0259</v>
      </c>
      <c r="E136" s="12" t="s">
        <v>147</v>
      </c>
      <c r="F136" s="13">
        <v>24</v>
      </c>
      <c r="G136" s="14" t="str">
        <f>=IF(C136="","",SUMIF($C$17:$C$502,C136,$F$17:$F$502))</f>
        <v/>
      </c>
      <c r="H136" s="14" t="str">
        <f>=IFERROR($B$14/$B$10,"")</f>
        <v/>
      </c>
      <c r="I136" s="15" t="str">
        <f>=IFERROR(G136/H136,"")</f>
        <v/>
      </c>
      <c r="J136" s="16" t="str">
        <f>=IF(F136="","",F136/3600)</f>
        <v/>
      </c>
      <c r="K136" s="11" t="str">
        <f>=IF(L136="","",IF(ISNUMBER(FIND("|",L136)),TRIM(LEFT(L136,FIND("|",L136)-1)),IF(ISNUMBER(MATCH(L136,Config!$F$1:$F$853,0)),L136,IFERROR(INDEX(Config!$F$1:$F$853,MATCH(L136,Config!$G$1:$G$853,0)),""))))</f>
        <v/>
      </c>
      <c r="L136" s="17" t="str">
        <f>=IFERROR(INDEX($L$17:L135,MATCH(C136,$C$17:C135,0)),"")</f>
        <v/>
      </c>
    </row>
    <row r="137" ht="18" customHeight="1" spans="1:12" x14ac:dyDescent="0.25">
      <c r="A137" s="10" t="s">
        <v>2</v>
      </c>
      <c r="B137" s="10" t="s">
        <v>2</v>
      </c>
      <c r="C137" s="10" t="s">
        <v>2</v>
      </c>
      <c r="D137" s="11" t="str">
        <f>=IF(E137="","",IF(ISNUMBER(FIND("|",E137)),TRIM(LEFT(E137,FIND("|",E137)-1)),IF(ISNUMBER(MATCH(E137,Config!$C$1:$C$311,0)),E137,IFERROR(INDEX(Config!$C$1:$C$311,MATCH(E137,Config!$D$1:$D$311,0)),""))))</f>
        <v>OP-0260</v>
      </c>
      <c r="E137" s="12" t="s">
        <v>148</v>
      </c>
      <c r="F137" s="13">
        <v>14</v>
      </c>
      <c r="G137" s="14" t="str">
        <f>=IF(C137="","",SUMIF($C$17:$C$502,C137,$F$17:$F$502))</f>
        <v/>
      </c>
      <c r="H137" s="14" t="str">
        <f>=IFERROR($B$14/$B$10,"")</f>
        <v/>
      </c>
      <c r="I137" s="15" t="str">
        <f>=IFERROR(G137/H137,"")</f>
        <v/>
      </c>
      <c r="J137" s="16" t="str">
        <f>=IF(F137="","",F137/3600)</f>
        <v/>
      </c>
      <c r="K137" s="11" t="str">
        <f>=IF(L137="","",IF(ISNUMBER(FIND("|",L137)),TRIM(LEFT(L137,FIND("|",L137)-1)),IF(ISNUMBER(MATCH(L137,Config!$F$1:$F$853,0)),L137,IFERROR(INDEX(Config!$F$1:$F$853,MATCH(L137,Config!$G$1:$G$853,0)),""))))</f>
        <v/>
      </c>
      <c r="L137" s="17" t="str">
        <f>=IFERROR(INDEX($L$17:L136,MATCH(C137,$C$17:C136,0)),"")</f>
        <v/>
      </c>
    </row>
    <row r="138" ht="18" customHeight="1" spans="1:12" x14ac:dyDescent="0.25">
      <c r="A138" s="10" t="s">
        <v>2</v>
      </c>
      <c r="B138" s="10" t="s">
        <v>2</v>
      </c>
      <c r="C138" s="10" t="s">
        <v>2</v>
      </c>
      <c r="D138" s="11" t="str">
        <f>=IF(E138="","",IF(ISNUMBER(FIND("|",E138)),TRIM(LEFT(E138,FIND("|",E138)-1)),IF(ISNUMBER(MATCH(E138,Config!$C$1:$C$311,0)),E138,IFERROR(INDEX(Config!$C$1:$C$311,MATCH(E138,Config!$D$1:$D$311,0)),""))))</f>
        <v>OP-0261</v>
      </c>
      <c r="E138" s="12" t="s">
        <v>149</v>
      </c>
      <c r="F138" s="13">
        <v>24</v>
      </c>
      <c r="G138" s="14" t="str">
        <f>=IF(C138="","",SUMIF($C$17:$C$502,C138,$F$17:$F$502))</f>
        <v/>
      </c>
      <c r="H138" s="14" t="str">
        <f>=IFERROR($B$14/$B$10,"")</f>
        <v/>
      </c>
      <c r="I138" s="15" t="str">
        <f>=IFERROR(G138/H138,"")</f>
        <v/>
      </c>
      <c r="J138" s="16" t="str">
        <f>=IF(F138="","",F138/3600)</f>
        <v/>
      </c>
      <c r="K138" s="11" t="str">
        <f>=IF(L138="","",IF(ISNUMBER(FIND("|",L138)),TRIM(LEFT(L138,FIND("|",L138)-1)),IF(ISNUMBER(MATCH(L138,Config!$F$1:$F$853,0)),L138,IFERROR(INDEX(Config!$F$1:$F$853,MATCH(L138,Config!$G$1:$G$853,0)),""))))</f>
        <v/>
      </c>
      <c r="L138" s="17" t="str">
        <f>=IFERROR(INDEX($L$17:L137,MATCH(C138,$C$17:C137,0)),"")</f>
        <v/>
      </c>
    </row>
    <row r="139" ht="18" customHeight="1" spans="1:12" x14ac:dyDescent="0.25">
      <c r="A139" s="10" t="s">
        <v>2</v>
      </c>
      <c r="B139" s="10" t="s">
        <v>2</v>
      </c>
      <c r="C139" s="10" t="s">
        <v>2</v>
      </c>
      <c r="D139" s="11" t="str">
        <f>=IF(E139="","",IF(ISNUMBER(FIND("|",E139)),TRIM(LEFT(E139,FIND("|",E139)-1)),IF(ISNUMBER(MATCH(E139,Config!$C$1:$C$311,0)),E139,IFERROR(INDEX(Config!$C$1:$C$311,MATCH(E139,Config!$D$1:$D$311,0)),""))))</f>
        <v>OP-0262</v>
      </c>
      <c r="E139" s="12" t="s">
        <v>150</v>
      </c>
      <c r="F139" s="13">
        <v>18</v>
      </c>
      <c r="G139" s="14" t="str">
        <f>=IF(C139="","",SUMIF($C$17:$C$502,C139,$F$17:$F$502))</f>
        <v/>
      </c>
      <c r="H139" s="14" t="str">
        <f>=IFERROR($B$14/$B$10,"")</f>
        <v/>
      </c>
      <c r="I139" s="15" t="str">
        <f>=IFERROR(G139/H139,"")</f>
        <v/>
      </c>
      <c r="J139" s="16" t="str">
        <f>=IF(F139="","",F139/3600)</f>
        <v/>
      </c>
      <c r="K139" s="11" t="str">
        <f>=IF(L139="","",IF(ISNUMBER(FIND("|",L139)),TRIM(LEFT(L139,FIND("|",L139)-1)),IF(ISNUMBER(MATCH(L139,Config!$F$1:$F$853,0)),L139,IFERROR(INDEX(Config!$F$1:$F$853,MATCH(L139,Config!$G$1:$G$853,0)),""))))</f>
        <v/>
      </c>
      <c r="L139" s="17" t="str">
        <f>=IFERROR(INDEX($L$17:L138,MATCH(C139,$C$17:C138,0)),"")</f>
        <v/>
      </c>
    </row>
    <row r="140" ht="18" customHeight="1" spans="1:12" x14ac:dyDescent="0.25">
      <c r="A140" s="10" t="s">
        <v>2</v>
      </c>
      <c r="B140" s="10" t="s">
        <v>2</v>
      </c>
      <c r="C140" s="10" t="s">
        <v>2</v>
      </c>
      <c r="D140" s="11" t="str">
        <f>=IF(E140="","",IF(ISNUMBER(FIND("|",E140)),TRIM(LEFT(E140,FIND("|",E140)-1)),IF(ISNUMBER(MATCH(E140,Config!$C$1:$C$311,0)),E140,IFERROR(INDEX(Config!$C$1:$C$311,MATCH(E140,Config!$D$1:$D$311,0)),""))))</f>
        <v>OP-0263</v>
      </c>
      <c r="E140" s="12" t="s">
        <v>151</v>
      </c>
      <c r="F140" s="13">
        <v>5</v>
      </c>
      <c r="G140" s="14" t="str">
        <f>=IF(C140="","",SUMIF($C$17:$C$502,C140,$F$17:$F$502))</f>
        <v/>
      </c>
      <c r="H140" s="14" t="str">
        <f>=IFERROR($B$14/$B$10,"")</f>
        <v/>
      </c>
      <c r="I140" s="15" t="str">
        <f>=IFERROR(G140/H140,"")</f>
        <v/>
      </c>
      <c r="J140" s="16" t="str">
        <f>=IF(F140="","",F140/3600)</f>
        <v/>
      </c>
      <c r="K140" s="11" t="str">
        <f>=IF(L140="","",IF(ISNUMBER(FIND("|",L140)),TRIM(LEFT(L140,FIND("|",L140)-1)),IF(ISNUMBER(MATCH(L140,Config!$F$1:$F$853,0)),L140,IFERROR(INDEX(Config!$F$1:$F$853,MATCH(L140,Config!$G$1:$G$853,0)),""))))</f>
        <v/>
      </c>
      <c r="L140" s="17" t="str">
        <f>=IFERROR(INDEX($L$17:L139,MATCH(C140,$C$17:C139,0)),"")</f>
        <v/>
      </c>
    </row>
    <row r="141" ht="18" customHeight="1" spans="1:12" x14ac:dyDescent="0.25">
      <c r="A141" s="10" t="s">
        <v>2</v>
      </c>
      <c r="B141" s="10" t="s">
        <v>2</v>
      </c>
      <c r="C141" s="10" t="s">
        <v>2</v>
      </c>
      <c r="D141" s="11" t="str">
        <f>=IF(E141="","",IF(ISNUMBER(FIND("|",E141)),TRIM(LEFT(E141,FIND("|",E141)-1)),IF(ISNUMBER(MATCH(E141,Config!$C$1:$C$311,0)),E141,IFERROR(INDEX(Config!$C$1:$C$311,MATCH(E141,Config!$D$1:$D$311,0)),""))))</f>
        <v>OP-0264</v>
      </c>
      <c r="E141" s="12" t="s">
        <v>152</v>
      </c>
      <c r="F141" s="13">
        <v>14</v>
      </c>
      <c r="G141" s="14" t="str">
        <f>=IF(C141="","",SUMIF($C$17:$C$502,C141,$F$17:$F$502))</f>
        <v/>
      </c>
      <c r="H141" s="14" t="str">
        <f>=IFERROR($B$14/$B$10,"")</f>
        <v/>
      </c>
      <c r="I141" s="15" t="str">
        <f>=IFERROR(G141/H141,"")</f>
        <v/>
      </c>
      <c r="J141" s="16" t="str">
        <f>=IF(F141="","",F141/3600)</f>
        <v/>
      </c>
      <c r="K141" s="11" t="str">
        <f>=IF(L141="","",IF(ISNUMBER(FIND("|",L141)),TRIM(LEFT(L141,FIND("|",L141)-1)),IF(ISNUMBER(MATCH(L141,Config!$F$1:$F$853,0)),L141,IFERROR(INDEX(Config!$F$1:$F$853,MATCH(L141,Config!$G$1:$G$853,0)),""))))</f>
        <v/>
      </c>
      <c r="L141" s="17" t="str">
        <f>=IFERROR(INDEX($L$17:L140,MATCH(C141,$C$17:C140,0)),"")</f>
        <v/>
      </c>
    </row>
    <row r="142" ht="18" customHeight="1" spans="1:12" x14ac:dyDescent="0.25">
      <c r="A142" s="10" t="s">
        <v>2</v>
      </c>
      <c r="B142" s="10" t="s">
        <v>2</v>
      </c>
      <c r="C142" s="10" t="s">
        <v>2</v>
      </c>
      <c r="D142" s="11" t="str">
        <f>=IF(E142="","",IF(ISNUMBER(FIND("|",E142)),TRIM(LEFT(E142,FIND("|",E142)-1)),IF(ISNUMBER(MATCH(E142,Config!$C$1:$C$311,0)),E142,IFERROR(INDEX(Config!$C$1:$C$311,MATCH(E142,Config!$D$1:$D$311,0)),""))))</f>
        <v>OP-0265</v>
      </c>
      <c r="E142" s="12" t="s">
        <v>153</v>
      </c>
      <c r="F142" s="13">
        <v>9</v>
      </c>
      <c r="G142" s="14" t="str">
        <f>=IF(C142="","",SUMIF($C$17:$C$502,C142,$F$17:$F$502))</f>
        <v/>
      </c>
      <c r="H142" s="14" t="str">
        <f>=IFERROR($B$14/$B$10,"")</f>
        <v/>
      </c>
      <c r="I142" s="15" t="str">
        <f>=IFERROR(G142/H142,"")</f>
        <v/>
      </c>
      <c r="J142" s="16" t="str">
        <f>=IF(F142="","",F142/3600)</f>
        <v/>
      </c>
      <c r="K142" s="11" t="str">
        <f>=IF(L142="","",IF(ISNUMBER(FIND("|",L142)),TRIM(LEFT(L142,FIND("|",L142)-1)),IF(ISNUMBER(MATCH(L142,Config!$F$1:$F$853,0)),L142,IFERROR(INDEX(Config!$F$1:$F$853,MATCH(L142,Config!$G$1:$G$853,0)),""))))</f>
        <v/>
      </c>
      <c r="L142" s="17" t="str">
        <f>=IFERROR(INDEX($L$17:L141,MATCH(C142,$C$17:C141,0)),"")</f>
        <v/>
      </c>
    </row>
    <row r="143" ht="18" customHeight="1" spans="1:12" x14ac:dyDescent="0.25">
      <c r="A143" s="10" t="s">
        <v>2</v>
      </c>
      <c r="B143" s="10" t="s">
        <v>2</v>
      </c>
      <c r="C143" s="10" t="s">
        <v>2</v>
      </c>
      <c r="D143" s="11" t="str">
        <f>=IF(E143="","",IF(ISNUMBER(FIND("|",E143)),TRIM(LEFT(E143,FIND("|",E143)-1)),IF(ISNUMBER(MATCH(E143,Config!$C$1:$C$311,0)),E143,IFERROR(INDEX(Config!$C$1:$C$311,MATCH(E143,Config!$D$1:$D$311,0)),""))))</f>
        <v>OP-0266</v>
      </c>
      <c r="E143" s="12" t="s">
        <v>154</v>
      </c>
      <c r="F143" s="13">
        <v>10</v>
      </c>
      <c r="G143" s="14" t="str">
        <f>=IF(C143="","",SUMIF($C$17:$C$502,C143,$F$17:$F$502))</f>
        <v/>
      </c>
      <c r="H143" s="14" t="str">
        <f>=IFERROR($B$14/$B$10,"")</f>
        <v/>
      </c>
      <c r="I143" s="15" t="str">
        <f>=IFERROR(G143/H143,"")</f>
        <v/>
      </c>
      <c r="J143" s="16" t="str">
        <f>=IF(F143="","",F143/3600)</f>
        <v/>
      </c>
      <c r="K143" s="11" t="str">
        <f>=IF(L143="","",IF(ISNUMBER(FIND("|",L143)),TRIM(LEFT(L143,FIND("|",L143)-1)),IF(ISNUMBER(MATCH(L143,Config!$F$1:$F$853,0)),L143,IFERROR(INDEX(Config!$F$1:$F$853,MATCH(L143,Config!$G$1:$G$853,0)),""))))</f>
        <v/>
      </c>
      <c r="L143" s="17" t="str">
        <f>=IFERROR(INDEX($L$17:L142,MATCH(C143,$C$17:C142,0)),"")</f>
        <v/>
      </c>
    </row>
    <row r="144" ht="18" customHeight="1" spans="1:12" x14ac:dyDescent="0.25">
      <c r="A144" s="10" t="s">
        <v>2</v>
      </c>
      <c r="B144" s="10" t="s">
        <v>2</v>
      </c>
      <c r="C144" s="10" t="s">
        <v>2</v>
      </c>
      <c r="D144" s="11" t="str">
        <f>=IF(E144="","",IF(ISNUMBER(FIND("|",E144)),TRIM(LEFT(E144,FIND("|",E144)-1)),IF(ISNUMBER(MATCH(E144,Config!$C$1:$C$311,0)),E144,IFERROR(INDEX(Config!$C$1:$C$311,MATCH(E144,Config!$D$1:$D$311,0)),""))))</f>
        <v>OP-0267</v>
      </c>
      <c r="E144" s="12" t="s">
        <v>155</v>
      </c>
      <c r="F144" s="13">
        <v>8</v>
      </c>
      <c r="G144" s="14" t="str">
        <f>=IF(C144="","",SUMIF($C$17:$C$502,C144,$F$17:$F$502))</f>
        <v/>
      </c>
      <c r="H144" s="14" t="str">
        <f>=IFERROR($B$14/$B$10,"")</f>
        <v/>
      </c>
      <c r="I144" s="15" t="str">
        <f>=IFERROR(G144/H144,"")</f>
        <v/>
      </c>
      <c r="J144" s="16" t="str">
        <f>=IF(F144="","",F144/3600)</f>
        <v/>
      </c>
      <c r="K144" s="11" t="str">
        <f>=IF(L144="","",IF(ISNUMBER(FIND("|",L144)),TRIM(LEFT(L144,FIND("|",L144)-1)),IF(ISNUMBER(MATCH(L144,Config!$F$1:$F$853,0)),L144,IFERROR(INDEX(Config!$F$1:$F$853,MATCH(L144,Config!$G$1:$G$853,0)),""))))</f>
        <v/>
      </c>
      <c r="L144" s="17" t="str">
        <f>=IFERROR(INDEX($L$17:L143,MATCH(C144,$C$17:C143,0)),"")</f>
        <v/>
      </c>
    </row>
    <row r="145" ht="18" customHeight="1" spans="1:12" x14ac:dyDescent="0.25">
      <c r="A145" s="10" t="s">
        <v>2</v>
      </c>
      <c r="B145" s="10" t="s">
        <v>2</v>
      </c>
      <c r="C145" s="10" t="s">
        <v>2</v>
      </c>
      <c r="D145" s="11" t="str">
        <f>=IF(E145="","",IF(ISNUMBER(FIND("|",E145)),TRIM(LEFT(E145,FIND("|",E145)-1)),IF(ISNUMBER(MATCH(E145,Config!$C$1:$C$311,0)),E145,IFERROR(INDEX(Config!$C$1:$C$311,MATCH(E145,Config!$D$1:$D$311,0)),""))))</f>
        <v>OP-0268</v>
      </c>
      <c r="E145" s="12" t="s">
        <v>156</v>
      </c>
      <c r="F145" s="13">
        <v>8</v>
      </c>
      <c r="G145" s="14" t="str">
        <f>=IF(C145="","",SUMIF($C$17:$C$502,C145,$F$17:$F$502))</f>
        <v/>
      </c>
      <c r="H145" s="14" t="str">
        <f>=IFERROR($B$14/$B$10,"")</f>
        <v/>
      </c>
      <c r="I145" s="15" t="str">
        <f>=IFERROR(G145/H145,"")</f>
        <v/>
      </c>
      <c r="J145" s="16" t="str">
        <f>=IF(F145="","",F145/3600)</f>
        <v/>
      </c>
      <c r="K145" s="11" t="str">
        <f>=IF(L145="","",IF(ISNUMBER(FIND("|",L145)),TRIM(LEFT(L145,FIND("|",L145)-1)),IF(ISNUMBER(MATCH(L145,Config!$F$1:$F$853,0)),L145,IFERROR(INDEX(Config!$F$1:$F$853,MATCH(L145,Config!$G$1:$G$853,0)),""))))</f>
        <v/>
      </c>
      <c r="L145" s="17" t="str">
        <f>=IFERROR(INDEX($L$17:L144,MATCH(C145,$C$17:C144,0)),"")</f>
        <v/>
      </c>
    </row>
    <row r="146" ht="18" customHeight="1" spans="1:12" x14ac:dyDescent="0.25">
      <c r="A146" s="10" t="s">
        <v>2</v>
      </c>
      <c r="B146" s="10" t="s">
        <v>2</v>
      </c>
      <c r="C146" s="10" t="s">
        <v>2</v>
      </c>
      <c r="D146" s="11" t="str">
        <f>=IF(E146="","",IF(ISNUMBER(FIND("|",E146)),TRIM(LEFT(E146,FIND("|",E146)-1)),IF(ISNUMBER(MATCH(E146,Config!$C$1:$C$311,0)),E146,IFERROR(INDEX(Config!$C$1:$C$311,MATCH(E146,Config!$D$1:$D$311,0)),""))))</f>
        <v>OP-0269</v>
      </c>
      <c r="E146" s="12" t="s">
        <v>157</v>
      </c>
      <c r="F146" s="13">
        <v>32</v>
      </c>
      <c r="G146" s="14" t="str">
        <f>=IF(C146="","",SUMIF($C$17:$C$502,C146,$F$17:$F$502))</f>
        <v/>
      </c>
      <c r="H146" s="14" t="str">
        <f>=IFERROR($B$14/$B$10,"")</f>
        <v/>
      </c>
      <c r="I146" s="15" t="str">
        <f>=IFERROR(G146/H146,"")</f>
        <v/>
      </c>
      <c r="J146" s="16" t="str">
        <f>=IF(F146="","",F146/3600)</f>
        <v/>
      </c>
      <c r="K146" s="11" t="str">
        <f>=IF(L146="","",IF(ISNUMBER(FIND("|",L146)),TRIM(LEFT(L146,FIND("|",L146)-1)),IF(ISNUMBER(MATCH(L146,Config!$F$1:$F$853,0)),L146,IFERROR(INDEX(Config!$F$1:$F$853,MATCH(L146,Config!$G$1:$G$853,0)),""))))</f>
        <v/>
      </c>
      <c r="L146" s="17" t="str">
        <f>=IFERROR(INDEX($L$17:L145,MATCH(C146,$C$17:C145,0)),"")</f>
        <v/>
      </c>
    </row>
    <row r="147" ht="18" customHeight="1" spans="1:12" x14ac:dyDescent="0.25">
      <c r="A147" s="10" t="s">
        <v>2</v>
      </c>
      <c r="B147" s="10" t="s">
        <v>2</v>
      </c>
      <c r="C147" s="10" t="s">
        <v>2</v>
      </c>
      <c r="D147" s="11" t="str">
        <f>=IF(E147="","",IF(ISNUMBER(FIND("|",E147)),TRIM(LEFT(E147,FIND("|",E147)-1)),IF(ISNUMBER(MATCH(E147,Config!$C$1:$C$311,0)),E147,IFERROR(INDEX(Config!$C$1:$C$311,MATCH(E147,Config!$D$1:$D$311,0)),""))))</f>
        <v>OP-0270</v>
      </c>
      <c r="E147" s="12" t="s">
        <v>158</v>
      </c>
      <c r="F147" s="13">
        <v>42</v>
      </c>
      <c r="G147" s="14" t="str">
        <f>=IF(C147="","",SUMIF($C$17:$C$502,C147,$F$17:$F$502))</f>
        <v/>
      </c>
      <c r="H147" s="14" t="str">
        <f>=IFERROR($B$14/$B$10,"")</f>
        <v/>
      </c>
      <c r="I147" s="15" t="str">
        <f>=IFERROR(G147/H147,"")</f>
        <v/>
      </c>
      <c r="J147" s="16" t="str">
        <f>=IF(F147="","",F147/3600)</f>
        <v/>
      </c>
      <c r="K147" s="11" t="str">
        <f>=IF(L147="","",IF(ISNUMBER(FIND("|",L147)),TRIM(LEFT(L147,FIND("|",L147)-1)),IF(ISNUMBER(MATCH(L147,Config!$F$1:$F$853,0)),L147,IFERROR(INDEX(Config!$F$1:$F$853,MATCH(L147,Config!$G$1:$G$853,0)),""))))</f>
        <v/>
      </c>
      <c r="L147" s="17" t="str">
        <f>=IFERROR(INDEX($L$17:L146,MATCH(C147,$C$17:C146,0)),"")</f>
        <v/>
      </c>
    </row>
    <row r="148" ht="18" customHeight="1" spans="1:12" x14ac:dyDescent="0.25">
      <c r="A148" s="10" t="s">
        <v>2</v>
      </c>
      <c r="B148" s="10" t="s">
        <v>2</v>
      </c>
      <c r="C148" s="10" t="s">
        <v>2</v>
      </c>
      <c r="D148" s="11" t="str">
        <f>=IF(E148="","",IF(ISNUMBER(FIND("|",E148)),TRIM(LEFT(E148,FIND("|",E148)-1)),IF(ISNUMBER(MATCH(E148,Config!$C$1:$C$311,0)),E148,IFERROR(INDEX(Config!$C$1:$C$311,MATCH(E148,Config!$D$1:$D$311,0)),""))))</f>
        <v>OP-0271</v>
      </c>
      <c r="E148" s="12" t="s">
        <v>159</v>
      </c>
      <c r="F148" s="13">
        <v>20</v>
      </c>
      <c r="G148" s="14" t="str">
        <f>=IF(C148="","",SUMIF($C$17:$C$502,C148,$F$17:$F$502))</f>
        <v/>
      </c>
      <c r="H148" s="14" t="str">
        <f>=IFERROR($B$14/$B$10,"")</f>
        <v/>
      </c>
      <c r="I148" s="15" t="str">
        <f>=IFERROR(G148/H148,"")</f>
        <v/>
      </c>
      <c r="J148" s="16" t="str">
        <f>=IF(F148="","",F148/3600)</f>
        <v/>
      </c>
      <c r="K148" s="11" t="str">
        <f>=IF(L148="","",IF(ISNUMBER(FIND("|",L148)),TRIM(LEFT(L148,FIND("|",L148)-1)),IF(ISNUMBER(MATCH(L148,Config!$F$1:$F$853,0)),L148,IFERROR(INDEX(Config!$F$1:$F$853,MATCH(L148,Config!$G$1:$G$853,0)),""))))</f>
        <v/>
      </c>
      <c r="L148" s="17" t="str">
        <f>=IFERROR(INDEX($L$17:L147,MATCH(C148,$C$17:C147,0)),"")</f>
        <v/>
      </c>
    </row>
    <row r="149" ht="18" customHeight="1" spans="1:12" x14ac:dyDescent="0.25">
      <c r="A149" s="10" t="s">
        <v>2</v>
      </c>
      <c r="B149" s="10" t="s">
        <v>2</v>
      </c>
      <c r="C149" s="10" t="s">
        <v>2</v>
      </c>
      <c r="D149" s="11" t="str">
        <f>=IF(E149="","",IF(ISNUMBER(FIND("|",E149)),TRIM(LEFT(E149,FIND("|",E149)-1)),IF(ISNUMBER(MATCH(E149,Config!$C$1:$C$311,0)),E149,IFERROR(INDEX(Config!$C$1:$C$311,MATCH(E149,Config!$D$1:$D$311,0)),""))))</f>
        <v>OP-0272</v>
      </c>
      <c r="E149" s="12" t="s">
        <v>160</v>
      </c>
      <c r="F149" s="13">
        <v>14</v>
      </c>
      <c r="G149" s="14" t="str">
        <f>=IF(C149="","",SUMIF($C$17:$C$502,C149,$F$17:$F$502))</f>
        <v/>
      </c>
      <c r="H149" s="14" t="str">
        <f>=IFERROR($B$14/$B$10,"")</f>
        <v/>
      </c>
      <c r="I149" s="15" t="str">
        <f>=IFERROR(G149/H149,"")</f>
        <v/>
      </c>
      <c r="J149" s="16" t="str">
        <f>=IF(F149="","",F149/3600)</f>
        <v/>
      </c>
      <c r="K149" s="11" t="str">
        <f>=IF(L149="","",IF(ISNUMBER(FIND("|",L149)),TRIM(LEFT(L149,FIND("|",L149)-1)),IF(ISNUMBER(MATCH(L149,Config!$F$1:$F$853,0)),L149,IFERROR(INDEX(Config!$F$1:$F$853,MATCH(L149,Config!$G$1:$G$853,0)),""))))</f>
        <v/>
      </c>
      <c r="L149" s="17" t="str">
        <f>=IFERROR(INDEX($L$17:L148,MATCH(C149,$C$17:C148,0)),"")</f>
        <v/>
      </c>
    </row>
    <row r="150" ht="18" customHeight="1" spans="1:12" x14ac:dyDescent="0.25">
      <c r="A150" s="10" t="s">
        <v>2</v>
      </c>
      <c r="B150" s="10" t="s">
        <v>2</v>
      </c>
      <c r="C150" s="10" t="s">
        <v>2</v>
      </c>
      <c r="D150" s="11" t="str">
        <f>=IF(E150="","",IF(ISNUMBER(FIND("|",E150)),TRIM(LEFT(E150,FIND("|",E150)-1)),IF(ISNUMBER(MATCH(E150,Config!$C$1:$C$311,0)),E150,IFERROR(INDEX(Config!$C$1:$C$311,MATCH(E150,Config!$D$1:$D$311,0)),""))))</f>
        <v>OP-0209</v>
      </c>
      <c r="E150" s="12" t="s">
        <v>97</v>
      </c>
      <c r="F150" s="13">
        <v>32</v>
      </c>
      <c r="G150" s="14" t="str">
        <f>=IF(C150="","",SUMIF($C$17:$C$502,C150,$F$17:$F$502))</f>
        <v/>
      </c>
      <c r="H150" s="14" t="str">
        <f>=IFERROR($B$14/$B$10,"")</f>
        <v/>
      </c>
      <c r="I150" s="15" t="str">
        <f>=IFERROR(G150/H150,"")</f>
        <v/>
      </c>
      <c r="J150" s="16" t="str">
        <f>=IF(F150="","",F150/3600)</f>
        <v/>
      </c>
      <c r="K150" s="11" t="str">
        <f>=IF(L150="","",IF(ISNUMBER(FIND("|",L150)),TRIM(LEFT(L150,FIND("|",L150)-1)),IF(ISNUMBER(MATCH(L150,Config!$F$1:$F$853,0)),L150,IFERROR(INDEX(Config!$F$1:$F$853,MATCH(L150,Config!$G$1:$G$853,0)),""))))</f>
        <v/>
      </c>
      <c r="L150" s="17" t="str">
        <f>=IFERROR(INDEX($L$17:L149,MATCH(C150,$C$17:C149,0)),"")</f>
        <v/>
      </c>
    </row>
    <row r="151" ht="18" customHeight="1" spans="1:12" x14ac:dyDescent="0.25">
      <c r="A151" s="10" t="s">
        <v>2</v>
      </c>
      <c r="B151" s="10" t="s">
        <v>2</v>
      </c>
      <c r="C151" s="10" t="s">
        <v>2</v>
      </c>
      <c r="D151" s="11" t="str">
        <f>=IF(E151="","",IF(ISNUMBER(FIND("|",E151)),TRIM(LEFT(E151,FIND("|",E151)-1)),IF(ISNUMBER(MATCH(E151,Config!$C$1:$C$311,0)),E151,IFERROR(INDEX(Config!$C$1:$C$311,MATCH(E151,Config!$D$1:$D$311,0)),""))))</f>
        <v>OP-0273</v>
      </c>
      <c r="E151" s="12" t="s">
        <v>161</v>
      </c>
      <c r="F151" s="13">
        <v>30</v>
      </c>
      <c r="G151" s="14" t="str">
        <f>=IF(C151="","",SUMIF($C$17:$C$502,C151,$F$17:$F$502))</f>
        <v/>
      </c>
      <c r="H151" s="14" t="str">
        <f>=IFERROR($B$14/$B$10,"")</f>
        <v/>
      </c>
      <c r="I151" s="15" t="str">
        <f>=IFERROR(G151/H151,"")</f>
        <v/>
      </c>
      <c r="J151" s="16" t="str">
        <f>=IF(F151="","",F151/3600)</f>
        <v/>
      </c>
      <c r="K151" s="11" t="str">
        <f>=IF(L151="","",IF(ISNUMBER(FIND("|",L151)),TRIM(LEFT(L151,FIND("|",L151)-1)),IF(ISNUMBER(MATCH(L151,Config!$F$1:$F$853,0)),L151,IFERROR(INDEX(Config!$F$1:$F$853,MATCH(L151,Config!$G$1:$G$853,0)),""))))</f>
        <v/>
      </c>
      <c r="L151" s="17" t="str">
        <f>=IFERROR(INDEX($L$17:L150,MATCH(C151,$C$17:C150,0)),"")</f>
        <v/>
      </c>
    </row>
    <row r="152" ht="18" customHeight="1" spans="1:12" x14ac:dyDescent="0.25">
      <c r="A152" s="10" t="s">
        <v>2</v>
      </c>
      <c r="B152" s="10" t="s">
        <v>2</v>
      </c>
      <c r="C152" s="10" t="s">
        <v>2</v>
      </c>
      <c r="D152" s="11" t="str">
        <f>=IF(E152="","",IF(ISNUMBER(FIND("|",E152)),TRIM(LEFT(E152,FIND("|",E152)-1)),IF(ISNUMBER(MATCH(E152,Config!$C$1:$C$311,0)),E152,IFERROR(INDEX(Config!$C$1:$C$311,MATCH(E152,Config!$D$1:$D$311,0)),""))))</f>
        <v>OP-0274</v>
      </c>
      <c r="E152" s="12" t="s">
        <v>162</v>
      </c>
      <c r="F152" s="13">
        <v>36</v>
      </c>
      <c r="G152" s="14" t="str">
        <f>=IF(C152="","",SUMIF($C$17:$C$502,C152,$F$17:$F$502))</f>
        <v/>
      </c>
      <c r="H152" s="14" t="str">
        <f>=IFERROR($B$14/$B$10,"")</f>
        <v/>
      </c>
      <c r="I152" s="15" t="str">
        <f>=IFERROR(G152/H152,"")</f>
        <v/>
      </c>
      <c r="J152" s="16" t="str">
        <f>=IF(F152="","",F152/3600)</f>
        <v/>
      </c>
      <c r="K152" s="11" t="str">
        <f>=IF(L152="","",IF(ISNUMBER(FIND("|",L152)),TRIM(LEFT(L152,FIND("|",L152)-1)),IF(ISNUMBER(MATCH(L152,Config!$F$1:$F$853,0)),L152,IFERROR(INDEX(Config!$F$1:$F$853,MATCH(L152,Config!$G$1:$G$853,0)),""))))</f>
        <v/>
      </c>
      <c r="L152" s="17" t="str">
        <f>=IFERROR(INDEX($L$17:L151,MATCH(C152,$C$17:C151,0)),"")</f>
        <v/>
      </c>
    </row>
    <row r="153" ht="18" customHeight="1" spans="1:12" x14ac:dyDescent="0.25">
      <c r="A153" s="10" t="s">
        <v>2</v>
      </c>
      <c r="B153" s="10" t="s">
        <v>2</v>
      </c>
      <c r="C153" s="10" t="s">
        <v>2</v>
      </c>
      <c r="D153" s="11" t="str">
        <f>=IF(E153="","",IF(ISNUMBER(FIND("|",E153)),TRIM(LEFT(E153,FIND("|",E153)-1)),IF(ISNUMBER(MATCH(E153,Config!$C$1:$C$311,0)),E153,IFERROR(INDEX(Config!$C$1:$C$311,MATCH(E153,Config!$D$1:$D$311,0)),""))))</f>
        <v>OP-0275</v>
      </c>
      <c r="E153" s="12" t="s">
        <v>163</v>
      </c>
      <c r="F153" s="13">
        <v>24</v>
      </c>
      <c r="G153" s="14" t="str">
        <f>=IF(C153="","",SUMIF($C$17:$C$502,C153,$F$17:$F$502))</f>
        <v/>
      </c>
      <c r="H153" s="14" t="str">
        <f>=IFERROR($B$14/$B$10,"")</f>
        <v/>
      </c>
      <c r="I153" s="15" t="str">
        <f>=IFERROR(G153/H153,"")</f>
        <v/>
      </c>
      <c r="J153" s="16" t="str">
        <f>=IF(F153="","",F153/3600)</f>
        <v/>
      </c>
      <c r="K153" s="11" t="str">
        <f>=IF(L153="","",IF(ISNUMBER(FIND("|",L153)),TRIM(LEFT(L153,FIND("|",L153)-1)),IF(ISNUMBER(MATCH(L153,Config!$F$1:$F$853,0)),L153,IFERROR(INDEX(Config!$F$1:$F$853,MATCH(L153,Config!$G$1:$G$853,0)),""))))</f>
        <v/>
      </c>
      <c r="L153" s="17" t="str">
        <f>=IFERROR(INDEX($L$17:L152,MATCH(C153,$C$17:C152,0)),"")</f>
        <v/>
      </c>
    </row>
    <row r="154" ht="18" customHeight="1" spans="1:12" x14ac:dyDescent="0.25">
      <c r="A154" s="10" t="s">
        <v>2</v>
      </c>
      <c r="B154" s="10" t="s">
        <v>2</v>
      </c>
      <c r="C154" s="10" t="s">
        <v>2</v>
      </c>
      <c r="D154" s="11" t="str">
        <f>=IF(E154="","",IF(ISNUMBER(FIND("|",E154)),TRIM(LEFT(E154,FIND("|",E154)-1)),IF(ISNUMBER(MATCH(E154,Config!$C$1:$C$311,0)),E154,IFERROR(INDEX(Config!$C$1:$C$311,MATCH(E154,Config!$D$1:$D$311,0)),""))))</f>
        <v>OP-0276</v>
      </c>
      <c r="E154" s="12" t="s">
        <v>164</v>
      </c>
      <c r="F154" s="13">
        <v>20</v>
      </c>
      <c r="G154" s="14" t="str">
        <f>=IF(C154="","",SUMIF($C$17:$C$502,C154,$F$17:$F$502))</f>
        <v/>
      </c>
      <c r="H154" s="14" t="str">
        <f>=IFERROR($B$14/$B$10,"")</f>
        <v/>
      </c>
      <c r="I154" s="15" t="str">
        <f>=IFERROR(G154/H154,"")</f>
        <v/>
      </c>
      <c r="J154" s="16" t="str">
        <f>=IF(F154="","",F154/3600)</f>
        <v/>
      </c>
      <c r="K154" s="11" t="str">
        <f>=IF(L154="","",IF(ISNUMBER(FIND("|",L154)),TRIM(LEFT(L154,FIND("|",L154)-1)),IF(ISNUMBER(MATCH(L154,Config!$F$1:$F$853,0)),L154,IFERROR(INDEX(Config!$F$1:$F$853,MATCH(L154,Config!$G$1:$G$853,0)),""))))</f>
        <v/>
      </c>
      <c r="L154" s="17" t="str">
        <f>=IFERROR(INDEX($L$17:L153,MATCH(C154,$C$17:C153,0)),"")</f>
        <v/>
      </c>
    </row>
    <row r="155" ht="18" customHeight="1" spans="1:12" x14ac:dyDescent="0.25">
      <c r="A155" s="10" t="s">
        <v>2</v>
      </c>
      <c r="B155" s="10" t="s">
        <v>2</v>
      </c>
      <c r="C155" s="10" t="s">
        <v>2</v>
      </c>
      <c r="D155" s="11" t="str">
        <f>=IF(E155="","",IF(ISNUMBER(FIND("|",E155)),TRIM(LEFT(E155,FIND("|",E155)-1)),IF(ISNUMBER(MATCH(E155,Config!$C$1:$C$311,0)),E155,IFERROR(INDEX(Config!$C$1:$C$311,MATCH(E155,Config!$D$1:$D$311,0)),""))))</f>
        <v>OP-0277</v>
      </c>
      <c r="E155" s="12" t="s">
        <v>165</v>
      </c>
      <c r="F155" s="13">
        <v>56</v>
      </c>
      <c r="G155" s="14" t="str">
        <f>=IF(C155="","",SUMIF($C$17:$C$502,C155,$F$17:$F$502))</f>
        <v/>
      </c>
      <c r="H155" s="14" t="str">
        <f>=IFERROR($B$14/$B$10,"")</f>
        <v/>
      </c>
      <c r="I155" s="15" t="str">
        <f>=IFERROR(G155/H155,"")</f>
        <v/>
      </c>
      <c r="J155" s="16" t="str">
        <f>=IF(F155="","",F155/3600)</f>
        <v/>
      </c>
      <c r="K155" s="11" t="str">
        <f>=IF(L155="","",IF(ISNUMBER(FIND("|",L155)),TRIM(LEFT(L155,FIND("|",L155)-1)),IF(ISNUMBER(MATCH(L155,Config!$F$1:$F$853,0)),L155,IFERROR(INDEX(Config!$F$1:$F$853,MATCH(L155,Config!$G$1:$G$853,0)),""))))</f>
        <v/>
      </c>
      <c r="L155" s="17" t="str">
        <f>=IFERROR(INDEX($L$17:L154,MATCH(C155,$C$17:C154,0)),"")</f>
        <v/>
      </c>
    </row>
    <row r="156" ht="18" customHeight="1" spans="1:12" x14ac:dyDescent="0.25">
      <c r="A156" s="10" t="s">
        <v>2</v>
      </c>
      <c r="B156" s="10" t="s">
        <v>2</v>
      </c>
      <c r="C156" s="10" t="s">
        <v>2</v>
      </c>
      <c r="D156" s="11" t="str">
        <f>=IF(E156="","",IF(ISNUMBER(FIND("|",E156)),TRIM(LEFT(E156,FIND("|",E156)-1)),IF(ISNUMBER(MATCH(E156,Config!$C$1:$C$311,0)),E156,IFERROR(INDEX(Config!$C$1:$C$311,MATCH(E156,Config!$D$1:$D$311,0)),""))))</f>
        <v>OP-0278</v>
      </c>
      <c r="E156" s="12" t="s">
        <v>166</v>
      </c>
      <c r="F156" s="13">
        <v>20</v>
      </c>
      <c r="G156" s="14" t="str">
        <f>=IF(C156="","",SUMIF($C$17:$C$502,C156,$F$17:$F$502))</f>
        <v/>
      </c>
      <c r="H156" s="14" t="str">
        <f>=IFERROR($B$14/$B$10,"")</f>
        <v/>
      </c>
      <c r="I156" s="15" t="str">
        <f>=IFERROR(G156/H156,"")</f>
        <v/>
      </c>
      <c r="J156" s="16" t="str">
        <f>=IF(F156="","",F156/3600)</f>
        <v/>
      </c>
      <c r="K156" s="11" t="str">
        <f>=IF(L156="","",IF(ISNUMBER(FIND("|",L156)),TRIM(LEFT(L156,FIND("|",L156)-1)),IF(ISNUMBER(MATCH(L156,Config!$F$1:$F$853,0)),L156,IFERROR(INDEX(Config!$F$1:$F$853,MATCH(L156,Config!$G$1:$G$853,0)),""))))</f>
        <v/>
      </c>
      <c r="L156" s="17" t="str">
        <f>=IFERROR(INDEX($L$17:L155,MATCH(C156,$C$17:C155,0)),"")</f>
        <v/>
      </c>
    </row>
    <row r="157" ht="18" customHeight="1" spans="1:12" x14ac:dyDescent="0.25">
      <c r="A157" s="10" t="s">
        <v>2</v>
      </c>
      <c r="B157" s="10" t="s">
        <v>2</v>
      </c>
      <c r="C157" s="10" t="s">
        <v>2</v>
      </c>
      <c r="D157" s="11" t="str">
        <f>=IF(E157="","",IF(ISNUMBER(FIND("|",E157)),TRIM(LEFT(E157,FIND("|",E157)-1)),IF(ISNUMBER(MATCH(E157,Config!$C$1:$C$311,0)),E157,IFERROR(INDEX(Config!$C$1:$C$311,MATCH(E157,Config!$D$1:$D$311,0)),""))))</f>
        <v>OP-0279</v>
      </c>
      <c r="E157" s="12" t="s">
        <v>167</v>
      </c>
      <c r="F157" s="13">
        <v>28</v>
      </c>
      <c r="G157" s="14" t="str">
        <f>=IF(C157="","",SUMIF($C$17:$C$502,C157,$F$17:$F$502))</f>
        <v/>
      </c>
      <c r="H157" s="14" t="str">
        <f>=IFERROR($B$14/$B$10,"")</f>
        <v/>
      </c>
      <c r="I157" s="15" t="str">
        <f>=IFERROR(G157/H157,"")</f>
        <v/>
      </c>
      <c r="J157" s="16" t="str">
        <f>=IF(F157="","",F157/3600)</f>
        <v/>
      </c>
      <c r="K157" s="11" t="str">
        <f>=IF(L157="","",IF(ISNUMBER(FIND("|",L157)),TRIM(LEFT(L157,FIND("|",L157)-1)),IF(ISNUMBER(MATCH(L157,Config!$F$1:$F$853,0)),L157,IFERROR(INDEX(Config!$F$1:$F$853,MATCH(L157,Config!$G$1:$G$853,0)),""))))</f>
        <v/>
      </c>
      <c r="L157" s="17" t="str">
        <f>=IFERROR(INDEX($L$17:L156,MATCH(C157,$C$17:C156,0)),"")</f>
        <v/>
      </c>
    </row>
    <row r="158" ht="18" customHeight="1" spans="1:12" x14ac:dyDescent="0.25">
      <c r="A158" s="10" t="s">
        <v>2</v>
      </c>
      <c r="B158" s="10" t="s">
        <v>2</v>
      </c>
      <c r="C158" s="10" t="s">
        <v>2</v>
      </c>
      <c r="D158" s="11" t="str">
        <f>=IF(E158="","",IF(ISNUMBER(FIND("|",E158)),TRIM(LEFT(E158,FIND("|",E158)-1)),IF(ISNUMBER(MATCH(E158,Config!$C$1:$C$311,0)),E158,IFERROR(INDEX(Config!$C$1:$C$311,MATCH(E158,Config!$D$1:$D$311,0)),""))))</f>
        <v>OP-0280</v>
      </c>
      <c r="E158" s="12" t="s">
        <v>168</v>
      </c>
      <c r="F158" s="13">
        <v>20</v>
      </c>
      <c r="G158" s="14" t="str">
        <f>=IF(C158="","",SUMIF($C$17:$C$502,C158,$F$17:$F$502))</f>
        <v/>
      </c>
      <c r="H158" s="14" t="str">
        <f>=IFERROR($B$14/$B$10,"")</f>
        <v/>
      </c>
      <c r="I158" s="15" t="str">
        <f>=IFERROR(G158/H158,"")</f>
        <v/>
      </c>
      <c r="J158" s="16" t="str">
        <f>=IF(F158="","",F158/3600)</f>
        <v/>
      </c>
      <c r="K158" s="11" t="str">
        <f>=IF(L158="","",IF(ISNUMBER(FIND("|",L158)),TRIM(LEFT(L158,FIND("|",L158)-1)),IF(ISNUMBER(MATCH(L158,Config!$F$1:$F$853,0)),L158,IFERROR(INDEX(Config!$F$1:$F$853,MATCH(L158,Config!$G$1:$G$853,0)),""))))</f>
        <v/>
      </c>
      <c r="L158" s="17" t="str">
        <f>=IFERROR(INDEX($L$17:L157,MATCH(C158,$C$17:C157,0)),"")</f>
        <v/>
      </c>
    </row>
    <row r="159" ht="18" customHeight="1" spans="1:12" x14ac:dyDescent="0.25">
      <c r="A159" s="10" t="s">
        <v>2</v>
      </c>
      <c r="B159" s="10" t="s">
        <v>2</v>
      </c>
      <c r="C159" s="10" t="s">
        <v>2</v>
      </c>
      <c r="D159" s="11" t="str">
        <f>=IF(E159="","",IF(ISNUMBER(FIND("|",E159)),TRIM(LEFT(E159,FIND("|",E159)-1)),IF(ISNUMBER(MATCH(E159,Config!$C$1:$C$311,0)),E159,IFERROR(INDEX(Config!$C$1:$C$311,MATCH(E159,Config!$D$1:$D$311,0)),""))))</f>
        <v>OP-0195</v>
      </c>
      <c r="E159" s="12" t="s">
        <v>83</v>
      </c>
      <c r="F159" s="13">
        <v>10</v>
      </c>
      <c r="G159" s="14" t="str">
        <f>=IF(C159="","",SUMIF($C$17:$C$502,C159,$F$17:$F$502))</f>
        <v/>
      </c>
      <c r="H159" s="14" t="str">
        <f>=IFERROR($B$14/$B$10,"")</f>
        <v/>
      </c>
      <c r="I159" s="15" t="str">
        <f>=IFERROR(G159/H159,"")</f>
        <v/>
      </c>
      <c r="J159" s="16" t="str">
        <f>=IF(F159="","",F159/3600)</f>
        <v/>
      </c>
      <c r="K159" s="11" t="str">
        <f>=IF(L159="","",IF(ISNUMBER(FIND("|",L159)),TRIM(LEFT(L159,FIND("|",L159)-1)),IF(ISNUMBER(MATCH(L159,Config!$F$1:$F$853,0)),L159,IFERROR(INDEX(Config!$F$1:$F$853,MATCH(L159,Config!$G$1:$G$853,0)),""))))</f>
        <v/>
      </c>
      <c r="L159" s="17" t="str">
        <f>=IFERROR(INDEX($L$17:L158,MATCH(C159,$C$17:C158,0)),"")</f>
        <v/>
      </c>
    </row>
    <row r="160" ht="18" customHeight="1" spans="1:12" x14ac:dyDescent="0.25">
      <c r="A160" s="10" t="s">
        <v>2</v>
      </c>
      <c r="B160" s="10" t="s">
        <v>2</v>
      </c>
      <c r="C160" s="10" t="s">
        <v>2</v>
      </c>
      <c r="D160" s="11" t="str">
        <f>=IF(E160="","",IF(ISNUMBER(FIND("|",E160)),TRIM(LEFT(E160,FIND("|",E160)-1)),IF(ISNUMBER(MATCH(E160,Config!$C$1:$C$311,0)),E160,IFERROR(INDEX(Config!$C$1:$C$311,MATCH(E160,Config!$D$1:$D$311,0)),""))))</f>
        <v>OP-0281</v>
      </c>
      <c r="E160" s="12" t="s">
        <v>169</v>
      </c>
      <c r="F160" s="13">
        <v>20</v>
      </c>
      <c r="G160" s="14" t="str">
        <f>=IF(C160="","",SUMIF($C$17:$C$502,C160,$F$17:$F$502))</f>
        <v/>
      </c>
      <c r="H160" s="14" t="str">
        <f>=IFERROR($B$14/$B$10,"")</f>
        <v/>
      </c>
      <c r="I160" s="15" t="str">
        <f>=IFERROR(G160/H160,"")</f>
        <v/>
      </c>
      <c r="J160" s="16" t="str">
        <f>=IF(F160="","",F160/3600)</f>
        <v/>
      </c>
      <c r="K160" s="11" t="str">
        <f>=IF(L160="","",IF(ISNUMBER(FIND("|",L160)),TRIM(LEFT(L160,FIND("|",L160)-1)),IF(ISNUMBER(MATCH(L160,Config!$F$1:$F$853,0)),L160,IFERROR(INDEX(Config!$F$1:$F$853,MATCH(L160,Config!$G$1:$G$853,0)),""))))</f>
        <v/>
      </c>
      <c r="L160" s="17" t="str">
        <f>=IFERROR(INDEX($L$17:L159,MATCH(C160,$C$17:C159,0)),"")</f>
        <v/>
      </c>
    </row>
    <row r="161" ht="18" customHeight="1" spans="1:12" x14ac:dyDescent="0.25">
      <c r="A161" s="10" t="s">
        <v>2</v>
      </c>
      <c r="B161" s="10" t="s">
        <v>2</v>
      </c>
      <c r="C161" s="10" t="s">
        <v>2</v>
      </c>
      <c r="D161" s="11" t="str">
        <f>=IF(E161="","",IF(ISNUMBER(FIND("|",E161)),TRIM(LEFT(E161,FIND("|",E161)-1)),IF(ISNUMBER(MATCH(E161,Config!$C$1:$C$311,0)),E161,IFERROR(INDEX(Config!$C$1:$C$311,MATCH(E161,Config!$D$1:$D$311,0)),""))))</f>
        <v>OP-0282</v>
      </c>
      <c r="E161" s="12" t="s">
        <v>170</v>
      </c>
      <c r="F161" s="13">
        <v>32</v>
      </c>
      <c r="G161" s="14" t="str">
        <f>=IF(C161="","",SUMIF($C$17:$C$502,C161,$F$17:$F$502))</f>
        <v/>
      </c>
      <c r="H161" s="14" t="str">
        <f>=IFERROR($B$14/$B$10,"")</f>
        <v/>
      </c>
      <c r="I161" s="15" t="str">
        <f>=IFERROR(G161/H161,"")</f>
        <v/>
      </c>
      <c r="J161" s="16" t="str">
        <f>=IF(F161="","",F161/3600)</f>
        <v/>
      </c>
      <c r="K161" s="11" t="str">
        <f>=IF(L161="","",IF(ISNUMBER(FIND("|",L161)),TRIM(LEFT(L161,FIND("|",L161)-1)),IF(ISNUMBER(MATCH(L161,Config!$F$1:$F$853,0)),L161,IFERROR(INDEX(Config!$F$1:$F$853,MATCH(L161,Config!$G$1:$G$853,0)),""))))</f>
        <v/>
      </c>
      <c r="L161" s="17" t="str">
        <f>=IFERROR(INDEX($L$17:L160,MATCH(C161,$C$17:C160,0)),"")</f>
        <v/>
      </c>
    </row>
    <row r="162" ht="18" customHeight="1" spans="1:12" x14ac:dyDescent="0.25">
      <c r="A162" s="10" t="s">
        <v>2</v>
      </c>
      <c r="B162" s="10" t="s">
        <v>2</v>
      </c>
      <c r="C162" s="10" t="s">
        <v>2</v>
      </c>
      <c r="D162" s="11" t="str">
        <f>=IF(E162="","",IF(ISNUMBER(FIND("|",E162)),TRIM(LEFT(E162,FIND("|",E162)-1)),IF(ISNUMBER(MATCH(E162,Config!$C$1:$C$311,0)),E162,IFERROR(INDEX(Config!$C$1:$C$311,MATCH(E162,Config!$D$1:$D$311,0)),""))))</f>
        <v>OP-0283</v>
      </c>
      <c r="E162" s="12" t="s">
        <v>171</v>
      </c>
      <c r="F162" s="13">
        <v>36</v>
      </c>
      <c r="G162" s="14" t="str">
        <f>=IF(C162="","",SUMIF($C$17:$C$502,C162,$F$17:$F$502))</f>
        <v/>
      </c>
      <c r="H162" s="14" t="str">
        <f>=IFERROR($B$14/$B$10,"")</f>
        <v/>
      </c>
      <c r="I162" s="15" t="str">
        <f>=IFERROR(G162/H162,"")</f>
        <v/>
      </c>
      <c r="J162" s="16" t="str">
        <f>=IF(F162="","",F162/3600)</f>
        <v/>
      </c>
      <c r="K162" s="11" t="str">
        <f>=IF(L162="","",IF(ISNUMBER(FIND("|",L162)),TRIM(LEFT(L162,FIND("|",L162)-1)),IF(ISNUMBER(MATCH(L162,Config!$F$1:$F$853,0)),L162,IFERROR(INDEX(Config!$F$1:$F$853,MATCH(L162,Config!$G$1:$G$853,0)),""))))</f>
        <v/>
      </c>
      <c r="L162" s="17" t="str">
        <f>=IFERROR(INDEX($L$17:L161,MATCH(C162,$C$17:C161,0)),"")</f>
        <v/>
      </c>
    </row>
    <row r="163" ht="18" customHeight="1" spans="1:12" x14ac:dyDescent="0.25">
      <c r="A163" s="10" t="s">
        <v>2</v>
      </c>
      <c r="B163" s="10" t="s">
        <v>2</v>
      </c>
      <c r="C163" s="10" t="s">
        <v>2</v>
      </c>
      <c r="D163" s="11" t="str">
        <f>=IF(E163="","",IF(ISNUMBER(FIND("|",E163)),TRIM(LEFT(E163,FIND("|",E163)-1)),IF(ISNUMBER(MATCH(E163,Config!$C$1:$C$311,0)),E163,IFERROR(INDEX(Config!$C$1:$C$311,MATCH(E163,Config!$D$1:$D$311,0)),""))))</f>
        <v>OP-0284</v>
      </c>
      <c r="E163" s="12" t="s">
        <v>172</v>
      </c>
      <c r="F163" s="13">
        <v>36</v>
      </c>
      <c r="G163" s="14" t="str">
        <f>=IF(C163="","",SUMIF($C$17:$C$502,C163,$F$17:$F$502))</f>
        <v/>
      </c>
      <c r="H163" s="14" t="str">
        <f>=IFERROR($B$14/$B$10,"")</f>
        <v/>
      </c>
      <c r="I163" s="15" t="str">
        <f>=IFERROR(G163/H163,"")</f>
        <v/>
      </c>
      <c r="J163" s="16" t="str">
        <f>=IF(F163="","",F163/3600)</f>
        <v/>
      </c>
      <c r="K163" s="11" t="str">
        <f>=IF(L163="","",IF(ISNUMBER(FIND("|",L163)),TRIM(LEFT(L163,FIND("|",L163)-1)),IF(ISNUMBER(MATCH(L163,Config!$F$1:$F$853,0)),L163,IFERROR(INDEX(Config!$F$1:$F$853,MATCH(L163,Config!$G$1:$G$853,0)),""))))</f>
        <v/>
      </c>
      <c r="L163" s="17" t="str">
        <f>=IFERROR(INDEX($L$17:L162,MATCH(C163,$C$17:C162,0)),"")</f>
        <v/>
      </c>
    </row>
    <row r="164" ht="18" customHeight="1" spans="1:12" x14ac:dyDescent="0.25">
      <c r="A164" s="10" t="s">
        <v>2</v>
      </c>
      <c r="B164" s="10" t="s">
        <v>2</v>
      </c>
      <c r="C164" s="10" t="s">
        <v>2</v>
      </c>
      <c r="D164" s="11" t="str">
        <f>=IF(E164="","",IF(ISNUMBER(FIND("|",E164)),TRIM(LEFT(E164,FIND("|",E164)-1)),IF(ISNUMBER(MATCH(E164,Config!$C$1:$C$311,0)),E164,IFERROR(INDEX(Config!$C$1:$C$311,MATCH(E164,Config!$D$1:$D$311,0)),""))))</f>
        <v>OP-0285</v>
      </c>
      <c r="E164" s="12" t="s">
        <v>173</v>
      </c>
      <c r="F164" s="13">
        <v>32</v>
      </c>
      <c r="G164" s="14" t="str">
        <f>=IF(C164="","",SUMIF($C$17:$C$502,C164,$F$17:$F$502))</f>
        <v/>
      </c>
      <c r="H164" s="14" t="str">
        <f>=IFERROR($B$14/$B$10,"")</f>
        <v/>
      </c>
      <c r="I164" s="15" t="str">
        <f>=IFERROR(G164/H164,"")</f>
        <v/>
      </c>
      <c r="J164" s="16" t="str">
        <f>=IF(F164="","",F164/3600)</f>
        <v/>
      </c>
      <c r="K164" s="11" t="str">
        <f>=IF(L164="","",IF(ISNUMBER(FIND("|",L164)),TRIM(LEFT(L164,FIND("|",L164)-1)),IF(ISNUMBER(MATCH(L164,Config!$F$1:$F$853,0)),L164,IFERROR(INDEX(Config!$F$1:$F$853,MATCH(L164,Config!$G$1:$G$853,0)),""))))</f>
        <v/>
      </c>
      <c r="L164" s="17" t="str">
        <f>=IFERROR(INDEX($L$17:L163,MATCH(C164,$C$17:C163,0)),"")</f>
        <v/>
      </c>
    </row>
    <row r="165" ht="18" customHeight="1" spans="1:12" x14ac:dyDescent="0.25">
      <c r="A165" s="10" t="s">
        <v>2</v>
      </c>
      <c r="B165" s="10" t="s">
        <v>2</v>
      </c>
      <c r="C165" s="10" t="s">
        <v>2</v>
      </c>
      <c r="D165" s="11" t="str">
        <f>=IF(E165="","",IF(ISNUMBER(FIND("|",E165)),TRIM(LEFT(E165,FIND("|",E165)-1)),IF(ISNUMBER(MATCH(E165,Config!$C$1:$C$311,0)),E165,IFERROR(INDEX(Config!$C$1:$C$311,MATCH(E165,Config!$D$1:$D$311,0)),""))))</f>
        <v>OP-0286</v>
      </c>
      <c r="E165" s="12" t="s">
        <v>174</v>
      </c>
      <c r="F165" s="13">
        <v>16</v>
      </c>
      <c r="G165" s="14" t="str">
        <f>=IF(C165="","",SUMIF($C$17:$C$502,C165,$F$17:$F$502))</f>
        <v/>
      </c>
      <c r="H165" s="14" t="str">
        <f>=IFERROR($B$14/$B$10,"")</f>
        <v/>
      </c>
      <c r="I165" s="15" t="str">
        <f>=IFERROR(G165/H165,"")</f>
        <v/>
      </c>
      <c r="J165" s="16" t="str">
        <f>=IF(F165="","",F165/3600)</f>
        <v/>
      </c>
      <c r="K165" s="11" t="str">
        <f>=IF(L165="","",IF(ISNUMBER(FIND("|",L165)),TRIM(LEFT(L165,FIND("|",L165)-1)),IF(ISNUMBER(MATCH(L165,Config!$F$1:$F$853,0)),L165,IFERROR(INDEX(Config!$F$1:$F$853,MATCH(L165,Config!$G$1:$G$853,0)),""))))</f>
        <v/>
      </c>
      <c r="L165" s="17" t="str">
        <f>=IFERROR(INDEX($L$17:L164,MATCH(C165,$C$17:C164,0)),"")</f>
        <v/>
      </c>
    </row>
    <row r="166" ht="18" customHeight="1" spans="1:12" x14ac:dyDescent="0.25">
      <c r="A166" s="10" t="s">
        <v>2</v>
      </c>
      <c r="B166" s="10" t="s">
        <v>2</v>
      </c>
      <c r="C166" s="10" t="s">
        <v>2</v>
      </c>
      <c r="D166" s="11" t="str">
        <f>=IF(E166="","",IF(ISNUMBER(FIND("|",E166)),TRIM(LEFT(E166,FIND("|",E166)-1)),IF(ISNUMBER(MATCH(E166,Config!$C$1:$C$311,0)),E166,IFERROR(INDEX(Config!$C$1:$C$311,MATCH(E166,Config!$D$1:$D$311,0)),""))))</f>
        <v>OP-0287</v>
      </c>
      <c r="E166" s="12" t="s">
        <v>175</v>
      </c>
      <c r="F166" s="13">
        <v>32</v>
      </c>
      <c r="G166" s="14" t="str">
        <f>=IF(C166="","",SUMIF($C$17:$C$502,C166,$F$17:$F$502))</f>
        <v/>
      </c>
      <c r="H166" s="14" t="str">
        <f>=IFERROR($B$14/$B$10,"")</f>
        <v/>
      </c>
      <c r="I166" s="15" t="str">
        <f>=IFERROR(G166/H166,"")</f>
        <v/>
      </c>
      <c r="J166" s="16" t="str">
        <f>=IF(F166="","",F166/3600)</f>
        <v/>
      </c>
      <c r="K166" s="11" t="str">
        <f>=IF(L166="","",IF(ISNUMBER(FIND("|",L166)),TRIM(LEFT(L166,FIND("|",L166)-1)),IF(ISNUMBER(MATCH(L166,Config!$F$1:$F$853,0)),L166,IFERROR(INDEX(Config!$F$1:$F$853,MATCH(L166,Config!$G$1:$G$853,0)),""))))</f>
        <v/>
      </c>
      <c r="L166" s="17" t="str">
        <f>=IFERROR(INDEX($L$17:L165,MATCH(C166,$C$17:C165,0)),"")</f>
        <v/>
      </c>
    </row>
    <row r="167" ht="18" customHeight="1" spans="1:12" x14ac:dyDescent="0.25">
      <c r="A167" s="10" t="s">
        <v>2</v>
      </c>
      <c r="B167" s="10" t="s">
        <v>2</v>
      </c>
      <c r="C167" s="10" t="s">
        <v>2</v>
      </c>
      <c r="D167" s="11" t="str">
        <f>=IF(E167="","",IF(ISNUMBER(FIND("|",E167)),TRIM(LEFT(E167,FIND("|",E167)-1)),IF(ISNUMBER(MATCH(E167,Config!$C$1:$C$311,0)),E167,IFERROR(INDEX(Config!$C$1:$C$311,MATCH(E167,Config!$D$1:$D$311,0)),""))))</f>
        <v>OP-0288</v>
      </c>
      <c r="E167" s="12" t="s">
        <v>176</v>
      </c>
      <c r="F167" s="13">
        <v>16</v>
      </c>
      <c r="G167" s="14" t="str">
        <f>=IF(C167="","",SUMIF($C$17:$C$502,C167,$F$17:$F$502))</f>
        <v/>
      </c>
      <c r="H167" s="14" t="str">
        <f>=IFERROR($B$14/$B$10,"")</f>
        <v/>
      </c>
      <c r="I167" s="15" t="str">
        <f>=IFERROR(G167/H167,"")</f>
        <v/>
      </c>
      <c r="J167" s="16" t="str">
        <f>=IF(F167="","",F167/3600)</f>
        <v/>
      </c>
      <c r="K167" s="11" t="str">
        <f>=IF(L167="","",IF(ISNUMBER(FIND("|",L167)),TRIM(LEFT(L167,FIND("|",L167)-1)),IF(ISNUMBER(MATCH(L167,Config!$F$1:$F$853,0)),L167,IFERROR(INDEX(Config!$F$1:$F$853,MATCH(L167,Config!$G$1:$G$853,0)),""))))</f>
        <v/>
      </c>
      <c r="L167" s="17" t="str">
        <f>=IFERROR(INDEX($L$17:L166,MATCH(C167,$C$17:C166,0)),"")</f>
        <v/>
      </c>
    </row>
    <row r="168" ht="18" customHeight="1" spans="1:12" x14ac:dyDescent="0.25">
      <c r="A168" s="10" t="s">
        <v>2</v>
      </c>
      <c r="B168" s="10" t="s">
        <v>2</v>
      </c>
      <c r="C168" s="10" t="s">
        <v>2</v>
      </c>
      <c r="D168" s="11" t="str">
        <f>=IF(E168="","",IF(ISNUMBER(FIND("|",E168)),TRIM(LEFT(E168,FIND("|",E168)-1)),IF(ISNUMBER(MATCH(E168,Config!$C$1:$C$311,0)),E168,IFERROR(INDEX(Config!$C$1:$C$311,MATCH(E168,Config!$D$1:$D$311,0)),""))))</f>
        <v>OP-0289</v>
      </c>
      <c r="E168" s="12" t="s">
        <v>177</v>
      </c>
      <c r="F168" s="13">
        <v>28</v>
      </c>
      <c r="G168" s="14" t="str">
        <f>=IF(C168="","",SUMIF($C$17:$C$502,C168,$F$17:$F$502))</f>
        <v/>
      </c>
      <c r="H168" s="14" t="str">
        <f>=IFERROR($B$14/$B$10,"")</f>
        <v/>
      </c>
      <c r="I168" s="15" t="str">
        <f>=IFERROR(G168/H168,"")</f>
        <v/>
      </c>
      <c r="J168" s="16" t="str">
        <f>=IF(F168="","",F168/3600)</f>
        <v/>
      </c>
      <c r="K168" s="11" t="str">
        <f>=IF(L168="","",IF(ISNUMBER(FIND("|",L168)),TRIM(LEFT(L168,FIND("|",L168)-1)),IF(ISNUMBER(MATCH(L168,Config!$F$1:$F$853,0)),L168,IFERROR(INDEX(Config!$F$1:$F$853,MATCH(L168,Config!$G$1:$G$853,0)),""))))</f>
        <v/>
      </c>
      <c r="L168" s="17" t="str">
        <f>=IFERROR(INDEX($L$17:L167,MATCH(C168,$C$17:C167,0)),"")</f>
        <v/>
      </c>
    </row>
    <row r="169" ht="18" customHeight="1" spans="1:12" x14ac:dyDescent="0.25">
      <c r="A169" s="10" t="s">
        <v>2</v>
      </c>
      <c r="B169" s="10" t="s">
        <v>2</v>
      </c>
      <c r="C169" s="10" t="s">
        <v>2</v>
      </c>
      <c r="D169" s="11" t="str">
        <f>=IF(E169="","",IF(ISNUMBER(FIND("|",E169)),TRIM(LEFT(E169,FIND("|",E169)-1)),IF(ISNUMBER(MATCH(E169,Config!$C$1:$C$311,0)),E169,IFERROR(INDEX(Config!$C$1:$C$311,MATCH(E169,Config!$D$1:$D$311,0)),""))))</f>
        <v>OP-0195</v>
      </c>
      <c r="E169" s="12" t="s">
        <v>83</v>
      </c>
      <c r="F169" s="13">
        <v>10</v>
      </c>
      <c r="G169" s="14" t="str">
        <f>=IF(C169="","",SUMIF($C$17:$C$502,C169,$F$17:$F$502))</f>
        <v/>
      </c>
      <c r="H169" s="14" t="str">
        <f>=IFERROR($B$14/$B$10,"")</f>
        <v/>
      </c>
      <c r="I169" s="15" t="str">
        <f>=IFERROR(G169/H169,"")</f>
        <v/>
      </c>
      <c r="J169" s="16" t="str">
        <f>=IF(F169="","",F169/3600)</f>
        <v/>
      </c>
      <c r="K169" s="11" t="str">
        <f>=IF(L169="","",IF(ISNUMBER(FIND("|",L169)),TRIM(LEFT(L169,FIND("|",L169)-1)),IF(ISNUMBER(MATCH(L169,Config!$F$1:$F$853,0)),L169,IFERROR(INDEX(Config!$F$1:$F$853,MATCH(L169,Config!$G$1:$G$853,0)),""))))</f>
        <v/>
      </c>
      <c r="L169" s="17" t="str">
        <f>=IFERROR(INDEX($L$17:L168,MATCH(C169,$C$17:C168,0)),"")</f>
        <v/>
      </c>
    </row>
    <row r="170" ht="18" customHeight="1" spans="1:12" x14ac:dyDescent="0.25">
      <c r="A170" s="10" t="s">
        <v>2</v>
      </c>
      <c r="B170" s="10" t="s">
        <v>2</v>
      </c>
      <c r="C170" s="10" t="s">
        <v>2</v>
      </c>
      <c r="D170" s="11" t="str">
        <f>=IF(E170="","",IF(ISNUMBER(FIND("|",E170)),TRIM(LEFT(E170,FIND("|",E170)-1)),IF(ISNUMBER(MATCH(E170,Config!$C$1:$C$311,0)),E170,IFERROR(INDEX(Config!$C$1:$C$311,MATCH(E170,Config!$D$1:$D$311,0)),""))))</f>
        <v>OP-0290</v>
      </c>
      <c r="E170" s="12" t="s">
        <v>178</v>
      </c>
      <c r="F170" s="13">
        <v>48</v>
      </c>
      <c r="G170" s="14" t="str">
        <f>=IF(C170="","",SUMIF($C$17:$C$502,C170,$F$17:$F$502))</f>
        <v/>
      </c>
      <c r="H170" s="14" t="str">
        <f>=IFERROR($B$14/$B$10,"")</f>
        <v/>
      </c>
      <c r="I170" s="15" t="str">
        <f>=IFERROR(G170/H170,"")</f>
        <v/>
      </c>
      <c r="J170" s="16" t="str">
        <f>=IF(F170="","",F170/3600)</f>
        <v/>
      </c>
      <c r="K170" s="11" t="str">
        <f>=IF(L170="","",IF(ISNUMBER(FIND("|",L170)),TRIM(LEFT(L170,FIND("|",L170)-1)),IF(ISNUMBER(MATCH(L170,Config!$F$1:$F$853,0)),L170,IFERROR(INDEX(Config!$F$1:$F$853,MATCH(L170,Config!$G$1:$G$853,0)),""))))</f>
        <v/>
      </c>
      <c r="L170" s="17" t="str">
        <f>=IFERROR(INDEX($L$17:L169,MATCH(C170,$C$17:C169,0)),"")</f>
        <v/>
      </c>
    </row>
    <row r="171" ht="18" customHeight="1" spans="1:12" x14ac:dyDescent="0.25">
      <c r="A171" s="10" t="s">
        <v>2</v>
      </c>
      <c r="B171" s="10" t="s">
        <v>2</v>
      </c>
      <c r="C171" s="10" t="s">
        <v>2</v>
      </c>
      <c r="D171" s="11" t="str">
        <f>=IF(E171="","",IF(ISNUMBER(FIND("|",E171)),TRIM(LEFT(E171,FIND("|",E171)-1)),IF(ISNUMBER(MATCH(E171,Config!$C$1:$C$311,0)),E171,IFERROR(INDEX(Config!$C$1:$C$311,MATCH(E171,Config!$D$1:$D$311,0)),""))))</f>
        <v>OP-0291</v>
      </c>
      <c r="E171" s="12" t="s">
        <v>179</v>
      </c>
      <c r="F171" s="13">
        <v>72</v>
      </c>
      <c r="G171" s="14" t="str">
        <f>=IF(C171="","",SUMIF($C$17:$C$502,C171,$F$17:$F$502))</f>
        <v/>
      </c>
      <c r="H171" s="14" t="str">
        <f>=IFERROR($B$14/$B$10,"")</f>
        <v/>
      </c>
      <c r="I171" s="15" t="str">
        <f>=IFERROR(G171/H171,"")</f>
        <v/>
      </c>
      <c r="J171" s="16" t="str">
        <f>=IF(F171="","",F171/3600)</f>
        <v/>
      </c>
      <c r="K171" s="11" t="str">
        <f>=IF(L171="","",IF(ISNUMBER(FIND("|",L171)),TRIM(LEFT(L171,FIND("|",L171)-1)),IF(ISNUMBER(MATCH(L171,Config!$F$1:$F$853,0)),L171,IFERROR(INDEX(Config!$F$1:$F$853,MATCH(L171,Config!$G$1:$G$853,0)),""))))</f>
        <v/>
      </c>
      <c r="L171" s="17" t="str">
        <f>=IFERROR(INDEX($L$17:L170,MATCH(C171,$C$17:C170,0)),"")</f>
        <v/>
      </c>
    </row>
    <row r="172" ht="18" customHeight="1" spans="1:12" x14ac:dyDescent="0.25">
      <c r="A172" s="10" t="s">
        <v>2</v>
      </c>
      <c r="B172" s="10" t="s">
        <v>2</v>
      </c>
      <c r="C172" s="10" t="s">
        <v>2</v>
      </c>
      <c r="D172" s="11" t="str">
        <f>=IF(E172="","",IF(ISNUMBER(FIND("|",E172)),TRIM(LEFT(E172,FIND("|",E172)-1)),IF(ISNUMBER(MATCH(E172,Config!$C$1:$C$311,0)),E172,IFERROR(INDEX(Config!$C$1:$C$311,MATCH(E172,Config!$D$1:$D$311,0)),""))))</f>
        <v>OP-0292</v>
      </c>
      <c r="E172" s="12" t="s">
        <v>180</v>
      </c>
      <c r="F172" s="13">
        <v>56</v>
      </c>
      <c r="G172" s="14" t="str">
        <f>=IF(C172="","",SUMIF($C$17:$C$502,C172,$F$17:$F$502))</f>
        <v/>
      </c>
      <c r="H172" s="14" t="str">
        <f>=IFERROR($B$14/$B$10,"")</f>
        <v/>
      </c>
      <c r="I172" s="15" t="str">
        <f>=IFERROR(G172/H172,"")</f>
        <v/>
      </c>
      <c r="J172" s="16" t="str">
        <f>=IF(F172="","",F172/3600)</f>
        <v/>
      </c>
      <c r="K172" s="11" t="str">
        <f>=IF(L172="","",IF(ISNUMBER(FIND("|",L172)),TRIM(LEFT(L172,FIND("|",L172)-1)),IF(ISNUMBER(MATCH(L172,Config!$F$1:$F$853,0)),L172,IFERROR(INDEX(Config!$F$1:$F$853,MATCH(L172,Config!$G$1:$G$853,0)),""))))</f>
        <v/>
      </c>
      <c r="L172" s="17" t="str">
        <f>=IFERROR(INDEX($L$17:L171,MATCH(C172,$C$17:C171,0)),"")</f>
        <v/>
      </c>
    </row>
    <row r="173" ht="18" customHeight="1" spans="1:12" x14ac:dyDescent="0.25">
      <c r="A173" s="10" t="s">
        <v>2</v>
      </c>
      <c r="B173" s="10" t="s">
        <v>2</v>
      </c>
      <c r="C173" s="10" t="s">
        <v>2</v>
      </c>
      <c r="D173" s="11" t="str">
        <f>=IF(E173="","",IF(ISNUMBER(FIND("|",E173)),TRIM(LEFT(E173,FIND("|",E173)-1)),IF(ISNUMBER(MATCH(E173,Config!$C$1:$C$311,0)),E173,IFERROR(INDEX(Config!$C$1:$C$311,MATCH(E173,Config!$D$1:$D$311,0)),""))))</f>
        <v>OP-0293</v>
      </c>
      <c r="E173" s="12" t="s">
        <v>181</v>
      </c>
      <c r="F173" s="13">
        <v>64</v>
      </c>
      <c r="G173" s="14" t="str">
        <f>=IF(C173="","",SUMIF($C$17:$C$502,C173,$F$17:$F$502))</f>
        <v/>
      </c>
      <c r="H173" s="14" t="str">
        <f>=IFERROR($B$14/$B$10,"")</f>
        <v/>
      </c>
      <c r="I173" s="15" t="str">
        <f>=IFERROR(G173/H173,"")</f>
        <v/>
      </c>
      <c r="J173" s="16" t="str">
        <f>=IF(F173="","",F173/3600)</f>
        <v/>
      </c>
      <c r="K173" s="11" t="str">
        <f>=IF(L173="","",IF(ISNUMBER(FIND("|",L173)),TRIM(LEFT(L173,FIND("|",L173)-1)),IF(ISNUMBER(MATCH(L173,Config!$F$1:$F$853,0)),L173,IFERROR(INDEX(Config!$F$1:$F$853,MATCH(L173,Config!$G$1:$G$853,0)),""))))</f>
        <v/>
      </c>
      <c r="L173" s="17" t="str">
        <f>=IFERROR(INDEX($L$17:L172,MATCH(C173,$C$17:C172,0)),"")</f>
        <v/>
      </c>
    </row>
    <row r="174" ht="18" customHeight="1" spans="1:12" x14ac:dyDescent="0.25">
      <c r="A174" s="10" t="s">
        <v>2</v>
      </c>
      <c r="B174" s="10" t="s">
        <v>2</v>
      </c>
      <c r="C174" s="10" t="s">
        <v>2</v>
      </c>
      <c r="D174" s="11" t="str">
        <f>=IF(E174="","",IF(ISNUMBER(FIND("|",E174)),TRIM(LEFT(E174,FIND("|",E174)-1)),IF(ISNUMBER(MATCH(E174,Config!$C$1:$C$311,0)),E174,IFERROR(INDEX(Config!$C$1:$C$311,MATCH(E174,Config!$D$1:$D$311,0)),""))))</f>
        <v>OP-0187</v>
      </c>
      <c r="E174" s="12" t="s">
        <v>75</v>
      </c>
      <c r="F174" s="13">
        <v>15</v>
      </c>
      <c r="G174" s="14" t="str">
        <f>=IF(C174="","",SUMIF($C$17:$C$502,C174,$F$17:$F$502))</f>
        <v/>
      </c>
      <c r="H174" s="14" t="str">
        <f>=IFERROR($B$14/$B$10,"")</f>
        <v/>
      </c>
      <c r="I174" s="15" t="str">
        <f>=IFERROR(G174/H174,"")</f>
        <v/>
      </c>
      <c r="J174" s="16" t="str">
        <f>=IF(F174="","",F174/3600)</f>
        <v/>
      </c>
      <c r="K174" s="11" t="str">
        <f>=IF(L174="","",IF(ISNUMBER(FIND("|",L174)),TRIM(LEFT(L174,FIND("|",L174)-1)),IF(ISNUMBER(MATCH(L174,Config!$F$1:$F$853,0)),L174,IFERROR(INDEX(Config!$F$1:$F$853,MATCH(L174,Config!$G$1:$G$853,0)),""))))</f>
        <v/>
      </c>
      <c r="L174" s="17" t="str">
        <f>=IFERROR(INDEX($L$17:L173,MATCH(C174,$C$17:C173,0)),"")</f>
        <v/>
      </c>
    </row>
    <row r="175" ht="18" customHeight="1" spans="1:12" x14ac:dyDescent="0.25">
      <c r="A175" s="10" t="s">
        <v>2</v>
      </c>
      <c r="B175" s="10" t="s">
        <v>2</v>
      </c>
      <c r="C175" s="10" t="s">
        <v>2</v>
      </c>
      <c r="D175" s="11" t="str">
        <f>=IF(E175="","",IF(ISNUMBER(FIND("|",E175)),TRIM(LEFT(E175,FIND("|",E175)-1)),IF(ISNUMBER(MATCH(E175,Config!$C$1:$C$311,0)),E175,IFERROR(INDEX(Config!$C$1:$C$311,MATCH(E175,Config!$D$1:$D$311,0)),""))))</f>
        <v>OP-0294</v>
      </c>
      <c r="E175" s="12" t="s">
        <v>182</v>
      </c>
      <c r="F175" s="13">
        <v>30</v>
      </c>
      <c r="G175" s="14" t="str">
        <f>=IF(C175="","",SUMIF($C$17:$C$502,C175,$F$17:$F$502))</f>
        <v/>
      </c>
      <c r="H175" s="14" t="str">
        <f>=IFERROR($B$14/$B$10,"")</f>
        <v/>
      </c>
      <c r="I175" s="15" t="str">
        <f>=IFERROR(G175/H175,"")</f>
        <v/>
      </c>
      <c r="J175" s="16" t="str">
        <f>=IF(F175="","",F175/3600)</f>
        <v/>
      </c>
      <c r="K175" s="11" t="str">
        <f>=IF(L175="","",IF(ISNUMBER(FIND("|",L175)),TRIM(LEFT(L175,FIND("|",L175)-1)),IF(ISNUMBER(MATCH(L175,Config!$F$1:$F$853,0)),L175,IFERROR(INDEX(Config!$F$1:$F$853,MATCH(L175,Config!$G$1:$G$853,0)),""))))</f>
        <v/>
      </c>
      <c r="L175" s="17" t="str">
        <f>=IFERROR(INDEX($L$17:L174,MATCH(C175,$C$17:C174,0)),"")</f>
        <v/>
      </c>
    </row>
    <row r="176" ht="18" customHeight="1" spans="1:12" x14ac:dyDescent="0.25">
      <c r="A176" s="10" t="s">
        <v>2</v>
      </c>
      <c r="B176" s="10" t="s">
        <v>2</v>
      </c>
      <c r="C176" s="10" t="s">
        <v>2</v>
      </c>
      <c r="D176" s="11" t="str">
        <f>=IF(E176="","",IF(ISNUMBER(FIND("|",E176)),TRIM(LEFT(E176,FIND("|",E176)-1)),IF(ISNUMBER(MATCH(E176,Config!$C$1:$C$311,0)),E176,IFERROR(INDEX(Config!$C$1:$C$311,MATCH(E176,Config!$D$1:$D$311,0)),""))))</f>
        <v>OP-0295</v>
      </c>
      <c r="E176" s="12" t="s">
        <v>183</v>
      </c>
      <c r="F176" s="13">
        <v>32</v>
      </c>
      <c r="G176" s="14" t="str">
        <f>=IF(C176="","",SUMIF($C$17:$C$502,C176,$F$17:$F$502))</f>
        <v/>
      </c>
      <c r="H176" s="14" t="str">
        <f>=IFERROR($B$14/$B$10,"")</f>
        <v/>
      </c>
      <c r="I176" s="15" t="str">
        <f>=IFERROR(G176/H176,"")</f>
        <v/>
      </c>
      <c r="J176" s="16" t="str">
        <f>=IF(F176="","",F176/3600)</f>
        <v/>
      </c>
      <c r="K176" s="11" t="str">
        <f>=IF(L176="","",IF(ISNUMBER(FIND("|",L176)),TRIM(LEFT(L176,FIND("|",L176)-1)),IF(ISNUMBER(MATCH(L176,Config!$F$1:$F$853,0)),L176,IFERROR(INDEX(Config!$F$1:$F$853,MATCH(L176,Config!$G$1:$G$853,0)),""))))</f>
        <v/>
      </c>
      <c r="L176" s="17" t="str">
        <f>=IFERROR(INDEX($L$17:L175,MATCH(C176,$C$17:C175,0)),"")</f>
        <v/>
      </c>
    </row>
    <row r="177" ht="18" customHeight="1" spans="1:12" x14ac:dyDescent="0.25">
      <c r="A177" s="10" t="s">
        <v>2</v>
      </c>
      <c r="B177" s="10" t="s">
        <v>2</v>
      </c>
      <c r="C177" s="10" t="s">
        <v>2</v>
      </c>
      <c r="D177" s="11" t="str">
        <f>=IF(E177="","",IF(ISNUMBER(FIND("|",E177)),TRIM(LEFT(E177,FIND("|",E177)-1)),IF(ISNUMBER(MATCH(E177,Config!$C$1:$C$311,0)),E177,IFERROR(INDEX(Config!$C$1:$C$311,MATCH(E177,Config!$D$1:$D$311,0)),""))))</f>
        <v>OP-0296</v>
      </c>
      <c r="E177" s="12" t="s">
        <v>184</v>
      </c>
      <c r="F177" s="13">
        <v>48</v>
      </c>
      <c r="G177" s="14" t="str">
        <f>=IF(C177="","",SUMIF($C$17:$C$502,C177,$F$17:$F$502))</f>
        <v/>
      </c>
      <c r="H177" s="14" t="str">
        <f>=IFERROR($B$14/$B$10,"")</f>
        <v/>
      </c>
      <c r="I177" s="15" t="str">
        <f>=IFERROR(G177/H177,"")</f>
        <v/>
      </c>
      <c r="J177" s="16" t="str">
        <f>=IF(F177="","",F177/3600)</f>
        <v/>
      </c>
      <c r="K177" s="11" t="str">
        <f>=IF(L177="","",IF(ISNUMBER(FIND("|",L177)),TRIM(LEFT(L177,FIND("|",L177)-1)),IF(ISNUMBER(MATCH(L177,Config!$F$1:$F$853,0)),L177,IFERROR(INDEX(Config!$F$1:$F$853,MATCH(L177,Config!$G$1:$G$853,0)),""))))</f>
        <v/>
      </c>
      <c r="L177" s="17" t="str">
        <f>=IFERROR(INDEX($L$17:L176,MATCH(C177,$C$17:C176,0)),"")</f>
        <v/>
      </c>
    </row>
    <row r="178" ht="18" customHeight="1" spans="1:12" x14ac:dyDescent="0.25">
      <c r="A178" s="10" t="s">
        <v>2</v>
      </c>
      <c r="B178" s="10" t="s">
        <v>2</v>
      </c>
      <c r="C178" s="10" t="s">
        <v>2</v>
      </c>
      <c r="D178" s="11" t="str">
        <f>=IF(E178="","",IF(ISNUMBER(FIND("|",E178)),TRIM(LEFT(E178,FIND("|",E178)-1)),IF(ISNUMBER(MATCH(E178,Config!$C$1:$C$311,0)),E178,IFERROR(INDEX(Config!$C$1:$C$311,MATCH(E178,Config!$D$1:$D$311,0)),""))))</f>
        <v>OP-0297</v>
      </c>
      <c r="E178" s="12" t="s">
        <v>185</v>
      </c>
      <c r="F178" s="13">
        <v>28</v>
      </c>
      <c r="G178" s="14" t="str">
        <f>=IF(C178="","",SUMIF($C$17:$C$502,C178,$F$17:$F$502))</f>
        <v/>
      </c>
      <c r="H178" s="14" t="str">
        <f>=IFERROR($B$14/$B$10,"")</f>
        <v/>
      </c>
      <c r="I178" s="15" t="str">
        <f>=IFERROR(G178/H178,"")</f>
        <v/>
      </c>
      <c r="J178" s="16" t="str">
        <f>=IF(F178="","",F178/3600)</f>
        <v/>
      </c>
      <c r="K178" s="11" t="str">
        <f>=IF(L178="","",IF(ISNUMBER(FIND("|",L178)),TRIM(LEFT(L178,FIND("|",L178)-1)),IF(ISNUMBER(MATCH(L178,Config!$F$1:$F$853,0)),L178,IFERROR(INDEX(Config!$F$1:$F$853,MATCH(L178,Config!$G$1:$G$853,0)),""))))</f>
        <v/>
      </c>
      <c r="L178" s="17" t="str">
        <f>=IFERROR(INDEX($L$17:L177,MATCH(C178,$C$17:C177,0)),"")</f>
        <v/>
      </c>
    </row>
    <row r="179" ht="18" customHeight="1" spans="1:12" x14ac:dyDescent="0.25">
      <c r="A179" s="10" t="s">
        <v>2</v>
      </c>
      <c r="B179" s="10" t="s">
        <v>2</v>
      </c>
      <c r="C179" s="10" t="s">
        <v>2</v>
      </c>
      <c r="D179" s="11" t="str">
        <f>=IF(E179="","",IF(ISNUMBER(FIND("|",E179)),TRIM(LEFT(E179,FIND("|",E179)-1)),IF(ISNUMBER(MATCH(E179,Config!$C$1:$C$311,0)),E179,IFERROR(INDEX(Config!$C$1:$C$311,MATCH(E179,Config!$D$1:$D$311,0)),""))))</f>
        <v>OP-0298</v>
      </c>
      <c r="E179" s="12" t="s">
        <v>186</v>
      </c>
      <c r="F179" s="13">
        <v>16</v>
      </c>
      <c r="G179" s="14" t="str">
        <f>=IF(C179="","",SUMIF($C$17:$C$502,C179,$F$17:$F$502))</f>
        <v/>
      </c>
      <c r="H179" s="14" t="str">
        <f>=IFERROR($B$14/$B$10,"")</f>
        <v/>
      </c>
      <c r="I179" s="15" t="str">
        <f>=IFERROR(G179/H179,"")</f>
        <v/>
      </c>
      <c r="J179" s="16" t="str">
        <f>=IF(F179="","",F179/3600)</f>
        <v/>
      </c>
      <c r="K179" s="11" t="str">
        <f>=IF(L179="","",IF(ISNUMBER(FIND("|",L179)),TRIM(LEFT(L179,FIND("|",L179)-1)),IF(ISNUMBER(MATCH(L179,Config!$F$1:$F$853,0)),L179,IFERROR(INDEX(Config!$F$1:$F$853,MATCH(L179,Config!$G$1:$G$853,0)),""))))</f>
        <v/>
      </c>
      <c r="L179" s="17" t="str">
        <f>=IFERROR(INDEX($L$17:L178,MATCH(C179,$C$17:C178,0)),"")</f>
        <v/>
      </c>
    </row>
    <row r="180" ht="18" customHeight="1" spans="1:12" x14ac:dyDescent="0.25">
      <c r="A180" s="10" t="s">
        <v>2</v>
      </c>
      <c r="B180" s="10" t="s">
        <v>2</v>
      </c>
      <c r="C180" s="10" t="s">
        <v>2</v>
      </c>
      <c r="D180" s="11" t="str">
        <f>=IF(E180="","",IF(ISNUMBER(FIND("|",E180)),TRIM(LEFT(E180,FIND("|",E180)-1)),IF(ISNUMBER(MATCH(E180,Config!$C$1:$C$311,0)),E180,IFERROR(INDEX(Config!$C$1:$C$311,MATCH(E180,Config!$D$1:$D$311,0)),""))))</f>
        <v>OP-0299</v>
      </c>
      <c r="E180" s="12" t="s">
        <v>187</v>
      </c>
      <c r="F180" s="13">
        <v>20</v>
      </c>
      <c r="G180" s="14" t="str">
        <f>=IF(C180="","",SUMIF($C$17:$C$502,C180,$F$17:$F$502))</f>
        <v/>
      </c>
      <c r="H180" s="14" t="str">
        <f>=IFERROR($B$14/$B$10,"")</f>
        <v/>
      </c>
      <c r="I180" s="15" t="str">
        <f>=IFERROR(G180/H180,"")</f>
        <v/>
      </c>
      <c r="J180" s="16" t="str">
        <f>=IF(F180="","",F180/3600)</f>
        <v/>
      </c>
      <c r="K180" s="11" t="str">
        <f>=IF(L180="","",IF(ISNUMBER(FIND("|",L180)),TRIM(LEFT(L180,FIND("|",L180)-1)),IF(ISNUMBER(MATCH(L180,Config!$F$1:$F$853,0)),L180,IFERROR(INDEX(Config!$F$1:$F$853,MATCH(L180,Config!$G$1:$G$853,0)),""))))</f>
        <v/>
      </c>
      <c r="L180" s="17" t="str">
        <f>=IFERROR(INDEX($L$17:L179,MATCH(C180,$C$17:C179,0)),"")</f>
        <v/>
      </c>
    </row>
    <row r="181" ht="18" customHeight="1" spans="1:12" x14ac:dyDescent="0.25">
      <c r="A181" s="10" t="s">
        <v>2</v>
      </c>
      <c r="B181" s="10" t="s">
        <v>2</v>
      </c>
      <c r="C181" s="10" t="s">
        <v>2</v>
      </c>
      <c r="D181" s="11" t="str">
        <f>=IF(E181="","",IF(ISNUMBER(FIND("|",E181)),TRIM(LEFT(E181,FIND("|",E181)-1)),IF(ISNUMBER(MATCH(E181,Config!$C$1:$C$311,0)),E181,IFERROR(INDEX(Config!$C$1:$C$311,MATCH(E181,Config!$D$1:$D$311,0)),""))))</f>
        <v>OP-0300</v>
      </c>
      <c r="E181" s="12" t="s">
        <v>188</v>
      </c>
      <c r="F181" s="13">
        <v>36</v>
      </c>
      <c r="G181" s="14" t="str">
        <f>=IF(C181="","",SUMIF($C$17:$C$502,C181,$F$17:$F$502))</f>
        <v/>
      </c>
      <c r="H181" s="14" t="str">
        <f>=IFERROR($B$14/$B$10,"")</f>
        <v/>
      </c>
      <c r="I181" s="15" t="str">
        <f>=IFERROR(G181/H181,"")</f>
        <v/>
      </c>
      <c r="J181" s="16" t="str">
        <f>=IF(F181="","",F181/3600)</f>
        <v/>
      </c>
      <c r="K181" s="11" t="str">
        <f>=IF(L181="","",IF(ISNUMBER(FIND("|",L181)),TRIM(LEFT(L181,FIND("|",L181)-1)),IF(ISNUMBER(MATCH(L181,Config!$F$1:$F$853,0)),L181,IFERROR(INDEX(Config!$F$1:$F$853,MATCH(L181,Config!$G$1:$G$853,0)),""))))</f>
        <v/>
      </c>
      <c r="L181" s="17" t="str">
        <f>=IFERROR(INDEX($L$17:L180,MATCH(C181,$C$17:C180,0)),"")</f>
        <v/>
      </c>
    </row>
    <row r="182" ht="18" customHeight="1" spans="1:12" x14ac:dyDescent="0.25">
      <c r="A182" s="10" t="s">
        <v>2</v>
      </c>
      <c r="B182" s="10" t="s">
        <v>2</v>
      </c>
      <c r="C182" s="10" t="s">
        <v>2</v>
      </c>
      <c r="D182" s="11" t="str">
        <f>=IF(E182="","",IF(ISNUMBER(FIND("|",E182)),TRIM(LEFT(E182,FIND("|",E182)-1)),IF(ISNUMBER(MATCH(E182,Config!$C$1:$C$311,0)),E182,IFERROR(INDEX(Config!$C$1:$C$311,MATCH(E182,Config!$D$1:$D$311,0)),""))))</f>
        <v>OP-0301</v>
      </c>
      <c r="E182" s="12" t="s">
        <v>189</v>
      </c>
      <c r="F182" s="13">
        <v>32</v>
      </c>
      <c r="G182" s="14" t="str">
        <f>=IF(C182="","",SUMIF($C$17:$C$502,C182,$F$17:$F$502))</f>
        <v/>
      </c>
      <c r="H182" s="14" t="str">
        <f>=IFERROR($B$14/$B$10,"")</f>
        <v/>
      </c>
      <c r="I182" s="15" t="str">
        <f>=IFERROR(G182/H182,"")</f>
        <v/>
      </c>
      <c r="J182" s="16" t="str">
        <f>=IF(F182="","",F182/3600)</f>
        <v/>
      </c>
      <c r="K182" s="11" t="str">
        <f>=IF(L182="","",IF(ISNUMBER(FIND("|",L182)),TRIM(LEFT(L182,FIND("|",L182)-1)),IF(ISNUMBER(MATCH(L182,Config!$F$1:$F$853,0)),L182,IFERROR(INDEX(Config!$F$1:$F$853,MATCH(L182,Config!$G$1:$G$853,0)),""))))</f>
        <v/>
      </c>
      <c r="L182" s="17" t="str">
        <f>=IFERROR(INDEX($L$17:L181,MATCH(C182,$C$17:C181,0)),"")</f>
        <v/>
      </c>
    </row>
    <row r="183" ht="18" customHeight="1" spans="1:12" x14ac:dyDescent="0.25">
      <c r="A183" s="10" t="s">
        <v>2</v>
      </c>
      <c r="B183" s="10" t="s">
        <v>2</v>
      </c>
      <c r="C183" s="10" t="s">
        <v>2</v>
      </c>
      <c r="D183" s="11" t="str">
        <f>=IF(E183="","",IF(ISNUMBER(FIND("|",E183)),TRIM(LEFT(E183,FIND("|",E183)-1)),IF(ISNUMBER(MATCH(E183,Config!$C$1:$C$311,0)),E183,IFERROR(INDEX(Config!$C$1:$C$311,MATCH(E183,Config!$D$1:$D$311,0)),""))))</f>
        <v>OP-0302</v>
      </c>
      <c r="E183" s="12" t="s">
        <v>190</v>
      </c>
      <c r="F183" s="13">
        <v>90</v>
      </c>
      <c r="G183" s="14" t="str">
        <f>=IF(C183="","",SUMIF($C$17:$C$502,C183,$F$17:$F$502))</f>
        <v/>
      </c>
      <c r="H183" s="14" t="str">
        <f>=IFERROR($B$14/$B$10,"")</f>
        <v/>
      </c>
      <c r="I183" s="15" t="str">
        <f>=IFERROR(G183/H183,"")</f>
        <v/>
      </c>
      <c r="J183" s="16" t="str">
        <f>=IF(F183="","",F183/3600)</f>
        <v/>
      </c>
      <c r="K183" s="11" t="str">
        <f>=IF(L183="","",IF(ISNUMBER(FIND("|",L183)),TRIM(LEFT(L183,FIND("|",L183)-1)),IF(ISNUMBER(MATCH(L183,Config!$F$1:$F$853,0)),L183,IFERROR(INDEX(Config!$F$1:$F$853,MATCH(L183,Config!$G$1:$G$853,0)),""))))</f>
        <v/>
      </c>
      <c r="L183" s="17" t="str">
        <f>=IFERROR(INDEX($L$17:L182,MATCH(C183,$C$17:C182,0)),"")</f>
        <v/>
      </c>
    </row>
    <row r="184" ht="18" customHeight="1" spans="1:12" x14ac:dyDescent="0.25">
      <c r="A184" s="10" t="s">
        <v>2</v>
      </c>
      <c r="B184" s="10" t="s">
        <v>2</v>
      </c>
      <c r="C184" s="10" t="s">
        <v>2</v>
      </c>
      <c r="D184" s="11" t="str">
        <f>=IF(E184="","",IF(ISNUMBER(FIND("|",E184)),TRIM(LEFT(E184,FIND("|",E184)-1)),IF(ISNUMBER(MATCH(E184,Config!$C$1:$C$311,0)),E184,IFERROR(INDEX(Config!$C$1:$C$311,MATCH(E184,Config!$D$1:$D$311,0)),""))))</f>
        <v>OP-0303</v>
      </c>
      <c r="E184" s="12" t="s">
        <v>191</v>
      </c>
      <c r="F184" s="13">
        <v>58</v>
      </c>
      <c r="G184" s="14" t="str">
        <f>=IF(C184="","",SUMIF($C$17:$C$502,C184,$F$17:$F$502))</f>
        <v/>
      </c>
      <c r="H184" s="14" t="str">
        <f>=IFERROR($B$14/$B$10,"")</f>
        <v/>
      </c>
      <c r="I184" s="15" t="str">
        <f>=IFERROR(G184/H184,"")</f>
        <v/>
      </c>
      <c r="J184" s="16" t="str">
        <f>=IF(F184="","",F184/3600)</f>
        <v/>
      </c>
      <c r="K184" s="11" t="str">
        <f>=IF(L184="","",IF(ISNUMBER(FIND("|",L184)),TRIM(LEFT(L184,FIND("|",L184)-1)),IF(ISNUMBER(MATCH(L184,Config!$F$1:$F$853,0)),L184,IFERROR(INDEX(Config!$F$1:$F$853,MATCH(L184,Config!$G$1:$G$853,0)),""))))</f>
        <v/>
      </c>
      <c r="L184" s="17" t="str">
        <f>=IFERROR(INDEX($L$17:L183,MATCH(C184,$C$17:C183,0)),"")</f>
        <v/>
      </c>
    </row>
    <row r="185" ht="18" customHeight="1" spans="1:12" x14ac:dyDescent="0.25">
      <c r="A185" s="10" t="s">
        <v>2</v>
      </c>
      <c r="B185" s="10" t="s">
        <v>2</v>
      </c>
      <c r="C185" s="10" t="s">
        <v>2</v>
      </c>
      <c r="D185" s="11" t="str">
        <f>=IF(E185="","",IF(ISNUMBER(FIND("|",E185)),TRIM(LEFT(E185,FIND("|",E185)-1)),IF(ISNUMBER(MATCH(E185,Config!$C$1:$C$311,0)),E185,IFERROR(INDEX(Config!$C$1:$C$311,MATCH(E185,Config!$D$1:$D$311,0)),""))))</f>
        <v>OP-0187</v>
      </c>
      <c r="E185" s="12" t="s">
        <v>75</v>
      </c>
      <c r="F185" s="13">
        <v>16</v>
      </c>
      <c r="G185" s="14" t="str">
        <f>=IF(C185="","",SUMIF($C$17:$C$502,C185,$F$17:$F$502))</f>
        <v/>
      </c>
      <c r="H185" s="14" t="str">
        <f>=IFERROR($B$14/$B$10,"")</f>
        <v/>
      </c>
      <c r="I185" s="15" t="str">
        <f>=IFERROR(G185/H185,"")</f>
        <v/>
      </c>
      <c r="J185" s="16" t="str">
        <f>=IF(F185="","",F185/3600)</f>
        <v/>
      </c>
      <c r="K185" s="11" t="str">
        <f>=IF(L185="","",IF(ISNUMBER(FIND("|",L185)),TRIM(LEFT(L185,FIND("|",L185)-1)),IF(ISNUMBER(MATCH(L185,Config!$F$1:$F$853,0)),L185,IFERROR(INDEX(Config!$F$1:$F$853,MATCH(L185,Config!$G$1:$G$853,0)),""))))</f>
        <v/>
      </c>
      <c r="L185" s="17" t="str">
        <f>=IFERROR(INDEX($L$17:L184,MATCH(C185,$C$17:C184,0)),"")</f>
        <v/>
      </c>
    </row>
    <row r="186" ht="18" customHeight="1" spans="1:12" x14ac:dyDescent="0.25">
      <c r="A186" s="10" t="s">
        <v>2</v>
      </c>
      <c r="B186" s="10" t="s">
        <v>2</v>
      </c>
      <c r="C186" s="10" t="s">
        <v>2</v>
      </c>
      <c r="D186" s="11" t="str">
        <f>=IF(E186="","",IF(ISNUMBER(FIND("|",E186)),TRIM(LEFT(E186,FIND("|",E186)-1)),IF(ISNUMBER(MATCH(E186,Config!$C$1:$C$311,0)),E186,IFERROR(INDEX(Config!$C$1:$C$311,MATCH(E186,Config!$D$1:$D$311,0)),""))))</f>
        <v>OP-0304</v>
      </c>
      <c r="E186" s="12" t="s">
        <v>192</v>
      </c>
      <c r="F186" s="13">
        <v>32</v>
      </c>
      <c r="G186" s="14" t="str">
        <f>=IF(C186="","",SUMIF($C$17:$C$502,C186,$F$17:$F$502))</f>
        <v/>
      </c>
      <c r="H186" s="14" t="str">
        <f>=IFERROR($B$14/$B$10,"")</f>
        <v/>
      </c>
      <c r="I186" s="15" t="str">
        <f>=IFERROR(G186/H186,"")</f>
        <v/>
      </c>
      <c r="J186" s="16" t="str">
        <f>=IF(F186="","",F186/3600)</f>
        <v/>
      </c>
      <c r="K186" s="11" t="str">
        <f>=IF(L186="","",IF(ISNUMBER(FIND("|",L186)),TRIM(LEFT(L186,FIND("|",L186)-1)),IF(ISNUMBER(MATCH(L186,Config!$F$1:$F$853,0)),L186,IFERROR(INDEX(Config!$F$1:$F$853,MATCH(L186,Config!$G$1:$G$853,0)),""))))</f>
        <v/>
      </c>
      <c r="L186" s="17" t="str">
        <f>=IFERROR(INDEX($L$17:L185,MATCH(C186,$C$17:C185,0)),"")</f>
        <v/>
      </c>
    </row>
    <row r="187" ht="18" customHeight="1" spans="1:12" x14ac:dyDescent="0.25">
      <c r="A187" s="10" t="s">
        <v>2</v>
      </c>
      <c r="B187" s="10" t="s">
        <v>2</v>
      </c>
      <c r="C187" s="10" t="s">
        <v>2</v>
      </c>
      <c r="D187" s="11" t="str">
        <f>=IF(E187="","",IF(ISNUMBER(FIND("|",E187)),TRIM(LEFT(E187,FIND("|",E187)-1)),IF(ISNUMBER(MATCH(E187,Config!$C$1:$C$311,0)),E187,IFERROR(INDEX(Config!$C$1:$C$311,MATCH(E187,Config!$D$1:$D$311,0)),""))))</f>
        <v>OP-0305</v>
      </c>
      <c r="E187" s="12" t="s">
        <v>193</v>
      </c>
      <c r="F187" s="13">
        <v>54</v>
      </c>
      <c r="G187" s="14" t="str">
        <f>=IF(C187="","",SUMIF($C$17:$C$502,C187,$F$17:$F$502))</f>
        <v/>
      </c>
      <c r="H187" s="14" t="str">
        <f>=IFERROR($B$14/$B$10,"")</f>
        <v/>
      </c>
      <c r="I187" s="15" t="str">
        <f>=IFERROR(G187/H187,"")</f>
        <v/>
      </c>
      <c r="J187" s="16" t="str">
        <f>=IF(F187="","",F187/3600)</f>
        <v/>
      </c>
      <c r="K187" s="11" t="str">
        <f>=IF(L187="","",IF(ISNUMBER(FIND("|",L187)),TRIM(LEFT(L187,FIND("|",L187)-1)),IF(ISNUMBER(MATCH(L187,Config!$F$1:$F$853,0)),L187,IFERROR(INDEX(Config!$F$1:$F$853,MATCH(L187,Config!$G$1:$G$853,0)),""))))</f>
        <v/>
      </c>
      <c r="L187" s="17" t="str">
        <f>=IFERROR(INDEX($L$17:L186,MATCH(C187,$C$17:C186,0)),"")</f>
        <v/>
      </c>
    </row>
    <row r="188" ht="18" customHeight="1" spans="1:12" x14ac:dyDescent="0.25">
      <c r="A188" s="10" t="s">
        <v>2</v>
      </c>
      <c r="B188" s="10" t="s">
        <v>2</v>
      </c>
      <c r="C188" s="10" t="s">
        <v>2</v>
      </c>
      <c r="D188" s="11" t="str">
        <f>=IF(E188="","",IF(ISNUMBER(FIND("|",E188)),TRIM(LEFT(E188,FIND("|",E188)-1)),IF(ISNUMBER(MATCH(E188,Config!$C$1:$C$311,0)),E188,IFERROR(INDEX(Config!$C$1:$C$311,MATCH(E188,Config!$D$1:$D$311,0)),""))))</f>
        <v>OP-0306</v>
      </c>
      <c r="E188" s="12" t="s">
        <v>194</v>
      </c>
      <c r="F188" s="13">
        <v>28</v>
      </c>
      <c r="G188" s="14" t="str">
        <f>=IF(C188="","",SUMIF($C$17:$C$502,C188,$F$17:$F$502))</f>
        <v/>
      </c>
      <c r="H188" s="14" t="str">
        <f>=IFERROR($B$14/$B$10,"")</f>
        <v/>
      </c>
      <c r="I188" s="15" t="str">
        <f>=IFERROR(G188/H188,"")</f>
        <v/>
      </c>
      <c r="J188" s="16" t="str">
        <f>=IF(F188="","",F188/3600)</f>
        <v/>
      </c>
      <c r="K188" s="11" t="str">
        <f>=IF(L188="","",IF(ISNUMBER(FIND("|",L188)),TRIM(LEFT(L188,FIND("|",L188)-1)),IF(ISNUMBER(MATCH(L188,Config!$F$1:$F$853,0)),L188,IFERROR(INDEX(Config!$F$1:$F$853,MATCH(L188,Config!$G$1:$G$853,0)),""))))</f>
        <v/>
      </c>
      <c r="L188" s="17" t="str">
        <f>=IFERROR(INDEX($L$17:L187,MATCH(C188,$C$17:C187,0)),"")</f>
        <v/>
      </c>
    </row>
    <row r="189" ht="18" customHeight="1" spans="1:12" x14ac:dyDescent="0.25">
      <c r="A189" s="10" t="s">
        <v>2</v>
      </c>
      <c r="B189" s="10" t="s">
        <v>2</v>
      </c>
      <c r="C189" s="10" t="s">
        <v>2</v>
      </c>
      <c r="D189" s="11" t="str">
        <f>=IF(E189="","",IF(ISNUMBER(FIND("|",E189)),TRIM(LEFT(E189,FIND("|",E189)-1)),IF(ISNUMBER(MATCH(E189,Config!$C$1:$C$311,0)),E189,IFERROR(INDEX(Config!$C$1:$C$311,MATCH(E189,Config!$D$1:$D$311,0)),""))))</f>
        <v>OP-0263</v>
      </c>
      <c r="E189" s="12" t="s">
        <v>151</v>
      </c>
      <c r="F189" s="13">
        <v>5</v>
      </c>
      <c r="G189" s="14" t="str">
        <f>=IF(C189="","",SUMIF($C$17:$C$502,C189,$F$17:$F$502))</f>
        <v/>
      </c>
      <c r="H189" s="14" t="str">
        <f>=IFERROR($B$14/$B$10,"")</f>
        <v/>
      </c>
      <c r="I189" s="15" t="str">
        <f>=IFERROR(G189/H189,"")</f>
        <v/>
      </c>
      <c r="J189" s="16" t="str">
        <f>=IF(F189="","",F189/3600)</f>
        <v/>
      </c>
      <c r="K189" s="11" t="str">
        <f>=IF(L189="","",IF(ISNUMBER(FIND("|",L189)),TRIM(LEFT(L189,FIND("|",L189)-1)),IF(ISNUMBER(MATCH(L189,Config!$F$1:$F$853,0)),L189,IFERROR(INDEX(Config!$F$1:$F$853,MATCH(L189,Config!$G$1:$G$853,0)),""))))</f>
        <v/>
      </c>
      <c r="L189" s="17" t="str">
        <f>=IFERROR(INDEX($L$17:L188,MATCH(C189,$C$17:C188,0)),"")</f>
        <v/>
      </c>
    </row>
    <row r="190" ht="18" customHeight="1" spans="1:12" x14ac:dyDescent="0.25">
      <c r="A190" s="10" t="s">
        <v>2</v>
      </c>
      <c r="B190" s="10" t="s">
        <v>2</v>
      </c>
      <c r="C190" s="10" t="s">
        <v>2</v>
      </c>
      <c r="D190" s="11" t="str">
        <f>=IF(E190="","",IF(ISNUMBER(FIND("|",E190)),TRIM(LEFT(E190,FIND("|",E190)-1)),IF(ISNUMBER(MATCH(E190,Config!$C$1:$C$311,0)),E190,IFERROR(INDEX(Config!$C$1:$C$311,MATCH(E190,Config!$D$1:$D$311,0)),""))))</f>
        <v>OP-0307</v>
      </c>
      <c r="E190" s="12" t="s">
        <v>195</v>
      </c>
      <c r="F190" s="13">
        <v>8</v>
      </c>
      <c r="G190" s="14" t="str">
        <f>=IF(C190="","",SUMIF($C$17:$C$502,C190,$F$17:$F$502))</f>
        <v/>
      </c>
      <c r="H190" s="14" t="str">
        <f>=IFERROR($B$14/$B$10,"")</f>
        <v/>
      </c>
      <c r="I190" s="15" t="str">
        <f>=IFERROR(G190/H190,"")</f>
        <v/>
      </c>
      <c r="J190" s="16" t="str">
        <f>=IF(F190="","",F190/3600)</f>
        <v/>
      </c>
      <c r="K190" s="11" t="str">
        <f>=IF(L190="","",IF(ISNUMBER(FIND("|",L190)),TRIM(LEFT(L190,FIND("|",L190)-1)),IF(ISNUMBER(MATCH(L190,Config!$F$1:$F$853,0)),L190,IFERROR(INDEX(Config!$F$1:$F$853,MATCH(L190,Config!$G$1:$G$853,0)),""))))</f>
        <v/>
      </c>
      <c r="L190" s="17" t="str">
        <f>=IFERROR(INDEX($L$17:L189,MATCH(C190,$C$17:C189,0)),"")</f>
        <v/>
      </c>
    </row>
    <row r="191" ht="18" customHeight="1" spans="1:12" x14ac:dyDescent="0.25">
      <c r="A191" s="10" t="s">
        <v>2</v>
      </c>
      <c r="B191" s="10" t="s">
        <v>2</v>
      </c>
      <c r="C191" s="10" t="s">
        <v>2</v>
      </c>
      <c r="D191" s="11" t="str">
        <f>=IF(E191="","",IF(ISNUMBER(FIND("|",E191)),TRIM(LEFT(E191,FIND("|",E191)-1)),IF(ISNUMBER(MATCH(E191,Config!$C$1:$C$311,0)),E191,IFERROR(INDEX(Config!$C$1:$C$311,MATCH(E191,Config!$D$1:$D$311,0)),""))))</f>
        <v>OP-0308</v>
      </c>
      <c r="E191" s="12" t="s">
        <v>196</v>
      </c>
      <c r="F191" s="13">
        <v>20</v>
      </c>
      <c r="G191" s="14" t="str">
        <f>=IF(C191="","",SUMIF($C$17:$C$502,C191,$F$17:$F$502))</f>
        <v/>
      </c>
      <c r="H191" s="14" t="str">
        <f>=IFERROR($B$14/$B$10,"")</f>
        <v/>
      </c>
      <c r="I191" s="15" t="str">
        <f>=IFERROR(G191/H191,"")</f>
        <v/>
      </c>
      <c r="J191" s="16" t="str">
        <f>=IF(F191="","",F191/3600)</f>
        <v/>
      </c>
      <c r="K191" s="11" t="str">
        <f>=IF(L191="","",IF(ISNUMBER(FIND("|",L191)),TRIM(LEFT(L191,FIND("|",L191)-1)),IF(ISNUMBER(MATCH(L191,Config!$F$1:$F$853,0)),L191,IFERROR(INDEX(Config!$F$1:$F$853,MATCH(L191,Config!$G$1:$G$853,0)),""))))</f>
        <v/>
      </c>
      <c r="L191" s="17" t="str">
        <f>=IFERROR(INDEX($L$17:L190,MATCH(C191,$C$17:C190,0)),"")</f>
        <v/>
      </c>
    </row>
    <row r="192" ht="18" customHeight="1" spans="1:12" x14ac:dyDescent="0.25">
      <c r="A192" s="10" t="s">
        <v>2</v>
      </c>
      <c r="B192" s="10" t="s">
        <v>2</v>
      </c>
      <c r="C192" s="10" t="s">
        <v>2</v>
      </c>
      <c r="D192" s="11" t="str">
        <f>=IF(E192="","",IF(ISNUMBER(FIND("|",E192)),TRIM(LEFT(E192,FIND("|",E192)-1)),IF(ISNUMBER(MATCH(E192,Config!$C$1:$C$311,0)),E192,IFERROR(INDEX(Config!$C$1:$C$311,MATCH(E192,Config!$D$1:$D$311,0)),""))))</f>
        <v>OP-0309</v>
      </c>
      <c r="E192" s="12" t="s">
        <v>197</v>
      </c>
      <c r="F192" s="13">
        <v>16</v>
      </c>
      <c r="G192" s="14" t="str">
        <f>=IF(C192="","",SUMIF($C$17:$C$502,C192,$F$17:$F$502))</f>
        <v/>
      </c>
      <c r="H192" s="14" t="str">
        <f>=IFERROR($B$14/$B$10,"")</f>
        <v/>
      </c>
      <c r="I192" s="15" t="str">
        <f>=IFERROR(G192/H192,"")</f>
        <v/>
      </c>
      <c r="J192" s="16" t="str">
        <f>=IF(F192="","",F192/3600)</f>
        <v/>
      </c>
      <c r="K192" s="11" t="str">
        <f>=IF(L192="","",IF(ISNUMBER(FIND("|",L192)),TRIM(LEFT(L192,FIND("|",L192)-1)),IF(ISNUMBER(MATCH(L192,Config!$F$1:$F$853,0)),L192,IFERROR(INDEX(Config!$F$1:$F$853,MATCH(L192,Config!$G$1:$G$853,0)),""))))</f>
        <v/>
      </c>
      <c r="L192" s="17" t="str">
        <f>=IFERROR(INDEX($L$17:L191,MATCH(C192,$C$17:C191,0)),"")</f>
        <v/>
      </c>
    </row>
    <row r="193" ht="18" customHeight="1" spans="1:12" x14ac:dyDescent="0.25">
      <c r="A193" s="10" t="s">
        <v>2</v>
      </c>
      <c r="B193" s="10" t="s">
        <v>2</v>
      </c>
      <c r="C193" s="10" t="s">
        <v>2</v>
      </c>
      <c r="D193" s="11" t="str">
        <f>=IF(E193="","",IF(ISNUMBER(FIND("|",E193)),TRIM(LEFT(E193,FIND("|",E193)-1)),IF(ISNUMBER(MATCH(E193,Config!$C$1:$C$311,0)),E193,IFERROR(INDEX(Config!$C$1:$C$311,MATCH(E193,Config!$D$1:$D$311,0)),""))))</f>
        <v>OP-0310</v>
      </c>
      <c r="E193" s="12" t="s">
        <v>198</v>
      </c>
      <c r="F193" s="13">
        <v>18</v>
      </c>
      <c r="G193" s="14" t="str">
        <f>=IF(C193="","",SUMIF($C$17:$C$502,C193,$F$17:$F$502))</f>
        <v/>
      </c>
      <c r="H193" s="14" t="str">
        <f>=IFERROR($B$14/$B$10,"")</f>
        <v/>
      </c>
      <c r="I193" s="15" t="str">
        <f>=IFERROR(G193/H193,"")</f>
        <v/>
      </c>
      <c r="J193" s="16" t="str">
        <f>=IF(F193="","",F193/3600)</f>
        <v/>
      </c>
      <c r="K193" s="11" t="str">
        <f>=IF(L193="","",IF(ISNUMBER(FIND("|",L193)),TRIM(LEFT(L193,FIND("|",L193)-1)),IF(ISNUMBER(MATCH(L193,Config!$F$1:$F$853,0)),L193,IFERROR(INDEX(Config!$F$1:$F$853,MATCH(L193,Config!$G$1:$G$853,0)),""))))</f>
        <v/>
      </c>
      <c r="L193" s="17" t="str">
        <f>=IFERROR(INDEX($L$17:L192,MATCH(C193,$C$17:C192,0)),"")</f>
        <v/>
      </c>
    </row>
    <row r="194" ht="18" customHeight="1" spans="1:12" x14ac:dyDescent="0.25">
      <c r="A194" s="10" t="s">
        <v>2</v>
      </c>
      <c r="B194" s="10" t="s">
        <v>2</v>
      </c>
      <c r="C194" s="10" t="s">
        <v>2</v>
      </c>
      <c r="D194" s="11" t="str">
        <f>=IF(E194="","",IF(ISNUMBER(FIND("|",E194)),TRIM(LEFT(E194,FIND("|",E194)-1)),IF(ISNUMBER(MATCH(E194,Config!$C$1:$C$311,0)),E194,IFERROR(INDEX(Config!$C$1:$C$311,MATCH(E194,Config!$D$1:$D$311,0)),""))))</f>
        <v>OP-0311</v>
      </c>
      <c r="E194" s="12" t="s">
        <v>199</v>
      </c>
      <c r="F194" s="13">
        <v>28</v>
      </c>
      <c r="G194" s="14" t="str">
        <f>=IF(C194="","",SUMIF($C$17:$C$502,C194,$F$17:$F$502))</f>
        <v/>
      </c>
      <c r="H194" s="14" t="str">
        <f>=IFERROR($B$14/$B$10,"")</f>
        <v/>
      </c>
      <c r="I194" s="15" t="str">
        <f>=IFERROR(G194/H194,"")</f>
        <v/>
      </c>
      <c r="J194" s="16" t="str">
        <f>=IF(F194="","",F194/3600)</f>
        <v/>
      </c>
      <c r="K194" s="11" t="str">
        <f>=IF(L194="","",IF(ISNUMBER(FIND("|",L194)),TRIM(LEFT(L194,FIND("|",L194)-1)),IF(ISNUMBER(MATCH(L194,Config!$F$1:$F$853,0)),L194,IFERROR(INDEX(Config!$F$1:$F$853,MATCH(L194,Config!$G$1:$G$853,0)),""))))</f>
        <v/>
      </c>
      <c r="L194" s="17" t="str">
        <f>=IFERROR(INDEX($L$17:L193,MATCH(C194,$C$17:C193,0)),"")</f>
        <v/>
      </c>
    </row>
    <row r="195" ht="18" customHeight="1" spans="1:12" x14ac:dyDescent="0.25">
      <c r="A195" s="10" t="s">
        <v>2</v>
      </c>
      <c r="B195" s="10" t="s">
        <v>2</v>
      </c>
      <c r="C195" s="10" t="s">
        <v>2</v>
      </c>
      <c r="D195" s="11" t="str">
        <f>=IF(E195="","",IF(ISNUMBER(FIND("|",E195)),TRIM(LEFT(E195,FIND("|",E195)-1)),IF(ISNUMBER(MATCH(E195,Config!$C$1:$C$311,0)),E195,IFERROR(INDEX(Config!$C$1:$C$311,MATCH(E195,Config!$D$1:$D$311,0)),""))))</f>
        <v>OP-0312</v>
      </c>
      <c r="E195" s="12" t="s">
        <v>200</v>
      </c>
      <c r="F195" s="13">
        <v>28</v>
      </c>
      <c r="G195" s="14" t="str">
        <f>=IF(C195="","",SUMIF($C$17:$C$502,C195,$F$17:$F$502))</f>
        <v/>
      </c>
      <c r="H195" s="14" t="str">
        <f>=IFERROR($B$14/$B$10,"")</f>
        <v/>
      </c>
      <c r="I195" s="15" t="str">
        <f>=IFERROR(G195/H195,"")</f>
        <v/>
      </c>
      <c r="J195" s="16" t="str">
        <f>=IF(F195="","",F195/3600)</f>
        <v/>
      </c>
      <c r="K195" s="11" t="str">
        <f>=IF(L195="","",IF(ISNUMBER(FIND("|",L195)),TRIM(LEFT(L195,FIND("|",L195)-1)),IF(ISNUMBER(MATCH(L195,Config!$F$1:$F$853,0)),L195,IFERROR(INDEX(Config!$F$1:$F$853,MATCH(L195,Config!$G$1:$G$853,0)),""))))</f>
        <v/>
      </c>
      <c r="L195" s="17" t="str">
        <f>=IFERROR(INDEX($L$17:L194,MATCH(C195,$C$17:C194,0)),"")</f>
        <v/>
      </c>
    </row>
    <row r="196" ht="18" customHeight="1" spans="1:12" x14ac:dyDescent="0.25">
      <c r="A196" s="10" t="s">
        <v>2</v>
      </c>
      <c r="B196" s="10" t="s">
        <v>2</v>
      </c>
      <c r="C196" s="10" t="s">
        <v>2</v>
      </c>
      <c r="D196" s="11" t="str">
        <f>=IF(E196="","",IF(ISNUMBER(FIND("|",E196)),TRIM(LEFT(E196,FIND("|",E196)-1)),IF(ISNUMBER(MATCH(E196,Config!$C$1:$C$311,0)),E196,IFERROR(INDEX(Config!$C$1:$C$311,MATCH(E196,Config!$D$1:$D$311,0)),""))))</f>
        <v>OP-0309</v>
      </c>
      <c r="E196" s="12" t="s">
        <v>197</v>
      </c>
      <c r="F196" s="13">
        <v>16</v>
      </c>
      <c r="G196" s="14" t="str">
        <f>=IF(C196="","",SUMIF($C$17:$C$502,C196,$F$17:$F$502))</f>
        <v/>
      </c>
      <c r="H196" s="14" t="str">
        <f>=IFERROR($B$14/$B$10,"")</f>
        <v/>
      </c>
      <c r="I196" s="15" t="str">
        <f>=IFERROR(G196/H196,"")</f>
        <v/>
      </c>
      <c r="J196" s="16" t="str">
        <f>=IF(F196="","",F196/3600)</f>
        <v/>
      </c>
      <c r="K196" s="11" t="str">
        <f>=IF(L196="","",IF(ISNUMBER(FIND("|",L196)),TRIM(LEFT(L196,FIND("|",L196)-1)),IF(ISNUMBER(MATCH(L196,Config!$F$1:$F$853,0)),L196,IFERROR(INDEX(Config!$F$1:$F$853,MATCH(L196,Config!$G$1:$G$853,0)),""))))</f>
        <v/>
      </c>
      <c r="L196" s="17" t="str">
        <f>=IFERROR(INDEX($L$17:L195,MATCH(C196,$C$17:C195,0)),"")</f>
        <v/>
      </c>
    </row>
    <row r="197" ht="18" customHeight="1" spans="1:12" x14ac:dyDescent="0.25">
      <c r="A197" s="10" t="s">
        <v>2</v>
      </c>
      <c r="B197" s="10" t="s">
        <v>2</v>
      </c>
      <c r="C197" s="10" t="s">
        <v>2</v>
      </c>
      <c r="D197" s="11" t="str">
        <f>=IF(E197="","",IF(ISNUMBER(FIND("|",E197)),TRIM(LEFT(E197,FIND("|",E197)-1)),IF(ISNUMBER(MATCH(E197,Config!$C$1:$C$311,0)),E197,IFERROR(INDEX(Config!$C$1:$C$311,MATCH(E197,Config!$D$1:$D$311,0)),""))))</f>
        <v>OP-0313</v>
      </c>
      <c r="E197" s="12" t="s">
        <v>201</v>
      </c>
      <c r="F197" s="13">
        <v>28</v>
      </c>
      <c r="G197" s="14" t="str">
        <f>=IF(C197="","",SUMIF($C$17:$C$502,C197,$F$17:$F$502))</f>
        <v/>
      </c>
      <c r="H197" s="14" t="str">
        <f>=IFERROR($B$14/$B$10,"")</f>
        <v/>
      </c>
      <c r="I197" s="15" t="str">
        <f>=IFERROR(G197/H197,"")</f>
        <v/>
      </c>
      <c r="J197" s="16" t="str">
        <f>=IF(F197="","",F197/3600)</f>
        <v/>
      </c>
      <c r="K197" s="11" t="str">
        <f>=IF(L197="","",IF(ISNUMBER(FIND("|",L197)),TRIM(LEFT(L197,FIND("|",L197)-1)),IF(ISNUMBER(MATCH(L197,Config!$F$1:$F$853,0)),L197,IFERROR(INDEX(Config!$F$1:$F$853,MATCH(L197,Config!$G$1:$G$853,0)),""))))</f>
        <v/>
      </c>
      <c r="L197" s="17" t="str">
        <f>=IFERROR(INDEX($L$17:L196,MATCH(C197,$C$17:C196,0)),"")</f>
        <v/>
      </c>
    </row>
    <row r="198" ht="18" customHeight="1" spans="1:12" x14ac:dyDescent="0.25">
      <c r="A198" s="10" t="s">
        <v>2</v>
      </c>
      <c r="B198" s="10" t="s">
        <v>2</v>
      </c>
      <c r="C198" s="10" t="s">
        <v>2</v>
      </c>
      <c r="D198" s="11" t="str">
        <f>=IF(E198="","",IF(ISNUMBER(FIND("|",E198)),TRIM(LEFT(E198,FIND("|",E198)-1)),IF(ISNUMBER(MATCH(E198,Config!$C$1:$C$311,0)),E198,IFERROR(INDEX(Config!$C$1:$C$311,MATCH(E198,Config!$D$1:$D$311,0)),""))))</f>
        <v>OP-0314</v>
      </c>
      <c r="E198" s="12" t="s">
        <v>202</v>
      </c>
      <c r="F198" s="13">
        <v>28</v>
      </c>
      <c r="G198" s="14" t="str">
        <f>=IF(C198="","",SUMIF($C$17:$C$502,C198,$F$17:$F$502))</f>
        <v/>
      </c>
      <c r="H198" s="14" t="str">
        <f>=IFERROR($B$14/$B$10,"")</f>
        <v/>
      </c>
      <c r="I198" s="15" t="str">
        <f>=IFERROR(G198/H198,"")</f>
        <v/>
      </c>
      <c r="J198" s="16" t="str">
        <f>=IF(F198="","",F198/3600)</f>
        <v/>
      </c>
      <c r="K198" s="11" t="str">
        <f>=IF(L198="","",IF(ISNUMBER(FIND("|",L198)),TRIM(LEFT(L198,FIND("|",L198)-1)),IF(ISNUMBER(MATCH(L198,Config!$F$1:$F$853,0)),L198,IFERROR(INDEX(Config!$F$1:$F$853,MATCH(L198,Config!$G$1:$G$853,0)),""))))</f>
        <v/>
      </c>
      <c r="L198" s="17" t="str">
        <f>=IFERROR(INDEX($L$17:L197,MATCH(C198,$C$17:C197,0)),"")</f>
        <v/>
      </c>
    </row>
    <row r="199" ht="18" customHeight="1" spans="1:12" x14ac:dyDescent="0.25">
      <c r="A199" s="10" t="s">
        <v>2</v>
      </c>
      <c r="B199" s="10" t="s">
        <v>2</v>
      </c>
      <c r="C199" s="10" t="s">
        <v>2</v>
      </c>
      <c r="D199" s="11" t="str">
        <f>=IF(E199="","",IF(ISNUMBER(FIND("|",E199)),TRIM(LEFT(E199,FIND("|",E199)-1)),IF(ISNUMBER(MATCH(E199,Config!$C$1:$C$311,0)),E199,IFERROR(INDEX(Config!$C$1:$C$311,MATCH(E199,Config!$D$1:$D$311,0)),""))))</f>
        <v>OP-0315</v>
      </c>
      <c r="E199" s="12" t="s">
        <v>203</v>
      </c>
      <c r="F199" s="13">
        <v>28</v>
      </c>
      <c r="G199" s="14" t="str">
        <f>=IF(C199="","",SUMIF($C$17:$C$502,C199,$F$17:$F$502))</f>
        <v/>
      </c>
      <c r="H199" s="14" t="str">
        <f>=IFERROR($B$14/$B$10,"")</f>
        <v/>
      </c>
      <c r="I199" s="15" t="str">
        <f>=IFERROR(G199/H199,"")</f>
        <v/>
      </c>
      <c r="J199" s="16" t="str">
        <f>=IF(F199="","",F199/3600)</f>
        <v/>
      </c>
      <c r="K199" s="11" t="str">
        <f>=IF(L199="","",IF(ISNUMBER(FIND("|",L199)),TRIM(LEFT(L199,FIND("|",L199)-1)),IF(ISNUMBER(MATCH(L199,Config!$F$1:$F$853,0)),L199,IFERROR(INDEX(Config!$F$1:$F$853,MATCH(L199,Config!$G$1:$G$853,0)),""))))</f>
        <v/>
      </c>
      <c r="L199" s="17" t="str">
        <f>=IFERROR(INDEX($L$17:L198,MATCH(C199,$C$17:C198,0)),"")</f>
        <v/>
      </c>
    </row>
    <row r="200" ht="18" customHeight="1" spans="1:12" x14ac:dyDescent="0.25">
      <c r="A200" s="10" t="s">
        <v>2</v>
      </c>
      <c r="B200" s="10" t="s">
        <v>2</v>
      </c>
      <c r="C200" s="10" t="s">
        <v>2</v>
      </c>
      <c r="D200" s="11" t="str">
        <f>=IF(E200="","",IF(ISNUMBER(FIND("|",E200)),TRIM(LEFT(E200,FIND("|",E200)-1)),IF(ISNUMBER(MATCH(E200,Config!$C$1:$C$311,0)),E200,IFERROR(INDEX(Config!$C$1:$C$311,MATCH(E200,Config!$D$1:$D$311,0)),""))))</f>
        <v>OP-0316</v>
      </c>
      <c r="E200" s="12" t="s">
        <v>204</v>
      </c>
      <c r="F200" s="13">
        <v>8</v>
      </c>
      <c r="G200" s="14" t="str">
        <f>=IF(C200="","",SUMIF($C$17:$C$502,C200,$F$17:$F$502))</f>
        <v/>
      </c>
      <c r="H200" s="14" t="str">
        <f>=IFERROR($B$14/$B$10,"")</f>
        <v/>
      </c>
      <c r="I200" s="15" t="str">
        <f>=IFERROR(G200/H200,"")</f>
        <v/>
      </c>
      <c r="J200" s="16" t="str">
        <f>=IF(F200="","",F200/3600)</f>
        <v/>
      </c>
      <c r="K200" s="11" t="str">
        <f>=IF(L200="","",IF(ISNUMBER(FIND("|",L200)),TRIM(LEFT(L200,FIND("|",L200)-1)),IF(ISNUMBER(MATCH(L200,Config!$F$1:$F$853,0)),L200,IFERROR(INDEX(Config!$F$1:$F$853,MATCH(L200,Config!$G$1:$G$853,0)),""))))</f>
        <v/>
      </c>
      <c r="L200" s="17" t="str">
        <f>=IFERROR(INDEX($L$17:L199,MATCH(C200,$C$17:C199,0)),"")</f>
        <v/>
      </c>
    </row>
    <row r="201" ht="18" customHeight="1" spans="1:12" x14ac:dyDescent="0.25">
      <c r="A201" s="10" t="s">
        <v>2</v>
      </c>
      <c r="B201" s="10" t="s">
        <v>2</v>
      </c>
      <c r="C201" s="10" t="s">
        <v>2</v>
      </c>
      <c r="D201" s="11" t="str">
        <f>=IF(E201="","",IF(ISNUMBER(FIND("|",E201)),TRIM(LEFT(E201,FIND("|",E201)-1)),IF(ISNUMBER(MATCH(E201,Config!$C$1:$C$311,0)),E201,IFERROR(INDEX(Config!$C$1:$C$311,MATCH(E201,Config!$D$1:$D$311,0)),""))))</f>
        <v>OP-0317</v>
      </c>
      <c r="E201" s="12" t="s">
        <v>205</v>
      </c>
      <c r="F201" s="13">
        <v>12</v>
      </c>
      <c r="G201" s="14" t="str">
        <f>=IF(C201="","",SUMIF($C$17:$C$502,C201,$F$17:$F$502))</f>
        <v/>
      </c>
      <c r="H201" s="14" t="str">
        <f>=IFERROR($B$14/$B$10,"")</f>
        <v/>
      </c>
      <c r="I201" s="15" t="str">
        <f>=IFERROR(G201/H201,"")</f>
        <v/>
      </c>
      <c r="J201" s="16" t="str">
        <f>=IF(F201="","",F201/3600)</f>
        <v/>
      </c>
      <c r="K201" s="11" t="str">
        <f>=IF(L201="","",IF(ISNUMBER(FIND("|",L201)),TRIM(LEFT(L201,FIND("|",L201)-1)),IF(ISNUMBER(MATCH(L201,Config!$F$1:$F$853,0)),L201,IFERROR(INDEX(Config!$F$1:$F$853,MATCH(L201,Config!$G$1:$G$853,0)),""))))</f>
        <v/>
      </c>
      <c r="L201" s="17" t="str">
        <f>=IFERROR(INDEX($L$17:L200,MATCH(C201,$C$17:C200,0)),"")</f>
        <v/>
      </c>
    </row>
    <row r="202" ht="18" customHeight="1" spans="1:12" x14ac:dyDescent="0.25">
      <c r="A202" s="10" t="s">
        <v>2</v>
      </c>
      <c r="B202" s="10" t="s">
        <v>2</v>
      </c>
      <c r="C202" s="10" t="s">
        <v>2</v>
      </c>
      <c r="D202" s="11" t="str">
        <f>=IF(E202="","",IF(ISNUMBER(FIND("|",E202)),TRIM(LEFT(E202,FIND("|",E202)-1)),IF(ISNUMBER(MATCH(E202,Config!$C$1:$C$311,0)),E202,IFERROR(INDEX(Config!$C$1:$C$311,MATCH(E202,Config!$D$1:$D$311,0)),""))))</f>
        <v>OP-0318</v>
      </c>
      <c r="E202" s="12" t="s">
        <v>206</v>
      </c>
      <c r="F202" s="13">
        <v>28</v>
      </c>
      <c r="G202" s="14" t="str">
        <f>=IF(C202="","",SUMIF($C$17:$C$502,C202,$F$17:$F$502))</f>
        <v/>
      </c>
      <c r="H202" s="14" t="str">
        <f>=IFERROR($B$14/$B$10,"")</f>
        <v/>
      </c>
      <c r="I202" s="15" t="str">
        <f>=IFERROR(G202/H202,"")</f>
        <v/>
      </c>
      <c r="J202" s="16" t="str">
        <f>=IF(F202="","",F202/3600)</f>
        <v/>
      </c>
      <c r="K202" s="11" t="str">
        <f>=IF(L202="","",IF(ISNUMBER(FIND("|",L202)),TRIM(LEFT(L202,FIND("|",L202)-1)),IF(ISNUMBER(MATCH(L202,Config!$F$1:$F$853,0)),L202,IFERROR(INDEX(Config!$F$1:$F$853,MATCH(L202,Config!$G$1:$G$853,0)),""))))</f>
        <v/>
      </c>
      <c r="L202" s="17" t="str">
        <f>=IFERROR(INDEX($L$17:L201,MATCH(C202,$C$17:C201,0)),"")</f>
        <v/>
      </c>
    </row>
    <row r="203" ht="18" customHeight="1" spans="1:12" x14ac:dyDescent="0.25">
      <c r="A203" s="10" t="s">
        <v>2</v>
      </c>
      <c r="B203" s="10" t="s">
        <v>2</v>
      </c>
      <c r="C203" s="10" t="s">
        <v>2</v>
      </c>
      <c r="D203" s="11" t="str">
        <f>=IF(E203="","",IF(ISNUMBER(FIND("|",E203)),TRIM(LEFT(E203,FIND("|",E203)-1)),IF(ISNUMBER(MATCH(E203,Config!$C$1:$C$311,0)),E203,IFERROR(INDEX(Config!$C$1:$C$311,MATCH(E203,Config!$D$1:$D$311,0)),""))))</f>
        <v>OP-0319</v>
      </c>
      <c r="E203" s="12" t="s">
        <v>207</v>
      </c>
      <c r="F203" s="13">
        <v>75</v>
      </c>
      <c r="G203" s="14" t="str">
        <f>=IF(C203="","",SUMIF($C$17:$C$502,C203,$F$17:$F$502))</f>
        <v/>
      </c>
      <c r="H203" s="14" t="str">
        <f>=IFERROR($B$14/$B$10,"")</f>
        <v/>
      </c>
      <c r="I203" s="15" t="str">
        <f>=IFERROR(G203/H203,"")</f>
        <v/>
      </c>
      <c r="J203" s="16" t="str">
        <f>=IF(F203="","",F203/3600)</f>
        <v/>
      </c>
      <c r="K203" s="11" t="str">
        <f>=IF(L203="","",IF(ISNUMBER(FIND("|",L203)),TRIM(LEFT(L203,FIND("|",L203)-1)),IF(ISNUMBER(MATCH(L203,Config!$F$1:$F$853,0)),L203,IFERROR(INDEX(Config!$F$1:$F$853,MATCH(L203,Config!$G$1:$G$853,0)),""))))</f>
        <v/>
      </c>
      <c r="L203" s="17" t="str">
        <f>=IFERROR(INDEX($L$17:L202,MATCH(C203,$C$17:C202,0)),"")</f>
        <v/>
      </c>
    </row>
    <row r="204" ht="18" customHeight="1" spans="1:12" x14ac:dyDescent="0.25">
      <c r="A204" s="10" t="s">
        <v>2</v>
      </c>
      <c r="B204" s="10" t="s">
        <v>2</v>
      </c>
      <c r="C204" s="10" t="s">
        <v>2</v>
      </c>
      <c r="D204" s="11" t="str">
        <f>=IF(E204="","",IF(ISNUMBER(FIND("|",E204)),TRIM(LEFT(E204,FIND("|",E204)-1)),IF(ISNUMBER(MATCH(E204,Config!$C$1:$C$311,0)),E204,IFERROR(INDEX(Config!$C$1:$C$311,MATCH(E204,Config!$D$1:$D$311,0)),""))))</f>
        <v>OP-0320</v>
      </c>
      <c r="E204" s="12" t="s">
        <v>208</v>
      </c>
      <c r="F204" s="13">
        <v>105</v>
      </c>
      <c r="G204" s="14" t="str">
        <f>=IF(C204="","",SUMIF($C$17:$C$502,C204,$F$17:$F$502))</f>
        <v/>
      </c>
      <c r="H204" s="14" t="str">
        <f>=IFERROR($B$14/$B$10,"")</f>
        <v/>
      </c>
      <c r="I204" s="15" t="str">
        <f>=IFERROR(G204/H204,"")</f>
        <v/>
      </c>
      <c r="J204" s="16" t="str">
        <f>=IF(F204="","",F204/3600)</f>
        <v/>
      </c>
      <c r="K204" s="11" t="str">
        <f>=IF(L204="","",IF(ISNUMBER(FIND("|",L204)),TRIM(LEFT(L204,FIND("|",L204)-1)),IF(ISNUMBER(MATCH(L204,Config!$F$1:$F$853,0)),L204,IFERROR(INDEX(Config!$F$1:$F$853,MATCH(L204,Config!$G$1:$G$853,0)),""))))</f>
        <v/>
      </c>
      <c r="L204" s="17" t="str">
        <f>=IFERROR(INDEX($L$17:L203,MATCH(C204,$C$17:C203,0)),"")</f>
        <v/>
      </c>
    </row>
    <row r="205" ht="18" customHeight="1" spans="1:12" x14ac:dyDescent="0.25">
      <c r="A205" s="10" t="s">
        <v>2</v>
      </c>
      <c r="B205" s="10" t="s">
        <v>2</v>
      </c>
      <c r="C205" s="10" t="s">
        <v>2</v>
      </c>
      <c r="D205" s="11" t="str">
        <f>=IF(E205="","",IF(ISNUMBER(FIND("|",E205)),TRIM(LEFT(E205,FIND("|",E205)-1)),IF(ISNUMBER(MATCH(E205,Config!$C$1:$C$311,0)),E205,IFERROR(INDEX(Config!$C$1:$C$311,MATCH(E205,Config!$D$1:$D$311,0)),""))))</f>
        <v>OP-0308</v>
      </c>
      <c r="E205" s="12" t="s">
        <v>196</v>
      </c>
      <c r="F205" s="13">
        <v>20</v>
      </c>
      <c r="G205" s="14" t="str">
        <f>=IF(C205="","",SUMIF($C$17:$C$502,C205,$F$17:$F$502))</f>
        <v/>
      </c>
      <c r="H205" s="14" t="str">
        <f>=IFERROR($B$14/$B$10,"")</f>
        <v/>
      </c>
      <c r="I205" s="15" t="str">
        <f>=IFERROR(G205/H205,"")</f>
        <v/>
      </c>
      <c r="J205" s="16" t="str">
        <f>=IF(F205="","",F205/3600)</f>
        <v/>
      </c>
      <c r="K205" s="11" t="str">
        <f>=IF(L205="","",IF(ISNUMBER(FIND("|",L205)),TRIM(LEFT(L205,FIND("|",L205)-1)),IF(ISNUMBER(MATCH(L205,Config!$F$1:$F$853,0)),L205,IFERROR(INDEX(Config!$F$1:$F$853,MATCH(L205,Config!$G$1:$G$853,0)),""))))</f>
        <v/>
      </c>
      <c r="L205" s="17" t="str">
        <f>=IFERROR(INDEX($L$17:L204,MATCH(C205,$C$17:C204,0)),"")</f>
        <v/>
      </c>
    </row>
    <row r="206" ht="18" customHeight="1" spans="1:12" x14ac:dyDescent="0.25">
      <c r="A206" s="10" t="s">
        <v>2</v>
      </c>
      <c r="B206" s="10" t="s">
        <v>2</v>
      </c>
      <c r="C206" s="10" t="s">
        <v>2</v>
      </c>
      <c r="D206" s="11" t="str">
        <f>=IF(E206="","",IF(ISNUMBER(FIND("|",E206)),TRIM(LEFT(E206,FIND("|",E206)-1)),IF(ISNUMBER(MATCH(E206,Config!$C$1:$C$311,0)),E206,IFERROR(INDEX(Config!$C$1:$C$311,MATCH(E206,Config!$D$1:$D$311,0)),""))))</f>
        <v>OP-0321</v>
      </c>
      <c r="E206" s="12" t="s">
        <v>209</v>
      </c>
      <c r="F206" s="13">
        <v>109</v>
      </c>
      <c r="G206" s="14" t="str">
        <f>=IF(C206="","",SUMIF($C$17:$C$502,C206,$F$17:$F$502))</f>
        <v/>
      </c>
      <c r="H206" s="14" t="str">
        <f>=IFERROR($B$14/$B$10,"")</f>
        <v/>
      </c>
      <c r="I206" s="15" t="str">
        <f>=IFERROR(G206/H206,"")</f>
        <v/>
      </c>
      <c r="J206" s="16" t="str">
        <f>=IF(F206="","",F206/3600)</f>
        <v/>
      </c>
      <c r="K206" s="11" t="str">
        <f>=IF(L206="","",IF(ISNUMBER(FIND("|",L206)),TRIM(LEFT(L206,FIND("|",L206)-1)),IF(ISNUMBER(MATCH(L206,Config!$F$1:$F$853,0)),L206,IFERROR(INDEX(Config!$F$1:$F$853,MATCH(L206,Config!$G$1:$G$853,0)),""))))</f>
        <v/>
      </c>
      <c r="L206" s="17" t="str">
        <f>=IFERROR(INDEX($L$17:L205,MATCH(C206,$C$17:C205,0)),"")</f>
        <v/>
      </c>
    </row>
    <row r="207" ht="18" customHeight="1" spans="1:12" x14ac:dyDescent="0.25">
      <c r="A207" s="10" t="s">
        <v>2</v>
      </c>
      <c r="B207" s="10" t="s">
        <v>2</v>
      </c>
      <c r="C207" s="10" t="s">
        <v>2</v>
      </c>
      <c r="D207" s="11" t="str">
        <f>=IF(E207="","",IF(ISNUMBER(FIND("|",E207)),TRIM(LEFT(E207,FIND("|",E207)-1)),IF(ISNUMBER(MATCH(E207,Config!$C$1:$C$311,0)),E207,IFERROR(INDEX(Config!$C$1:$C$311,MATCH(E207,Config!$D$1:$D$311,0)),""))))</f>
        <v>OP-0322</v>
      </c>
      <c r="E207" s="12" t="s">
        <v>210</v>
      </c>
      <c r="F207" s="13">
        <v>16</v>
      </c>
      <c r="G207" s="14" t="str">
        <f>=IF(C207="","",SUMIF($C$17:$C$502,C207,$F$17:$F$502))</f>
        <v/>
      </c>
      <c r="H207" s="14" t="str">
        <f>=IFERROR($B$14/$B$10,"")</f>
        <v/>
      </c>
      <c r="I207" s="15" t="str">
        <f>=IFERROR(G207/H207,"")</f>
        <v/>
      </c>
      <c r="J207" s="16" t="str">
        <f>=IF(F207="","",F207/3600)</f>
        <v/>
      </c>
      <c r="K207" s="11" t="str">
        <f>=IF(L207="","",IF(ISNUMBER(FIND("|",L207)),TRIM(LEFT(L207,FIND("|",L207)-1)),IF(ISNUMBER(MATCH(L207,Config!$F$1:$F$853,0)),L207,IFERROR(INDEX(Config!$F$1:$F$853,MATCH(L207,Config!$G$1:$G$853,0)),""))))</f>
        <v/>
      </c>
      <c r="L207" s="17" t="str">
        <f>=IFERROR(INDEX($L$17:L206,MATCH(C207,$C$17:C206,0)),"")</f>
        <v/>
      </c>
    </row>
    <row r="208" ht="18" customHeight="1" spans="1:12" x14ac:dyDescent="0.25">
      <c r="A208" s="10" t="s">
        <v>2</v>
      </c>
      <c r="B208" s="10" t="s">
        <v>2</v>
      </c>
      <c r="C208" s="10" t="s">
        <v>2</v>
      </c>
      <c r="D208" s="11" t="str">
        <f>=IF(E208="","",IF(ISNUMBER(FIND("|",E208)),TRIM(LEFT(E208,FIND("|",E208)-1)),IF(ISNUMBER(MATCH(E208,Config!$C$1:$C$311,0)),E208,IFERROR(INDEX(Config!$C$1:$C$311,MATCH(E208,Config!$D$1:$D$311,0)),""))))</f>
        <v>OP-0323</v>
      </c>
      <c r="E208" s="12" t="s">
        <v>211</v>
      </c>
      <c r="F208" s="13">
        <v>28</v>
      </c>
      <c r="G208" s="14" t="str">
        <f>=IF(C208="","",SUMIF($C$17:$C$502,C208,$F$17:$F$502))</f>
        <v/>
      </c>
      <c r="H208" s="14" t="str">
        <f>=IFERROR($B$14/$B$10,"")</f>
        <v/>
      </c>
      <c r="I208" s="15" t="str">
        <f>=IFERROR(G208/H208,"")</f>
        <v/>
      </c>
      <c r="J208" s="16" t="str">
        <f>=IF(F208="","",F208/3600)</f>
        <v/>
      </c>
      <c r="K208" s="11" t="str">
        <f>=IF(L208="","",IF(ISNUMBER(FIND("|",L208)),TRIM(LEFT(L208,FIND("|",L208)-1)),IF(ISNUMBER(MATCH(L208,Config!$F$1:$F$853,0)),L208,IFERROR(INDEX(Config!$F$1:$F$853,MATCH(L208,Config!$G$1:$G$853,0)),""))))</f>
        <v/>
      </c>
      <c r="L208" s="17" t="str">
        <f>=IFERROR(INDEX($L$17:L207,MATCH(C208,$C$17:C207,0)),"")</f>
        <v/>
      </c>
    </row>
    <row r="209" ht="18" customHeight="1" spans="1:12" x14ac:dyDescent="0.25">
      <c r="A209" s="10" t="s">
        <v>2</v>
      </c>
      <c r="B209" s="10" t="s">
        <v>2</v>
      </c>
      <c r="C209" s="10" t="s">
        <v>2</v>
      </c>
      <c r="D209" s="11" t="str">
        <f>=IF(E209="","",IF(ISNUMBER(FIND("|",E209)),TRIM(LEFT(E209,FIND("|",E209)-1)),IF(ISNUMBER(MATCH(E209,Config!$C$1:$C$311,0)),E209,IFERROR(INDEX(Config!$C$1:$C$311,MATCH(E209,Config!$D$1:$D$311,0)),""))))</f>
        <v/>
      </c>
      <c r="E209" s="12" t="s">
        <v>2</v>
      </c>
      <c r="F209" s="13" t="s">
        <v>2</v>
      </c>
      <c r="G209" s="14" t="str">
        <f>=IF(C209="","",SUMIF($C$17:$C$502,C209,$F$17:$F$502))</f>
        <v/>
      </c>
      <c r="H209" s="14" t="str">
        <f>=IFERROR($B$14/$B$10,"")</f>
        <v/>
      </c>
      <c r="I209" s="15" t="str">
        <f>=IFERROR(G209/H209,"")</f>
        <v/>
      </c>
      <c r="J209" s="16" t="str">
        <f>=IF(F209="","",F209/3600)</f>
        <v/>
      </c>
      <c r="K209" s="11" t="str">
        <f>=IF(L209="","",IF(ISNUMBER(FIND("|",L209)),TRIM(LEFT(L209,FIND("|",L209)-1)),IF(ISNUMBER(MATCH(L209,Config!$F$1:$F$853,0)),L209,IFERROR(INDEX(Config!$F$1:$F$853,MATCH(L209,Config!$G$1:$G$853,0)),""))))</f>
        <v/>
      </c>
      <c r="L209" s="17" t="str">
        <f>=IFERROR(INDEX($L$17:L208,MATCH(C209,$C$17:C208,0)),"")</f>
        <v/>
      </c>
    </row>
    <row r="210" ht="18" customHeight="1" spans="1:12" x14ac:dyDescent="0.25">
      <c r="A210" s="10" t="s">
        <v>2</v>
      </c>
      <c r="B210" s="10" t="s">
        <v>2</v>
      </c>
      <c r="C210" s="10" t="s">
        <v>2</v>
      </c>
      <c r="D210" s="11" t="str">
        <f>=IF(E210="","",IF(ISNUMBER(FIND("|",E210)),TRIM(LEFT(E210,FIND("|",E210)-1)),IF(ISNUMBER(MATCH(E210,Config!$C$1:$C$311,0)),E210,IFERROR(INDEX(Config!$C$1:$C$311,MATCH(E210,Config!$D$1:$D$311,0)),""))))</f>
        <v/>
      </c>
      <c r="E210" s="12" t="s">
        <v>2</v>
      </c>
      <c r="F210" s="13" t="s">
        <v>2</v>
      </c>
      <c r="G210" s="14" t="str">
        <f>=IF(C210="","",SUMIF($C$17:$C$502,C210,$F$17:$F$502))</f>
        <v/>
      </c>
      <c r="H210" s="14" t="str">
        <f>=IFERROR($B$14/$B$10,"")</f>
        <v/>
      </c>
      <c r="I210" s="15" t="str">
        <f>=IFERROR(G210/H210,"")</f>
        <v/>
      </c>
      <c r="J210" s="16" t="str">
        <f>=IF(F210="","",F210/3600)</f>
        <v/>
      </c>
      <c r="K210" s="11" t="str">
        <f>=IF(L210="","",IF(ISNUMBER(FIND("|",L210)),TRIM(LEFT(L210,FIND("|",L210)-1)),IF(ISNUMBER(MATCH(L210,Config!$F$1:$F$853,0)),L210,IFERROR(INDEX(Config!$F$1:$F$853,MATCH(L210,Config!$G$1:$G$853,0)),""))))</f>
        <v/>
      </c>
      <c r="L210" s="17" t="str">
        <f>=IFERROR(INDEX($L$17:L209,MATCH(C210,$C$17:C209,0)),"")</f>
        <v/>
      </c>
    </row>
    <row r="211" ht="18" customHeight="1" spans="1:12" x14ac:dyDescent="0.25">
      <c r="A211" s="10" t="s">
        <v>2</v>
      </c>
      <c r="B211" s="10" t="s">
        <v>2</v>
      </c>
      <c r="C211" s="10" t="s">
        <v>2</v>
      </c>
      <c r="D211" s="11" t="str">
        <f>=IF(E211="","",IF(ISNUMBER(FIND("|",E211)),TRIM(LEFT(E211,FIND("|",E211)-1)),IF(ISNUMBER(MATCH(E211,Config!$C$1:$C$311,0)),E211,IFERROR(INDEX(Config!$C$1:$C$311,MATCH(E211,Config!$D$1:$D$311,0)),""))))</f>
        <v/>
      </c>
      <c r="E211" s="12" t="s">
        <v>2</v>
      </c>
      <c r="F211" s="13" t="s">
        <v>2</v>
      </c>
      <c r="G211" s="14" t="str">
        <f>=IF(C211="","",SUMIF($C$17:$C$502,C211,$F$17:$F$502))</f>
        <v/>
      </c>
      <c r="H211" s="14" t="str">
        <f>=IFERROR($B$14/$B$10,"")</f>
        <v/>
      </c>
      <c r="I211" s="15" t="str">
        <f>=IFERROR(G211/H211,"")</f>
        <v/>
      </c>
      <c r="J211" s="16" t="str">
        <f>=IF(F211="","",F211/3600)</f>
        <v/>
      </c>
      <c r="K211" s="11" t="str">
        <f>=IF(L211="","",IF(ISNUMBER(FIND("|",L211)),TRIM(LEFT(L211,FIND("|",L211)-1)),IF(ISNUMBER(MATCH(L211,Config!$F$1:$F$853,0)),L211,IFERROR(INDEX(Config!$F$1:$F$853,MATCH(L211,Config!$G$1:$G$853,0)),""))))</f>
        <v/>
      </c>
      <c r="L211" s="17" t="str">
        <f>=IFERROR(INDEX($L$17:L210,MATCH(C211,$C$17:C210,0)),"")</f>
        <v/>
      </c>
    </row>
    <row r="212" ht="18" customHeight="1" spans="1:12" x14ac:dyDescent="0.25">
      <c r="A212" s="10" t="s">
        <v>2</v>
      </c>
      <c r="B212" s="10" t="s">
        <v>2</v>
      </c>
      <c r="C212" s="10" t="s">
        <v>2</v>
      </c>
      <c r="D212" s="11" t="str">
        <f>=IF(E212="","",IF(ISNUMBER(FIND("|",E212)),TRIM(LEFT(E212,FIND("|",E212)-1)),IF(ISNUMBER(MATCH(E212,Config!$C$1:$C$311,0)),E212,IFERROR(INDEX(Config!$C$1:$C$311,MATCH(E212,Config!$D$1:$D$311,0)),""))))</f>
        <v/>
      </c>
      <c r="E212" s="12" t="s">
        <v>2</v>
      </c>
      <c r="F212" s="13" t="s">
        <v>2</v>
      </c>
      <c r="G212" s="14" t="str">
        <f>=IF(C212="","",SUMIF($C$17:$C$502,C212,$F$17:$F$502))</f>
        <v/>
      </c>
      <c r="H212" s="14" t="str">
        <f>=IFERROR($B$14/$B$10,"")</f>
        <v/>
      </c>
      <c r="I212" s="15" t="str">
        <f>=IFERROR(G212/H212,"")</f>
        <v/>
      </c>
      <c r="J212" s="16" t="str">
        <f>=IF(F212="","",F212/3600)</f>
        <v/>
      </c>
      <c r="K212" s="11" t="str">
        <f>=IF(L212="","",IF(ISNUMBER(FIND("|",L212)),TRIM(LEFT(L212,FIND("|",L212)-1)),IF(ISNUMBER(MATCH(L212,Config!$F$1:$F$853,0)),L212,IFERROR(INDEX(Config!$F$1:$F$853,MATCH(L212,Config!$G$1:$G$853,0)),""))))</f>
        <v/>
      </c>
      <c r="L212" s="17" t="str">
        <f>=IFERROR(INDEX($L$17:L211,MATCH(C212,$C$17:C211,0)),"")</f>
        <v/>
      </c>
    </row>
    <row r="213" ht="18" customHeight="1" spans="1:12" x14ac:dyDescent="0.25">
      <c r="A213" s="10" t="s">
        <v>2</v>
      </c>
      <c r="B213" s="10" t="s">
        <v>2</v>
      </c>
      <c r="C213" s="10" t="s">
        <v>2</v>
      </c>
      <c r="D213" s="11" t="str">
        <f>=IF(E213="","",IF(ISNUMBER(FIND("|",E213)),TRIM(LEFT(E213,FIND("|",E213)-1)),IF(ISNUMBER(MATCH(E213,Config!$C$1:$C$311,0)),E213,IFERROR(INDEX(Config!$C$1:$C$311,MATCH(E213,Config!$D$1:$D$311,0)),""))))</f>
        <v/>
      </c>
      <c r="E213" s="12" t="s">
        <v>2</v>
      </c>
      <c r="F213" s="13" t="s">
        <v>2</v>
      </c>
      <c r="G213" s="14" t="str">
        <f>=IF(C213="","",SUMIF($C$17:$C$502,C213,$F$17:$F$502))</f>
        <v/>
      </c>
      <c r="H213" s="14" t="str">
        <f>=IFERROR($B$14/$B$10,"")</f>
        <v/>
      </c>
      <c r="I213" s="15" t="str">
        <f>=IFERROR(G213/H213,"")</f>
        <v/>
      </c>
      <c r="J213" s="16" t="str">
        <f>=IF(F213="","",F213/3600)</f>
        <v/>
      </c>
      <c r="K213" s="11" t="str">
        <f>=IF(L213="","",IF(ISNUMBER(FIND("|",L213)),TRIM(LEFT(L213,FIND("|",L213)-1)),IF(ISNUMBER(MATCH(L213,Config!$F$1:$F$853,0)),L213,IFERROR(INDEX(Config!$F$1:$F$853,MATCH(L213,Config!$G$1:$G$853,0)),""))))</f>
        <v/>
      </c>
      <c r="L213" s="17" t="str">
        <f>=IFERROR(INDEX($L$17:L212,MATCH(C213,$C$17:C212,0)),"")</f>
        <v/>
      </c>
    </row>
    <row r="214" ht="18" customHeight="1" spans="1:12" x14ac:dyDescent="0.25">
      <c r="A214" s="10" t="s">
        <v>2</v>
      </c>
      <c r="B214" s="10" t="s">
        <v>2</v>
      </c>
      <c r="C214" s="10" t="s">
        <v>2</v>
      </c>
      <c r="D214" s="11" t="str">
        <f>=IF(E214="","",IF(ISNUMBER(FIND("|",E214)),TRIM(LEFT(E214,FIND("|",E214)-1)),IF(ISNUMBER(MATCH(E214,Config!$C$1:$C$311,0)),E214,IFERROR(INDEX(Config!$C$1:$C$311,MATCH(E214,Config!$D$1:$D$311,0)),""))))</f>
        <v/>
      </c>
      <c r="E214" s="12" t="s">
        <v>2</v>
      </c>
      <c r="F214" s="13" t="s">
        <v>2</v>
      </c>
      <c r="G214" s="14" t="str">
        <f>=IF(C214="","",SUMIF($C$17:$C$502,C214,$F$17:$F$502))</f>
        <v/>
      </c>
      <c r="H214" s="14" t="str">
        <f>=IFERROR($B$14/$B$10,"")</f>
        <v/>
      </c>
      <c r="I214" s="15" t="str">
        <f>=IFERROR(G214/H214,"")</f>
        <v/>
      </c>
      <c r="J214" s="16" t="str">
        <f>=IF(F214="","",F214/3600)</f>
        <v/>
      </c>
      <c r="K214" s="11" t="str">
        <f>=IF(L214="","",IF(ISNUMBER(FIND("|",L214)),TRIM(LEFT(L214,FIND("|",L214)-1)),IF(ISNUMBER(MATCH(L214,Config!$F$1:$F$853,0)),L214,IFERROR(INDEX(Config!$F$1:$F$853,MATCH(L214,Config!$G$1:$G$853,0)),""))))</f>
        <v/>
      </c>
      <c r="L214" s="17" t="str">
        <f>=IFERROR(INDEX($L$17:L213,MATCH(C214,$C$17:C213,0)),"")</f>
        <v/>
      </c>
    </row>
    <row r="215" ht="18" customHeight="1" spans="1:12" x14ac:dyDescent="0.25">
      <c r="A215" s="10" t="s">
        <v>2</v>
      </c>
      <c r="B215" s="10" t="s">
        <v>2</v>
      </c>
      <c r="C215" s="10" t="s">
        <v>2</v>
      </c>
      <c r="D215" s="11" t="str">
        <f>=IF(E215="","",IF(ISNUMBER(FIND("|",E215)),TRIM(LEFT(E215,FIND("|",E215)-1)),IF(ISNUMBER(MATCH(E215,Config!$C$1:$C$311,0)),E215,IFERROR(INDEX(Config!$C$1:$C$311,MATCH(E215,Config!$D$1:$D$311,0)),""))))</f>
        <v/>
      </c>
      <c r="E215" s="12" t="s">
        <v>2</v>
      </c>
      <c r="F215" s="13" t="s">
        <v>2</v>
      </c>
      <c r="G215" s="14" t="str">
        <f>=IF(C215="","",SUMIF($C$17:$C$502,C215,$F$17:$F$502))</f>
        <v/>
      </c>
      <c r="H215" s="14" t="str">
        <f>=IFERROR($B$14/$B$10,"")</f>
        <v/>
      </c>
      <c r="I215" s="15" t="str">
        <f>=IFERROR(G215/H215,"")</f>
        <v/>
      </c>
      <c r="J215" s="16" t="str">
        <f>=IF(F215="","",F215/3600)</f>
        <v/>
      </c>
      <c r="K215" s="11" t="str">
        <f>=IF(L215="","",IF(ISNUMBER(FIND("|",L215)),TRIM(LEFT(L215,FIND("|",L215)-1)),IF(ISNUMBER(MATCH(L215,Config!$F$1:$F$853,0)),L215,IFERROR(INDEX(Config!$F$1:$F$853,MATCH(L215,Config!$G$1:$G$853,0)),""))))</f>
        <v/>
      </c>
      <c r="L215" s="17" t="str">
        <f>=IFERROR(INDEX($L$17:L214,MATCH(C215,$C$17:C214,0)),"")</f>
        <v/>
      </c>
    </row>
    <row r="216" ht="18" customHeight="1" spans="1:12" x14ac:dyDescent="0.25">
      <c r="A216" s="10" t="s">
        <v>2</v>
      </c>
      <c r="B216" s="10" t="s">
        <v>2</v>
      </c>
      <c r="C216" s="10" t="s">
        <v>2</v>
      </c>
      <c r="D216" s="11" t="str">
        <f>=IF(E216="","",IF(ISNUMBER(FIND("|",E216)),TRIM(LEFT(E216,FIND("|",E216)-1)),IF(ISNUMBER(MATCH(E216,Config!$C$1:$C$311,0)),E216,IFERROR(INDEX(Config!$C$1:$C$311,MATCH(E216,Config!$D$1:$D$311,0)),""))))</f>
        <v/>
      </c>
      <c r="E216" s="12" t="s">
        <v>2</v>
      </c>
      <c r="F216" s="13" t="s">
        <v>2</v>
      </c>
      <c r="G216" s="14" t="str">
        <f>=IF(C216="","",SUMIF($C$17:$C$502,C216,$F$17:$F$502))</f>
        <v/>
      </c>
      <c r="H216" s="14" t="str">
        <f>=IFERROR($B$14/$B$10,"")</f>
        <v/>
      </c>
      <c r="I216" s="15" t="str">
        <f>=IFERROR(G216/H216,"")</f>
        <v/>
      </c>
      <c r="J216" s="16" t="str">
        <f>=IF(F216="","",F216/3600)</f>
        <v/>
      </c>
      <c r="K216" s="11" t="str">
        <f>=IF(L216="","",IF(ISNUMBER(FIND("|",L216)),TRIM(LEFT(L216,FIND("|",L216)-1)),IF(ISNUMBER(MATCH(L216,Config!$F$1:$F$853,0)),L216,IFERROR(INDEX(Config!$F$1:$F$853,MATCH(L216,Config!$G$1:$G$853,0)),""))))</f>
        <v/>
      </c>
      <c r="L216" s="17" t="str">
        <f>=IFERROR(INDEX($L$17:L215,MATCH(C216,$C$17:C215,0)),"")</f>
        <v/>
      </c>
    </row>
    <row r="217" ht="18" customHeight="1" spans="1:12" x14ac:dyDescent="0.25">
      <c r="A217" s="10" t="s">
        <v>2</v>
      </c>
      <c r="B217" s="10" t="s">
        <v>2</v>
      </c>
      <c r="C217" s="10" t="s">
        <v>2</v>
      </c>
      <c r="D217" s="11" t="str">
        <f>=IF(E217="","",IF(ISNUMBER(FIND("|",E217)),TRIM(LEFT(E217,FIND("|",E217)-1)),IF(ISNUMBER(MATCH(E217,Config!$C$1:$C$311,0)),E217,IFERROR(INDEX(Config!$C$1:$C$311,MATCH(E217,Config!$D$1:$D$311,0)),""))))</f>
        <v/>
      </c>
      <c r="E217" s="12" t="s">
        <v>2</v>
      </c>
      <c r="F217" s="13" t="s">
        <v>2</v>
      </c>
      <c r="G217" s="14" t="str">
        <f>=IF(C217="","",SUMIF($C$17:$C$502,C217,$F$17:$F$502))</f>
        <v/>
      </c>
      <c r="H217" s="14" t="str">
        <f>=IFERROR($B$14/$B$10,"")</f>
        <v/>
      </c>
      <c r="I217" s="15" t="str">
        <f>=IFERROR(G217/H217,"")</f>
        <v/>
      </c>
      <c r="J217" s="16" t="str">
        <f>=IF(F217="","",F217/3600)</f>
        <v/>
      </c>
      <c r="K217" s="11" t="str">
        <f>=IF(L217="","",IF(ISNUMBER(FIND("|",L217)),TRIM(LEFT(L217,FIND("|",L217)-1)),IF(ISNUMBER(MATCH(L217,Config!$F$1:$F$853,0)),L217,IFERROR(INDEX(Config!$F$1:$F$853,MATCH(L217,Config!$G$1:$G$853,0)),""))))</f>
        <v/>
      </c>
      <c r="L217" s="17" t="str">
        <f>=IFERROR(INDEX($L$17:L216,MATCH(C217,$C$17:C216,0)),"")</f>
        <v/>
      </c>
    </row>
    <row r="218" ht="18" customHeight="1" spans="1:12" x14ac:dyDescent="0.25">
      <c r="A218" s="10" t="s">
        <v>2</v>
      </c>
      <c r="B218" s="10" t="s">
        <v>2</v>
      </c>
      <c r="C218" s="10" t="s">
        <v>2</v>
      </c>
      <c r="D218" s="11" t="str">
        <f>=IF(E218="","",IF(ISNUMBER(FIND("|",E218)),TRIM(LEFT(E218,FIND("|",E218)-1)),IF(ISNUMBER(MATCH(E218,Config!$C$1:$C$311,0)),E218,IFERROR(INDEX(Config!$C$1:$C$311,MATCH(E218,Config!$D$1:$D$311,0)),""))))</f>
        <v/>
      </c>
      <c r="E218" s="12" t="s">
        <v>2</v>
      </c>
      <c r="F218" s="13" t="s">
        <v>2</v>
      </c>
      <c r="G218" s="14" t="str">
        <f>=IF(C218="","",SUMIF($C$17:$C$502,C218,$F$17:$F$502))</f>
        <v/>
      </c>
      <c r="H218" s="14" t="str">
        <f>=IFERROR($B$14/$B$10,"")</f>
        <v/>
      </c>
      <c r="I218" s="15" t="str">
        <f>=IFERROR(G218/H218,"")</f>
        <v/>
      </c>
      <c r="J218" s="16" t="str">
        <f>=IF(F218="","",F218/3600)</f>
        <v/>
      </c>
      <c r="K218" s="11" t="str">
        <f>=IF(L218="","",IF(ISNUMBER(FIND("|",L218)),TRIM(LEFT(L218,FIND("|",L218)-1)),IF(ISNUMBER(MATCH(L218,Config!$F$1:$F$853,0)),L218,IFERROR(INDEX(Config!$F$1:$F$853,MATCH(L218,Config!$G$1:$G$853,0)),""))))</f>
        <v/>
      </c>
      <c r="L218" s="17" t="str">
        <f>=IFERROR(INDEX($L$17:L217,MATCH(C218,$C$17:C217,0)),"")</f>
        <v/>
      </c>
    </row>
    <row r="219" ht="18" customHeight="1" spans="1:12" x14ac:dyDescent="0.25">
      <c r="A219" s="10" t="s">
        <v>2</v>
      </c>
      <c r="B219" s="10" t="s">
        <v>2</v>
      </c>
      <c r="C219" s="10" t="s">
        <v>2</v>
      </c>
      <c r="D219" s="11" t="str">
        <f>=IF(E219="","",IF(ISNUMBER(FIND("|",E219)),TRIM(LEFT(E219,FIND("|",E219)-1)),IF(ISNUMBER(MATCH(E219,Config!$C$1:$C$311,0)),E219,IFERROR(INDEX(Config!$C$1:$C$311,MATCH(E219,Config!$D$1:$D$311,0)),""))))</f>
        <v/>
      </c>
      <c r="E219" s="12" t="s">
        <v>2</v>
      </c>
      <c r="F219" s="13" t="s">
        <v>2</v>
      </c>
      <c r="G219" s="14" t="str">
        <f>=IF(C219="","",SUMIF($C$17:$C$502,C219,$F$17:$F$502))</f>
        <v/>
      </c>
      <c r="H219" s="14" t="str">
        <f>=IFERROR($B$14/$B$10,"")</f>
        <v/>
      </c>
      <c r="I219" s="15" t="str">
        <f>=IFERROR(G219/H219,"")</f>
        <v/>
      </c>
      <c r="J219" s="16" t="str">
        <f>=IF(F219="","",F219/3600)</f>
        <v/>
      </c>
      <c r="K219" s="11" t="str">
        <f>=IF(L219="","",IF(ISNUMBER(FIND("|",L219)),TRIM(LEFT(L219,FIND("|",L219)-1)),IF(ISNUMBER(MATCH(L219,Config!$F$1:$F$853,0)),L219,IFERROR(INDEX(Config!$F$1:$F$853,MATCH(L219,Config!$G$1:$G$853,0)),""))))</f>
        <v/>
      </c>
      <c r="L219" s="17" t="str">
        <f>=IFERROR(INDEX($L$17:L218,MATCH(C219,$C$17:C218,0)),"")</f>
        <v/>
      </c>
    </row>
    <row r="220" ht="18" customHeight="1" spans="1:12" x14ac:dyDescent="0.25">
      <c r="A220" s="10" t="s">
        <v>2</v>
      </c>
      <c r="B220" s="10" t="s">
        <v>2</v>
      </c>
      <c r="C220" s="10" t="s">
        <v>2</v>
      </c>
      <c r="D220" s="11" t="str">
        <f>=IF(E220="","",IF(ISNUMBER(FIND("|",E220)),TRIM(LEFT(E220,FIND("|",E220)-1)),IF(ISNUMBER(MATCH(E220,Config!$C$1:$C$311,0)),E220,IFERROR(INDEX(Config!$C$1:$C$311,MATCH(E220,Config!$D$1:$D$311,0)),""))))</f>
        <v/>
      </c>
      <c r="E220" s="12" t="s">
        <v>2</v>
      </c>
      <c r="F220" s="13" t="s">
        <v>2</v>
      </c>
      <c r="G220" s="14" t="str">
        <f>=IF(C220="","",SUMIF($C$17:$C$502,C220,$F$17:$F$502))</f>
        <v/>
      </c>
      <c r="H220" s="14" t="str">
        <f>=IFERROR($B$14/$B$10,"")</f>
        <v/>
      </c>
      <c r="I220" s="15" t="str">
        <f>=IFERROR(G220/H220,"")</f>
        <v/>
      </c>
      <c r="J220" s="16" t="str">
        <f>=IF(F220="","",F220/3600)</f>
        <v/>
      </c>
      <c r="K220" s="11" t="str">
        <f>=IF(L220="","",IF(ISNUMBER(FIND("|",L220)),TRIM(LEFT(L220,FIND("|",L220)-1)),IF(ISNUMBER(MATCH(L220,Config!$F$1:$F$853,0)),L220,IFERROR(INDEX(Config!$F$1:$F$853,MATCH(L220,Config!$G$1:$G$853,0)),""))))</f>
        <v/>
      </c>
      <c r="L220" s="17" t="str">
        <f>=IFERROR(INDEX($L$17:L219,MATCH(C220,$C$17:C219,0)),"")</f>
        <v/>
      </c>
    </row>
    <row r="221" ht="18" customHeight="1" spans="1:12" x14ac:dyDescent="0.25">
      <c r="A221" s="10" t="s">
        <v>2</v>
      </c>
      <c r="B221" s="10" t="s">
        <v>2</v>
      </c>
      <c r="C221" s="10" t="s">
        <v>2</v>
      </c>
      <c r="D221" s="11" t="str">
        <f>=IF(E221="","",IF(ISNUMBER(FIND("|",E221)),TRIM(LEFT(E221,FIND("|",E221)-1)),IF(ISNUMBER(MATCH(E221,Config!$C$1:$C$311,0)),E221,IFERROR(INDEX(Config!$C$1:$C$311,MATCH(E221,Config!$D$1:$D$311,0)),""))))</f>
        <v/>
      </c>
      <c r="E221" s="12" t="s">
        <v>2</v>
      </c>
      <c r="F221" s="13" t="s">
        <v>2</v>
      </c>
      <c r="G221" s="14" t="str">
        <f>=IF(C221="","",SUMIF($C$17:$C$502,C221,$F$17:$F$502))</f>
        <v/>
      </c>
      <c r="H221" s="14" t="str">
        <f>=IFERROR($B$14/$B$10,"")</f>
        <v/>
      </c>
      <c r="I221" s="15" t="str">
        <f>=IFERROR(G221/H221,"")</f>
        <v/>
      </c>
      <c r="J221" s="16" t="str">
        <f>=IF(F221="","",F221/3600)</f>
        <v/>
      </c>
      <c r="K221" s="11" t="str">
        <f>=IF(L221="","",IF(ISNUMBER(FIND("|",L221)),TRIM(LEFT(L221,FIND("|",L221)-1)),IF(ISNUMBER(MATCH(L221,Config!$F$1:$F$853,0)),L221,IFERROR(INDEX(Config!$F$1:$F$853,MATCH(L221,Config!$G$1:$G$853,0)),""))))</f>
        <v/>
      </c>
      <c r="L221" s="17" t="str">
        <f>=IFERROR(INDEX($L$17:L220,MATCH(C221,$C$17:C220,0)),"")</f>
        <v/>
      </c>
    </row>
    <row r="222" ht="18" customHeight="1" spans="1:12" x14ac:dyDescent="0.25">
      <c r="A222" s="10" t="s">
        <v>2</v>
      </c>
      <c r="B222" s="10" t="s">
        <v>2</v>
      </c>
      <c r="C222" s="10" t="s">
        <v>2</v>
      </c>
      <c r="D222" s="11" t="str">
        <f>=IF(E222="","",IF(ISNUMBER(FIND("|",E222)),TRIM(LEFT(E222,FIND("|",E222)-1)),IF(ISNUMBER(MATCH(E222,Config!$C$1:$C$311,0)),E222,IFERROR(INDEX(Config!$C$1:$C$311,MATCH(E222,Config!$D$1:$D$311,0)),""))))</f>
        <v/>
      </c>
      <c r="E222" s="12" t="s">
        <v>2</v>
      </c>
      <c r="F222" s="13" t="s">
        <v>2</v>
      </c>
      <c r="G222" s="14" t="str">
        <f>=IF(C222="","",SUMIF($C$17:$C$502,C222,$F$17:$F$502))</f>
        <v/>
      </c>
      <c r="H222" s="14" t="str">
        <f>=IFERROR($B$14/$B$10,"")</f>
        <v/>
      </c>
      <c r="I222" s="15" t="str">
        <f>=IFERROR(G222/H222,"")</f>
        <v/>
      </c>
      <c r="J222" s="16" t="str">
        <f>=IF(F222="","",F222/3600)</f>
        <v/>
      </c>
      <c r="K222" s="11" t="str">
        <f>=IF(L222="","",IF(ISNUMBER(FIND("|",L222)),TRIM(LEFT(L222,FIND("|",L222)-1)),IF(ISNUMBER(MATCH(L222,Config!$F$1:$F$853,0)),L222,IFERROR(INDEX(Config!$F$1:$F$853,MATCH(L222,Config!$G$1:$G$853,0)),""))))</f>
        <v/>
      </c>
      <c r="L222" s="17" t="str">
        <f>=IFERROR(INDEX($L$17:L221,MATCH(C222,$C$17:C221,0)),"")</f>
        <v/>
      </c>
    </row>
    <row r="223" ht="18" customHeight="1" spans="1:12" x14ac:dyDescent="0.25">
      <c r="A223" s="10" t="s">
        <v>2</v>
      </c>
      <c r="B223" s="10" t="s">
        <v>2</v>
      </c>
      <c r="C223" s="10" t="s">
        <v>2</v>
      </c>
      <c r="D223" s="11" t="str">
        <f>=IF(E223="","",IF(ISNUMBER(FIND("|",E223)),TRIM(LEFT(E223,FIND("|",E223)-1)),IF(ISNUMBER(MATCH(E223,Config!$C$1:$C$311,0)),E223,IFERROR(INDEX(Config!$C$1:$C$311,MATCH(E223,Config!$D$1:$D$311,0)),""))))</f>
        <v/>
      </c>
      <c r="E223" s="12" t="s">
        <v>2</v>
      </c>
      <c r="F223" s="13" t="s">
        <v>2</v>
      </c>
      <c r="G223" s="14" t="str">
        <f>=IF(C223="","",SUMIF($C$17:$C$502,C223,$F$17:$F$502))</f>
        <v/>
      </c>
      <c r="H223" s="14" t="str">
        <f>=IFERROR($B$14/$B$10,"")</f>
        <v/>
      </c>
      <c r="I223" s="15" t="str">
        <f>=IFERROR(G223/H223,"")</f>
        <v/>
      </c>
      <c r="J223" s="16" t="str">
        <f>=IF(F223="","",F223/3600)</f>
        <v/>
      </c>
      <c r="K223" s="11" t="str">
        <f>=IF(L223="","",IF(ISNUMBER(FIND("|",L223)),TRIM(LEFT(L223,FIND("|",L223)-1)),IF(ISNUMBER(MATCH(L223,Config!$F$1:$F$853,0)),L223,IFERROR(INDEX(Config!$F$1:$F$853,MATCH(L223,Config!$G$1:$G$853,0)),""))))</f>
        <v/>
      </c>
      <c r="L223" s="17" t="str">
        <f>=IFERROR(INDEX($L$17:L222,MATCH(C223,$C$17:C222,0)),"")</f>
        <v/>
      </c>
    </row>
    <row r="224" ht="18" customHeight="1" spans="1:12" x14ac:dyDescent="0.25">
      <c r="A224" s="10" t="s">
        <v>2</v>
      </c>
      <c r="B224" s="10" t="s">
        <v>2</v>
      </c>
      <c r="C224" s="10" t="s">
        <v>2</v>
      </c>
      <c r="D224" s="11" t="str">
        <f>=IF(E224="","",IF(ISNUMBER(FIND("|",E224)),TRIM(LEFT(E224,FIND("|",E224)-1)),IF(ISNUMBER(MATCH(E224,Config!$C$1:$C$311,0)),E224,IFERROR(INDEX(Config!$C$1:$C$311,MATCH(E224,Config!$D$1:$D$311,0)),""))))</f>
        <v/>
      </c>
      <c r="E224" s="12" t="s">
        <v>2</v>
      </c>
      <c r="F224" s="13" t="s">
        <v>2</v>
      </c>
      <c r="G224" s="14" t="str">
        <f>=IF(C224="","",SUMIF($C$17:$C$502,C224,$F$17:$F$502))</f>
        <v/>
      </c>
      <c r="H224" s="14" t="str">
        <f>=IFERROR($B$14/$B$10,"")</f>
        <v/>
      </c>
      <c r="I224" s="15" t="str">
        <f>=IFERROR(G224/H224,"")</f>
        <v/>
      </c>
      <c r="J224" s="16" t="str">
        <f>=IF(F224="","",F224/3600)</f>
        <v/>
      </c>
      <c r="K224" s="11" t="str">
        <f>=IF(L224="","",IF(ISNUMBER(FIND("|",L224)),TRIM(LEFT(L224,FIND("|",L224)-1)),IF(ISNUMBER(MATCH(L224,Config!$F$1:$F$853,0)),L224,IFERROR(INDEX(Config!$F$1:$F$853,MATCH(L224,Config!$G$1:$G$853,0)),""))))</f>
        <v/>
      </c>
      <c r="L224" s="17" t="str">
        <f>=IFERROR(INDEX($L$17:L223,MATCH(C224,$C$17:C223,0)),"")</f>
        <v/>
      </c>
    </row>
    <row r="225" ht="18" customHeight="1" spans="1:12" x14ac:dyDescent="0.25">
      <c r="A225" s="10" t="s">
        <v>2</v>
      </c>
      <c r="B225" s="10" t="s">
        <v>2</v>
      </c>
      <c r="C225" s="10" t="s">
        <v>2</v>
      </c>
      <c r="D225" s="11" t="str">
        <f>=IF(E225="","",IF(ISNUMBER(FIND("|",E225)),TRIM(LEFT(E225,FIND("|",E225)-1)),IF(ISNUMBER(MATCH(E225,Config!$C$1:$C$311,0)),E225,IFERROR(INDEX(Config!$C$1:$C$311,MATCH(E225,Config!$D$1:$D$311,0)),""))))</f>
        <v/>
      </c>
      <c r="E225" s="12" t="s">
        <v>2</v>
      </c>
      <c r="F225" s="13" t="s">
        <v>2</v>
      </c>
      <c r="G225" s="14" t="str">
        <f>=IF(C225="","",SUMIF($C$17:$C$502,C225,$F$17:$F$502))</f>
        <v/>
      </c>
      <c r="H225" s="14" t="str">
        <f>=IFERROR($B$14/$B$10,"")</f>
        <v/>
      </c>
      <c r="I225" s="15" t="str">
        <f>=IFERROR(G225/H225,"")</f>
        <v/>
      </c>
      <c r="J225" s="16" t="str">
        <f>=IF(F225="","",F225/3600)</f>
        <v/>
      </c>
      <c r="K225" s="11" t="str">
        <f>=IF(L225="","",IF(ISNUMBER(FIND("|",L225)),TRIM(LEFT(L225,FIND("|",L225)-1)),IF(ISNUMBER(MATCH(L225,Config!$F$1:$F$853,0)),L225,IFERROR(INDEX(Config!$F$1:$F$853,MATCH(L225,Config!$G$1:$G$853,0)),""))))</f>
        <v/>
      </c>
      <c r="L225" s="17" t="str">
        <f>=IFERROR(INDEX($L$17:L224,MATCH(C225,$C$17:C224,0)),"")</f>
        <v/>
      </c>
    </row>
    <row r="226" ht="18" customHeight="1" spans="1:12" x14ac:dyDescent="0.25">
      <c r="A226" s="10" t="s">
        <v>2</v>
      </c>
      <c r="B226" s="10" t="s">
        <v>2</v>
      </c>
      <c r="C226" s="10" t="s">
        <v>2</v>
      </c>
      <c r="D226" s="11" t="str">
        <f>=IF(E226="","",IF(ISNUMBER(FIND("|",E226)),TRIM(LEFT(E226,FIND("|",E226)-1)),IF(ISNUMBER(MATCH(E226,Config!$C$1:$C$311,0)),E226,IFERROR(INDEX(Config!$C$1:$C$311,MATCH(E226,Config!$D$1:$D$311,0)),""))))</f>
        <v/>
      </c>
      <c r="E226" s="12" t="s">
        <v>2</v>
      </c>
      <c r="F226" s="13" t="s">
        <v>2</v>
      </c>
      <c r="G226" s="14" t="str">
        <f>=IF(C226="","",SUMIF($C$17:$C$502,C226,$F$17:$F$502))</f>
        <v/>
      </c>
      <c r="H226" s="14" t="str">
        <f>=IFERROR($B$14/$B$10,"")</f>
        <v/>
      </c>
      <c r="I226" s="15" t="str">
        <f>=IFERROR(G226/H226,"")</f>
        <v/>
      </c>
      <c r="J226" s="16" t="str">
        <f>=IF(F226="","",F226/3600)</f>
        <v/>
      </c>
      <c r="K226" s="11" t="str">
        <f>=IF(L226="","",IF(ISNUMBER(FIND("|",L226)),TRIM(LEFT(L226,FIND("|",L226)-1)),IF(ISNUMBER(MATCH(L226,Config!$F$1:$F$853,0)),L226,IFERROR(INDEX(Config!$F$1:$F$853,MATCH(L226,Config!$G$1:$G$853,0)),""))))</f>
        <v/>
      </c>
      <c r="L226" s="17" t="str">
        <f>=IFERROR(INDEX($L$17:L225,MATCH(C226,$C$17:C225,0)),"")</f>
        <v/>
      </c>
    </row>
    <row r="227" ht="18" customHeight="1" spans="1:12" x14ac:dyDescent="0.25">
      <c r="A227" s="10" t="s">
        <v>2</v>
      </c>
      <c r="B227" s="10" t="s">
        <v>2</v>
      </c>
      <c r="C227" s="10" t="s">
        <v>2</v>
      </c>
      <c r="D227" s="11" t="str">
        <f>=IF(E227="","",IF(ISNUMBER(FIND("|",E227)),TRIM(LEFT(E227,FIND("|",E227)-1)),IF(ISNUMBER(MATCH(E227,Config!$C$1:$C$311,0)),E227,IFERROR(INDEX(Config!$C$1:$C$311,MATCH(E227,Config!$D$1:$D$311,0)),""))))</f>
        <v/>
      </c>
      <c r="E227" s="12" t="s">
        <v>2</v>
      </c>
      <c r="F227" s="13" t="s">
        <v>2</v>
      </c>
      <c r="G227" s="14" t="str">
        <f>=IF(C227="","",SUMIF($C$17:$C$502,C227,$F$17:$F$502))</f>
        <v/>
      </c>
      <c r="H227" s="14" t="str">
        <f>=IFERROR($B$14/$B$10,"")</f>
        <v/>
      </c>
      <c r="I227" s="15" t="str">
        <f>=IFERROR(G227/H227,"")</f>
        <v/>
      </c>
      <c r="J227" s="16" t="str">
        <f>=IF(F227="","",F227/3600)</f>
        <v/>
      </c>
      <c r="K227" s="11" t="str">
        <f>=IF(L227="","",IF(ISNUMBER(FIND("|",L227)),TRIM(LEFT(L227,FIND("|",L227)-1)),IF(ISNUMBER(MATCH(L227,Config!$F$1:$F$853,0)),L227,IFERROR(INDEX(Config!$F$1:$F$853,MATCH(L227,Config!$G$1:$G$853,0)),""))))</f>
        <v/>
      </c>
      <c r="L227" s="17" t="str">
        <f>=IFERROR(INDEX($L$17:L226,MATCH(C227,$C$17:C226,0)),"")</f>
        <v/>
      </c>
    </row>
    <row r="228" ht="18" customHeight="1" spans="1:12" x14ac:dyDescent="0.25">
      <c r="A228" s="10" t="s">
        <v>2</v>
      </c>
      <c r="B228" s="10" t="s">
        <v>2</v>
      </c>
      <c r="C228" s="10" t="s">
        <v>2</v>
      </c>
      <c r="D228" s="11" t="str">
        <f>=IF(E228="","",IF(ISNUMBER(FIND("|",E228)),TRIM(LEFT(E228,FIND("|",E228)-1)),IF(ISNUMBER(MATCH(E228,Config!$C$1:$C$311,0)),E228,IFERROR(INDEX(Config!$C$1:$C$311,MATCH(E228,Config!$D$1:$D$311,0)),""))))</f>
        <v/>
      </c>
      <c r="E228" s="12" t="s">
        <v>2</v>
      </c>
      <c r="F228" s="13" t="s">
        <v>2</v>
      </c>
      <c r="G228" s="14" t="str">
        <f>=IF(C228="","",SUMIF($C$17:$C$502,C228,$F$17:$F$502))</f>
        <v/>
      </c>
      <c r="H228" s="14" t="str">
        <f>=IFERROR($B$14/$B$10,"")</f>
        <v/>
      </c>
      <c r="I228" s="15" t="str">
        <f>=IFERROR(G228/H228,"")</f>
        <v/>
      </c>
      <c r="J228" s="16" t="str">
        <f>=IF(F228="","",F228/3600)</f>
        <v/>
      </c>
      <c r="K228" s="11" t="str">
        <f>=IF(L228="","",IF(ISNUMBER(FIND("|",L228)),TRIM(LEFT(L228,FIND("|",L228)-1)),IF(ISNUMBER(MATCH(L228,Config!$F$1:$F$853,0)),L228,IFERROR(INDEX(Config!$F$1:$F$853,MATCH(L228,Config!$G$1:$G$853,0)),""))))</f>
        <v/>
      </c>
      <c r="L228" s="17" t="str">
        <f>=IFERROR(INDEX($L$17:L227,MATCH(C228,$C$17:C227,0)),"")</f>
        <v/>
      </c>
    </row>
    <row r="229" ht="18" customHeight="1" spans="1:12" x14ac:dyDescent="0.25">
      <c r="A229" s="10" t="s">
        <v>2</v>
      </c>
      <c r="B229" s="10" t="s">
        <v>2</v>
      </c>
      <c r="C229" s="10" t="s">
        <v>2</v>
      </c>
      <c r="D229" s="11" t="str">
        <f>=IF(E229="","",IF(ISNUMBER(FIND("|",E229)),TRIM(LEFT(E229,FIND("|",E229)-1)),IF(ISNUMBER(MATCH(E229,Config!$C$1:$C$311,0)),E229,IFERROR(INDEX(Config!$C$1:$C$311,MATCH(E229,Config!$D$1:$D$311,0)),""))))</f>
        <v/>
      </c>
      <c r="E229" s="12" t="s">
        <v>2</v>
      </c>
      <c r="F229" s="13" t="s">
        <v>2</v>
      </c>
      <c r="G229" s="14" t="str">
        <f>=IF(C229="","",SUMIF($C$17:$C$502,C229,$F$17:$F$502))</f>
        <v/>
      </c>
      <c r="H229" s="14" t="str">
        <f>=IFERROR($B$14/$B$10,"")</f>
        <v/>
      </c>
      <c r="I229" s="15" t="str">
        <f>=IFERROR(G229/H229,"")</f>
        <v/>
      </c>
      <c r="J229" s="16" t="str">
        <f>=IF(F229="","",F229/3600)</f>
        <v/>
      </c>
      <c r="K229" s="11" t="str">
        <f>=IF(L229="","",IF(ISNUMBER(FIND("|",L229)),TRIM(LEFT(L229,FIND("|",L229)-1)),IF(ISNUMBER(MATCH(L229,Config!$F$1:$F$853,0)),L229,IFERROR(INDEX(Config!$F$1:$F$853,MATCH(L229,Config!$G$1:$G$853,0)),""))))</f>
        <v/>
      </c>
      <c r="L229" s="17" t="str">
        <f>=IFERROR(INDEX($L$17:L228,MATCH(C229,$C$17:C228,0)),"")</f>
        <v/>
      </c>
    </row>
    <row r="230" ht="18" customHeight="1" spans="1:12" x14ac:dyDescent="0.25">
      <c r="A230" s="10" t="s">
        <v>2</v>
      </c>
      <c r="B230" s="10" t="s">
        <v>2</v>
      </c>
      <c r="C230" s="10" t="s">
        <v>2</v>
      </c>
      <c r="D230" s="11" t="str">
        <f>=IF(E230="","",IF(ISNUMBER(FIND("|",E230)),TRIM(LEFT(E230,FIND("|",E230)-1)),IF(ISNUMBER(MATCH(E230,Config!$C$1:$C$311,0)),E230,IFERROR(INDEX(Config!$C$1:$C$311,MATCH(E230,Config!$D$1:$D$311,0)),""))))</f>
        <v/>
      </c>
      <c r="E230" s="12" t="s">
        <v>2</v>
      </c>
      <c r="F230" s="13" t="s">
        <v>2</v>
      </c>
      <c r="G230" s="14" t="str">
        <f>=IF(C230="","",SUMIF($C$17:$C$502,C230,$F$17:$F$502))</f>
        <v/>
      </c>
      <c r="H230" s="14" t="str">
        <f>=IFERROR($B$14/$B$10,"")</f>
        <v/>
      </c>
      <c r="I230" s="15" t="str">
        <f>=IFERROR(G230/H230,"")</f>
        <v/>
      </c>
      <c r="J230" s="16" t="str">
        <f>=IF(F230="","",F230/3600)</f>
        <v/>
      </c>
      <c r="K230" s="11" t="str">
        <f>=IF(L230="","",IF(ISNUMBER(FIND("|",L230)),TRIM(LEFT(L230,FIND("|",L230)-1)),IF(ISNUMBER(MATCH(L230,Config!$F$1:$F$853,0)),L230,IFERROR(INDEX(Config!$F$1:$F$853,MATCH(L230,Config!$G$1:$G$853,0)),""))))</f>
        <v/>
      </c>
      <c r="L230" s="17" t="str">
        <f>=IFERROR(INDEX($L$17:L229,MATCH(C230,$C$17:C229,0)),"")</f>
        <v/>
      </c>
    </row>
    <row r="231" ht="18" customHeight="1" spans="1:12" x14ac:dyDescent="0.25">
      <c r="A231" s="10" t="s">
        <v>2</v>
      </c>
      <c r="B231" s="10" t="s">
        <v>2</v>
      </c>
      <c r="C231" s="10" t="s">
        <v>2</v>
      </c>
      <c r="D231" s="11" t="str">
        <f>=IF(E231="","",IF(ISNUMBER(FIND("|",E231)),TRIM(LEFT(E231,FIND("|",E231)-1)),IF(ISNUMBER(MATCH(E231,Config!$C$1:$C$311,0)),E231,IFERROR(INDEX(Config!$C$1:$C$311,MATCH(E231,Config!$D$1:$D$311,0)),""))))</f>
        <v/>
      </c>
      <c r="E231" s="12" t="s">
        <v>2</v>
      </c>
      <c r="F231" s="13" t="s">
        <v>2</v>
      </c>
      <c r="G231" s="14" t="str">
        <f>=IF(C231="","",SUMIF($C$17:$C$502,C231,$F$17:$F$502))</f>
        <v/>
      </c>
      <c r="H231" s="14" t="str">
        <f>=IFERROR($B$14/$B$10,"")</f>
        <v/>
      </c>
      <c r="I231" s="15" t="str">
        <f>=IFERROR(G231/H231,"")</f>
        <v/>
      </c>
      <c r="J231" s="16" t="str">
        <f>=IF(F231="","",F231/3600)</f>
        <v/>
      </c>
      <c r="K231" s="11" t="str">
        <f>=IF(L231="","",IF(ISNUMBER(FIND("|",L231)),TRIM(LEFT(L231,FIND("|",L231)-1)),IF(ISNUMBER(MATCH(L231,Config!$F$1:$F$853,0)),L231,IFERROR(INDEX(Config!$F$1:$F$853,MATCH(L231,Config!$G$1:$G$853,0)),""))))</f>
        <v/>
      </c>
      <c r="L231" s="17" t="str">
        <f>=IFERROR(INDEX($L$17:L230,MATCH(C231,$C$17:C230,0)),"")</f>
        <v/>
      </c>
    </row>
    <row r="232" ht="18" customHeight="1" spans="1:12" x14ac:dyDescent="0.25">
      <c r="A232" s="10" t="s">
        <v>2</v>
      </c>
      <c r="B232" s="10" t="s">
        <v>2</v>
      </c>
      <c r="C232" s="10" t="s">
        <v>2</v>
      </c>
      <c r="D232" s="11" t="str">
        <f>=IF(E232="","",IF(ISNUMBER(FIND("|",E232)),TRIM(LEFT(E232,FIND("|",E232)-1)),IF(ISNUMBER(MATCH(E232,Config!$C$1:$C$311,0)),E232,IFERROR(INDEX(Config!$C$1:$C$311,MATCH(E232,Config!$D$1:$D$311,0)),""))))</f>
        <v/>
      </c>
      <c r="E232" s="12" t="s">
        <v>2</v>
      </c>
      <c r="F232" s="13" t="s">
        <v>2</v>
      </c>
      <c r="G232" s="14" t="str">
        <f>=IF(C232="","",SUMIF($C$17:$C$502,C232,$F$17:$F$502))</f>
        <v/>
      </c>
      <c r="H232" s="14" t="str">
        <f>=IFERROR($B$14/$B$10,"")</f>
        <v/>
      </c>
      <c r="I232" s="15" t="str">
        <f>=IFERROR(G232/H232,"")</f>
        <v/>
      </c>
      <c r="J232" s="16" t="str">
        <f>=IF(F232="","",F232/3600)</f>
        <v/>
      </c>
      <c r="K232" s="11" t="str">
        <f>=IF(L232="","",IF(ISNUMBER(FIND("|",L232)),TRIM(LEFT(L232,FIND("|",L232)-1)),IF(ISNUMBER(MATCH(L232,Config!$F$1:$F$853,0)),L232,IFERROR(INDEX(Config!$F$1:$F$853,MATCH(L232,Config!$G$1:$G$853,0)),""))))</f>
        <v/>
      </c>
      <c r="L232" s="17" t="str">
        <f>=IFERROR(INDEX($L$17:L231,MATCH(C232,$C$17:C231,0)),"")</f>
        <v/>
      </c>
    </row>
    <row r="233" ht="18" customHeight="1" spans="1:12" x14ac:dyDescent="0.25">
      <c r="A233" s="10" t="s">
        <v>2</v>
      </c>
      <c r="B233" s="10" t="s">
        <v>2</v>
      </c>
      <c r="C233" s="10" t="s">
        <v>2</v>
      </c>
      <c r="D233" s="11" t="str">
        <f>=IF(E233="","",IF(ISNUMBER(FIND("|",E233)),TRIM(LEFT(E233,FIND("|",E233)-1)),IF(ISNUMBER(MATCH(E233,Config!$C$1:$C$311,0)),E233,IFERROR(INDEX(Config!$C$1:$C$311,MATCH(E233,Config!$D$1:$D$311,0)),""))))</f>
        <v/>
      </c>
      <c r="E233" s="12" t="s">
        <v>2</v>
      </c>
      <c r="F233" s="13" t="s">
        <v>2</v>
      </c>
      <c r="G233" s="14" t="str">
        <f>=IF(C233="","",SUMIF($C$17:$C$502,C233,$F$17:$F$502))</f>
        <v/>
      </c>
      <c r="H233" s="14" t="str">
        <f>=IFERROR($B$14/$B$10,"")</f>
        <v/>
      </c>
      <c r="I233" s="15" t="str">
        <f>=IFERROR(G233/H233,"")</f>
        <v/>
      </c>
      <c r="J233" s="16" t="str">
        <f>=IF(F233="","",F233/3600)</f>
        <v/>
      </c>
      <c r="K233" s="11" t="str">
        <f>=IF(L233="","",IF(ISNUMBER(FIND("|",L233)),TRIM(LEFT(L233,FIND("|",L233)-1)),IF(ISNUMBER(MATCH(L233,Config!$F$1:$F$853,0)),L233,IFERROR(INDEX(Config!$F$1:$F$853,MATCH(L233,Config!$G$1:$G$853,0)),""))))</f>
        <v/>
      </c>
      <c r="L233" s="17" t="str">
        <f>=IFERROR(INDEX($L$17:L232,MATCH(C233,$C$17:C232,0)),"")</f>
        <v/>
      </c>
    </row>
    <row r="234" ht="18" customHeight="1" spans="1:12" x14ac:dyDescent="0.25">
      <c r="A234" s="10" t="s">
        <v>2</v>
      </c>
      <c r="B234" s="10" t="s">
        <v>2</v>
      </c>
      <c r="C234" s="10" t="s">
        <v>2</v>
      </c>
      <c r="D234" s="11" t="str">
        <f>=IF(E234="","",IF(ISNUMBER(FIND("|",E234)),TRIM(LEFT(E234,FIND("|",E234)-1)),IF(ISNUMBER(MATCH(E234,Config!$C$1:$C$311,0)),E234,IFERROR(INDEX(Config!$C$1:$C$311,MATCH(E234,Config!$D$1:$D$311,0)),""))))</f>
        <v/>
      </c>
      <c r="E234" s="12" t="s">
        <v>2</v>
      </c>
      <c r="F234" s="13" t="s">
        <v>2</v>
      </c>
      <c r="G234" s="14" t="str">
        <f>=IF(C234="","",SUMIF($C$17:$C$502,C234,$F$17:$F$502))</f>
        <v/>
      </c>
      <c r="H234" s="14" t="str">
        <f>=IFERROR($B$14/$B$10,"")</f>
        <v/>
      </c>
      <c r="I234" s="15" t="str">
        <f>=IFERROR(G234/H234,"")</f>
        <v/>
      </c>
      <c r="J234" s="16" t="str">
        <f>=IF(F234="","",F234/3600)</f>
        <v/>
      </c>
      <c r="K234" s="11" t="str">
        <f>=IF(L234="","",IF(ISNUMBER(FIND("|",L234)),TRIM(LEFT(L234,FIND("|",L234)-1)),IF(ISNUMBER(MATCH(L234,Config!$F$1:$F$853,0)),L234,IFERROR(INDEX(Config!$F$1:$F$853,MATCH(L234,Config!$G$1:$G$853,0)),""))))</f>
        <v/>
      </c>
      <c r="L234" s="17" t="str">
        <f>=IFERROR(INDEX($L$17:L233,MATCH(C234,$C$17:C233,0)),"")</f>
        <v/>
      </c>
    </row>
    <row r="235" ht="18" customHeight="1" spans="1:12" x14ac:dyDescent="0.25">
      <c r="A235" s="10" t="s">
        <v>2</v>
      </c>
      <c r="B235" s="10" t="s">
        <v>2</v>
      </c>
      <c r="C235" s="10" t="s">
        <v>2</v>
      </c>
      <c r="D235" s="11" t="str">
        <f>=IF(E235="","",IF(ISNUMBER(FIND("|",E235)),TRIM(LEFT(E235,FIND("|",E235)-1)),IF(ISNUMBER(MATCH(E235,Config!$C$1:$C$311,0)),E235,IFERROR(INDEX(Config!$C$1:$C$311,MATCH(E235,Config!$D$1:$D$311,0)),""))))</f>
        <v/>
      </c>
      <c r="E235" s="12" t="s">
        <v>2</v>
      </c>
      <c r="F235" s="13" t="s">
        <v>2</v>
      </c>
      <c r="G235" s="14" t="str">
        <f>=IF(C235="","",SUMIF($C$17:$C$502,C235,$F$17:$F$502))</f>
        <v/>
      </c>
      <c r="H235" s="14" t="str">
        <f>=IFERROR($B$14/$B$10,"")</f>
        <v/>
      </c>
      <c r="I235" s="15" t="str">
        <f>=IFERROR(G235/H235,"")</f>
        <v/>
      </c>
      <c r="J235" s="16" t="str">
        <f>=IF(F235="","",F235/3600)</f>
        <v/>
      </c>
      <c r="K235" s="11" t="str">
        <f>=IF(L235="","",IF(ISNUMBER(FIND("|",L235)),TRIM(LEFT(L235,FIND("|",L235)-1)),IF(ISNUMBER(MATCH(L235,Config!$F$1:$F$853,0)),L235,IFERROR(INDEX(Config!$F$1:$F$853,MATCH(L235,Config!$G$1:$G$853,0)),""))))</f>
        <v/>
      </c>
      <c r="L235" s="17" t="str">
        <f>=IFERROR(INDEX($L$17:L234,MATCH(C235,$C$17:C234,0)),"")</f>
        <v/>
      </c>
    </row>
    <row r="236" ht="18" customHeight="1" spans="1:12" x14ac:dyDescent="0.25">
      <c r="A236" s="10" t="s">
        <v>2</v>
      </c>
      <c r="B236" s="10" t="s">
        <v>2</v>
      </c>
      <c r="C236" s="10" t="s">
        <v>2</v>
      </c>
      <c r="D236" s="11" t="str">
        <f>=IF(E236="","",IF(ISNUMBER(FIND("|",E236)),TRIM(LEFT(E236,FIND("|",E236)-1)),IF(ISNUMBER(MATCH(E236,Config!$C$1:$C$311,0)),E236,IFERROR(INDEX(Config!$C$1:$C$311,MATCH(E236,Config!$D$1:$D$311,0)),""))))</f>
        <v/>
      </c>
      <c r="E236" s="12" t="s">
        <v>2</v>
      </c>
      <c r="F236" s="13" t="s">
        <v>2</v>
      </c>
      <c r="G236" s="14" t="str">
        <f>=IF(C236="","",SUMIF($C$17:$C$502,C236,$F$17:$F$502))</f>
        <v/>
      </c>
      <c r="H236" s="14" t="str">
        <f>=IFERROR($B$14/$B$10,"")</f>
        <v/>
      </c>
      <c r="I236" s="15" t="str">
        <f>=IFERROR(G236/H236,"")</f>
        <v/>
      </c>
      <c r="J236" s="16" t="str">
        <f>=IF(F236="","",F236/3600)</f>
        <v/>
      </c>
      <c r="K236" s="11" t="str">
        <f>=IF(L236="","",IF(ISNUMBER(FIND("|",L236)),TRIM(LEFT(L236,FIND("|",L236)-1)),IF(ISNUMBER(MATCH(L236,Config!$F$1:$F$853,0)),L236,IFERROR(INDEX(Config!$F$1:$F$853,MATCH(L236,Config!$G$1:$G$853,0)),""))))</f>
        <v/>
      </c>
      <c r="L236" s="17" t="str">
        <f>=IFERROR(INDEX($L$17:L235,MATCH(C236,$C$17:C235,0)),"")</f>
        <v/>
      </c>
    </row>
    <row r="237" ht="18" customHeight="1" spans="1:12" x14ac:dyDescent="0.25">
      <c r="A237" s="10" t="s">
        <v>2</v>
      </c>
      <c r="B237" s="10" t="s">
        <v>2</v>
      </c>
      <c r="C237" s="10" t="s">
        <v>2</v>
      </c>
      <c r="D237" s="11" t="str">
        <f>=IF(E237="","",IF(ISNUMBER(FIND("|",E237)),TRIM(LEFT(E237,FIND("|",E237)-1)),IF(ISNUMBER(MATCH(E237,Config!$C$1:$C$311,0)),E237,IFERROR(INDEX(Config!$C$1:$C$311,MATCH(E237,Config!$D$1:$D$311,0)),""))))</f>
        <v/>
      </c>
      <c r="E237" s="12" t="s">
        <v>2</v>
      </c>
      <c r="F237" s="13" t="s">
        <v>2</v>
      </c>
      <c r="G237" s="14" t="str">
        <f>=IF(C237="","",SUMIF($C$17:$C$502,C237,$F$17:$F$502))</f>
        <v/>
      </c>
      <c r="H237" s="14" t="str">
        <f>=IFERROR($B$14/$B$10,"")</f>
        <v/>
      </c>
      <c r="I237" s="15" t="str">
        <f>=IFERROR(G237/H237,"")</f>
        <v/>
      </c>
      <c r="J237" s="16" t="str">
        <f>=IF(F237="","",F237/3600)</f>
        <v/>
      </c>
      <c r="K237" s="11" t="str">
        <f>=IF(L237="","",IF(ISNUMBER(FIND("|",L237)),TRIM(LEFT(L237,FIND("|",L237)-1)),IF(ISNUMBER(MATCH(L237,Config!$F$1:$F$853,0)),L237,IFERROR(INDEX(Config!$F$1:$F$853,MATCH(L237,Config!$G$1:$G$853,0)),""))))</f>
        <v/>
      </c>
      <c r="L237" s="17" t="str">
        <f>=IFERROR(INDEX($L$17:L236,MATCH(C237,$C$17:C236,0)),"")</f>
        <v/>
      </c>
    </row>
    <row r="238" ht="18" customHeight="1" spans="1:12" x14ac:dyDescent="0.25">
      <c r="A238" s="10" t="s">
        <v>2</v>
      </c>
      <c r="B238" s="10" t="s">
        <v>2</v>
      </c>
      <c r="C238" s="10" t="s">
        <v>2</v>
      </c>
      <c r="D238" s="11" t="str">
        <f>=IF(E238="","",IF(ISNUMBER(FIND("|",E238)),TRIM(LEFT(E238,FIND("|",E238)-1)),IF(ISNUMBER(MATCH(E238,Config!$C$1:$C$311,0)),E238,IFERROR(INDEX(Config!$C$1:$C$311,MATCH(E238,Config!$D$1:$D$311,0)),""))))</f>
        <v/>
      </c>
      <c r="E238" s="12" t="s">
        <v>2</v>
      </c>
      <c r="F238" s="13" t="s">
        <v>2</v>
      </c>
      <c r="G238" s="14" t="str">
        <f>=IF(C238="","",SUMIF($C$17:$C$502,C238,$F$17:$F$502))</f>
        <v/>
      </c>
      <c r="H238" s="14" t="str">
        <f>=IFERROR($B$14/$B$10,"")</f>
        <v/>
      </c>
      <c r="I238" s="15" t="str">
        <f>=IFERROR(G238/H238,"")</f>
        <v/>
      </c>
      <c r="J238" s="16" t="str">
        <f>=IF(F238="","",F238/3600)</f>
        <v/>
      </c>
      <c r="K238" s="11" t="str">
        <f>=IF(L238="","",IF(ISNUMBER(FIND("|",L238)),TRIM(LEFT(L238,FIND("|",L238)-1)),IF(ISNUMBER(MATCH(L238,Config!$F$1:$F$853,0)),L238,IFERROR(INDEX(Config!$F$1:$F$853,MATCH(L238,Config!$G$1:$G$853,0)),""))))</f>
        <v/>
      </c>
      <c r="L238" s="17" t="str">
        <f>=IFERROR(INDEX($L$17:L237,MATCH(C238,$C$17:C237,0)),"")</f>
        <v/>
      </c>
    </row>
    <row r="239" ht="18" customHeight="1" spans="1:12" x14ac:dyDescent="0.25">
      <c r="A239" s="10" t="s">
        <v>2</v>
      </c>
      <c r="B239" s="10" t="s">
        <v>2</v>
      </c>
      <c r="C239" s="10" t="s">
        <v>2</v>
      </c>
      <c r="D239" s="11" t="str">
        <f>=IF(E239="","",IF(ISNUMBER(FIND("|",E239)),TRIM(LEFT(E239,FIND("|",E239)-1)),IF(ISNUMBER(MATCH(E239,Config!$C$1:$C$311,0)),E239,IFERROR(INDEX(Config!$C$1:$C$311,MATCH(E239,Config!$D$1:$D$311,0)),""))))</f>
        <v/>
      </c>
      <c r="E239" s="12" t="s">
        <v>2</v>
      </c>
      <c r="F239" s="13" t="s">
        <v>2</v>
      </c>
      <c r="G239" s="14" t="str">
        <f>=IF(C239="","",SUMIF($C$17:$C$502,C239,$F$17:$F$502))</f>
        <v/>
      </c>
      <c r="H239" s="14" t="str">
        <f>=IFERROR($B$14/$B$10,"")</f>
        <v/>
      </c>
      <c r="I239" s="15" t="str">
        <f>=IFERROR(G239/H239,"")</f>
        <v/>
      </c>
      <c r="J239" s="16" t="str">
        <f>=IF(F239="","",F239/3600)</f>
        <v/>
      </c>
      <c r="K239" s="11" t="str">
        <f>=IF(L239="","",IF(ISNUMBER(FIND("|",L239)),TRIM(LEFT(L239,FIND("|",L239)-1)),IF(ISNUMBER(MATCH(L239,Config!$F$1:$F$853,0)),L239,IFERROR(INDEX(Config!$F$1:$F$853,MATCH(L239,Config!$G$1:$G$853,0)),""))))</f>
        <v/>
      </c>
      <c r="L239" s="17" t="str">
        <f>=IFERROR(INDEX($L$17:L238,MATCH(C239,$C$17:C238,0)),"")</f>
        <v/>
      </c>
    </row>
    <row r="240" ht="18" customHeight="1" spans="1:12" x14ac:dyDescent="0.25">
      <c r="A240" s="10" t="s">
        <v>2</v>
      </c>
      <c r="B240" s="10" t="s">
        <v>2</v>
      </c>
      <c r="C240" s="10" t="s">
        <v>2</v>
      </c>
      <c r="D240" s="11" t="str">
        <f>=IF(E240="","",IF(ISNUMBER(FIND("|",E240)),TRIM(LEFT(E240,FIND("|",E240)-1)),IF(ISNUMBER(MATCH(E240,Config!$C$1:$C$311,0)),E240,IFERROR(INDEX(Config!$C$1:$C$311,MATCH(E240,Config!$D$1:$D$311,0)),""))))</f>
        <v/>
      </c>
      <c r="E240" s="12" t="s">
        <v>2</v>
      </c>
      <c r="F240" s="13" t="s">
        <v>2</v>
      </c>
      <c r="G240" s="14" t="str">
        <f>=IF(C240="","",SUMIF($C$17:$C$502,C240,$F$17:$F$502))</f>
        <v/>
      </c>
      <c r="H240" s="14" t="str">
        <f>=IFERROR($B$14/$B$10,"")</f>
        <v/>
      </c>
      <c r="I240" s="15" t="str">
        <f>=IFERROR(G240/H240,"")</f>
        <v/>
      </c>
      <c r="J240" s="16" t="str">
        <f>=IF(F240="","",F240/3600)</f>
        <v/>
      </c>
      <c r="K240" s="11" t="str">
        <f>=IF(L240="","",IF(ISNUMBER(FIND("|",L240)),TRIM(LEFT(L240,FIND("|",L240)-1)),IF(ISNUMBER(MATCH(L240,Config!$F$1:$F$853,0)),L240,IFERROR(INDEX(Config!$F$1:$F$853,MATCH(L240,Config!$G$1:$G$853,0)),""))))</f>
        <v/>
      </c>
      <c r="L240" s="17" t="str">
        <f>=IFERROR(INDEX($L$17:L239,MATCH(C240,$C$17:C239,0)),"")</f>
        <v/>
      </c>
    </row>
    <row r="241" ht="18" customHeight="1" spans="1:12" x14ac:dyDescent="0.25">
      <c r="A241" s="10" t="s">
        <v>2</v>
      </c>
      <c r="B241" s="10" t="s">
        <v>2</v>
      </c>
      <c r="C241" s="10" t="s">
        <v>2</v>
      </c>
      <c r="D241" s="11" t="str">
        <f>=IF(E241="","",IF(ISNUMBER(FIND("|",E241)),TRIM(LEFT(E241,FIND("|",E241)-1)),IF(ISNUMBER(MATCH(E241,Config!$C$1:$C$311,0)),E241,IFERROR(INDEX(Config!$C$1:$C$311,MATCH(E241,Config!$D$1:$D$311,0)),""))))</f>
        <v/>
      </c>
      <c r="E241" s="12" t="s">
        <v>2</v>
      </c>
      <c r="F241" s="13" t="s">
        <v>2</v>
      </c>
      <c r="G241" s="14" t="str">
        <f>=IF(C241="","",SUMIF($C$17:$C$502,C241,$F$17:$F$502))</f>
        <v/>
      </c>
      <c r="H241" s="14" t="str">
        <f>=IFERROR($B$14/$B$10,"")</f>
        <v/>
      </c>
      <c r="I241" s="15" t="str">
        <f>=IFERROR(G241/H241,"")</f>
        <v/>
      </c>
      <c r="J241" s="16" t="str">
        <f>=IF(F241="","",F241/3600)</f>
        <v/>
      </c>
      <c r="K241" s="11" t="str">
        <f>=IF(L241="","",IF(ISNUMBER(FIND("|",L241)),TRIM(LEFT(L241,FIND("|",L241)-1)),IF(ISNUMBER(MATCH(L241,Config!$F$1:$F$853,0)),L241,IFERROR(INDEX(Config!$F$1:$F$853,MATCH(L241,Config!$G$1:$G$853,0)),""))))</f>
        <v/>
      </c>
      <c r="L241" s="17" t="str">
        <f>=IFERROR(INDEX($L$17:L240,MATCH(C241,$C$17:C240,0)),"")</f>
        <v/>
      </c>
    </row>
    <row r="242" ht="18" customHeight="1" spans="1:12" x14ac:dyDescent="0.25">
      <c r="A242" s="10" t="s">
        <v>2</v>
      </c>
      <c r="B242" s="10" t="s">
        <v>2</v>
      </c>
      <c r="C242" s="10" t="s">
        <v>2</v>
      </c>
      <c r="D242" s="11" t="str">
        <f>=IF(E242="","",IF(ISNUMBER(FIND("|",E242)),TRIM(LEFT(E242,FIND("|",E242)-1)),IF(ISNUMBER(MATCH(E242,Config!$C$1:$C$311,0)),E242,IFERROR(INDEX(Config!$C$1:$C$311,MATCH(E242,Config!$D$1:$D$311,0)),""))))</f>
        <v/>
      </c>
      <c r="E242" s="12" t="s">
        <v>2</v>
      </c>
      <c r="F242" s="13" t="s">
        <v>2</v>
      </c>
      <c r="G242" s="14" t="str">
        <f>=IF(C242="","",SUMIF($C$17:$C$502,C242,$F$17:$F$502))</f>
        <v/>
      </c>
      <c r="H242" s="14" t="str">
        <f>=IFERROR($B$14/$B$10,"")</f>
        <v/>
      </c>
      <c r="I242" s="15" t="str">
        <f>=IFERROR(G242/H242,"")</f>
        <v/>
      </c>
      <c r="J242" s="16" t="str">
        <f>=IF(F242="","",F242/3600)</f>
        <v/>
      </c>
      <c r="K242" s="11" t="str">
        <f>=IF(L242="","",IF(ISNUMBER(FIND("|",L242)),TRIM(LEFT(L242,FIND("|",L242)-1)),IF(ISNUMBER(MATCH(L242,Config!$F$1:$F$853,0)),L242,IFERROR(INDEX(Config!$F$1:$F$853,MATCH(L242,Config!$G$1:$G$853,0)),""))))</f>
        <v/>
      </c>
      <c r="L242" s="17" t="str">
        <f>=IFERROR(INDEX($L$17:L241,MATCH(C242,$C$17:C241,0)),"")</f>
        <v/>
      </c>
    </row>
    <row r="243" ht="18" customHeight="1" spans="1:12" x14ac:dyDescent="0.25">
      <c r="A243" s="10" t="s">
        <v>2</v>
      </c>
      <c r="B243" s="10" t="s">
        <v>2</v>
      </c>
      <c r="C243" s="10" t="s">
        <v>2</v>
      </c>
      <c r="D243" s="11" t="str">
        <f>=IF(E243="","",IF(ISNUMBER(FIND("|",E243)),TRIM(LEFT(E243,FIND("|",E243)-1)),IF(ISNUMBER(MATCH(E243,Config!$C$1:$C$311,0)),E243,IFERROR(INDEX(Config!$C$1:$C$311,MATCH(E243,Config!$D$1:$D$311,0)),""))))</f>
        <v/>
      </c>
      <c r="E243" s="12" t="s">
        <v>2</v>
      </c>
      <c r="F243" s="13" t="s">
        <v>2</v>
      </c>
      <c r="G243" s="14" t="str">
        <f>=IF(C243="","",SUMIF($C$17:$C$502,C243,$F$17:$F$502))</f>
        <v/>
      </c>
      <c r="H243" s="14" t="str">
        <f>=IFERROR($B$14/$B$10,"")</f>
        <v/>
      </c>
      <c r="I243" s="15" t="str">
        <f>=IFERROR(G243/H243,"")</f>
        <v/>
      </c>
      <c r="J243" s="16" t="str">
        <f>=IF(F243="","",F243/3600)</f>
        <v/>
      </c>
      <c r="K243" s="11" t="str">
        <f>=IF(L243="","",IF(ISNUMBER(FIND("|",L243)),TRIM(LEFT(L243,FIND("|",L243)-1)),IF(ISNUMBER(MATCH(L243,Config!$F$1:$F$853,0)),L243,IFERROR(INDEX(Config!$F$1:$F$853,MATCH(L243,Config!$G$1:$G$853,0)),""))))</f>
        <v/>
      </c>
      <c r="L243" s="17" t="str">
        <f>=IFERROR(INDEX($L$17:L242,MATCH(C243,$C$17:C242,0)),"")</f>
        <v/>
      </c>
    </row>
    <row r="244" ht="18" customHeight="1" spans="1:12" x14ac:dyDescent="0.25">
      <c r="A244" s="10" t="s">
        <v>2</v>
      </c>
      <c r="B244" s="10" t="s">
        <v>2</v>
      </c>
      <c r="C244" s="10" t="s">
        <v>2</v>
      </c>
      <c r="D244" s="11" t="str">
        <f>=IF(E244="","",IF(ISNUMBER(FIND("|",E244)),TRIM(LEFT(E244,FIND("|",E244)-1)),IF(ISNUMBER(MATCH(E244,Config!$C$1:$C$311,0)),E244,IFERROR(INDEX(Config!$C$1:$C$311,MATCH(E244,Config!$D$1:$D$311,0)),""))))</f>
        <v/>
      </c>
      <c r="E244" s="12" t="s">
        <v>2</v>
      </c>
      <c r="F244" s="13" t="s">
        <v>2</v>
      </c>
      <c r="G244" s="14" t="str">
        <f>=IF(C244="","",SUMIF($C$17:$C$502,C244,$F$17:$F$502))</f>
        <v/>
      </c>
      <c r="H244" s="14" t="str">
        <f>=IFERROR($B$14/$B$10,"")</f>
        <v/>
      </c>
      <c r="I244" s="15" t="str">
        <f>=IFERROR(G244/H244,"")</f>
        <v/>
      </c>
      <c r="J244" s="16" t="str">
        <f>=IF(F244="","",F244/3600)</f>
        <v/>
      </c>
      <c r="K244" s="11" t="str">
        <f>=IF(L244="","",IF(ISNUMBER(FIND("|",L244)),TRIM(LEFT(L244,FIND("|",L244)-1)),IF(ISNUMBER(MATCH(L244,Config!$F$1:$F$853,0)),L244,IFERROR(INDEX(Config!$F$1:$F$853,MATCH(L244,Config!$G$1:$G$853,0)),""))))</f>
        <v/>
      </c>
      <c r="L244" s="17" t="str">
        <f>=IFERROR(INDEX($L$17:L243,MATCH(C244,$C$17:C243,0)),"")</f>
        <v/>
      </c>
    </row>
    <row r="245" ht="18" customHeight="1" spans="1:12" x14ac:dyDescent="0.25">
      <c r="A245" s="10" t="s">
        <v>2</v>
      </c>
      <c r="B245" s="10" t="s">
        <v>2</v>
      </c>
      <c r="C245" s="10" t="s">
        <v>2</v>
      </c>
      <c r="D245" s="11" t="str">
        <f>=IF(E245="","",IF(ISNUMBER(FIND("|",E245)),TRIM(LEFT(E245,FIND("|",E245)-1)),IF(ISNUMBER(MATCH(E245,Config!$C$1:$C$311,0)),E245,IFERROR(INDEX(Config!$C$1:$C$311,MATCH(E245,Config!$D$1:$D$311,0)),""))))</f>
        <v/>
      </c>
      <c r="E245" s="12" t="s">
        <v>2</v>
      </c>
      <c r="F245" s="13" t="s">
        <v>2</v>
      </c>
      <c r="G245" s="14" t="str">
        <f>=IF(C245="","",SUMIF($C$17:$C$502,C245,$F$17:$F$502))</f>
        <v/>
      </c>
      <c r="H245" s="14" t="str">
        <f>=IFERROR($B$14/$B$10,"")</f>
        <v/>
      </c>
      <c r="I245" s="15" t="str">
        <f>=IFERROR(G245/H245,"")</f>
        <v/>
      </c>
      <c r="J245" s="16" t="str">
        <f>=IF(F245="","",F245/3600)</f>
        <v/>
      </c>
      <c r="K245" s="11" t="str">
        <f>=IF(L245="","",IF(ISNUMBER(FIND("|",L245)),TRIM(LEFT(L245,FIND("|",L245)-1)),IF(ISNUMBER(MATCH(L245,Config!$F$1:$F$853,0)),L245,IFERROR(INDEX(Config!$F$1:$F$853,MATCH(L245,Config!$G$1:$G$853,0)),""))))</f>
        <v/>
      </c>
      <c r="L245" s="17" t="str">
        <f>=IFERROR(INDEX($L$17:L244,MATCH(C245,$C$17:C244,0)),"")</f>
        <v/>
      </c>
    </row>
    <row r="246" ht="18" customHeight="1" spans="1:12" x14ac:dyDescent="0.25">
      <c r="A246" s="10" t="s">
        <v>2</v>
      </c>
      <c r="B246" s="10" t="s">
        <v>2</v>
      </c>
      <c r="C246" s="10" t="s">
        <v>2</v>
      </c>
      <c r="D246" s="11" t="str">
        <f>=IF(E246="","",IF(ISNUMBER(FIND("|",E246)),TRIM(LEFT(E246,FIND("|",E246)-1)),IF(ISNUMBER(MATCH(E246,Config!$C$1:$C$311,0)),E246,IFERROR(INDEX(Config!$C$1:$C$311,MATCH(E246,Config!$D$1:$D$311,0)),""))))</f>
        <v/>
      </c>
      <c r="E246" s="12" t="s">
        <v>2</v>
      </c>
      <c r="F246" s="13" t="s">
        <v>2</v>
      </c>
      <c r="G246" s="14" t="str">
        <f>=IF(C246="","",SUMIF($C$17:$C$502,C246,$F$17:$F$502))</f>
        <v/>
      </c>
      <c r="H246" s="14" t="str">
        <f>=IFERROR($B$14/$B$10,"")</f>
        <v/>
      </c>
      <c r="I246" s="15" t="str">
        <f>=IFERROR(G246/H246,"")</f>
        <v/>
      </c>
      <c r="J246" s="16" t="str">
        <f>=IF(F246="","",F246/3600)</f>
        <v/>
      </c>
      <c r="K246" s="11" t="str">
        <f>=IF(L246="","",IF(ISNUMBER(FIND("|",L246)),TRIM(LEFT(L246,FIND("|",L246)-1)),IF(ISNUMBER(MATCH(L246,Config!$F$1:$F$853,0)),L246,IFERROR(INDEX(Config!$F$1:$F$853,MATCH(L246,Config!$G$1:$G$853,0)),""))))</f>
        <v/>
      </c>
      <c r="L246" s="17" t="str">
        <f>=IFERROR(INDEX($L$17:L245,MATCH(C246,$C$17:C245,0)),"")</f>
        <v/>
      </c>
    </row>
    <row r="247" ht="18" customHeight="1" spans="1:12" x14ac:dyDescent="0.25">
      <c r="A247" s="10" t="s">
        <v>2</v>
      </c>
      <c r="B247" s="10" t="s">
        <v>2</v>
      </c>
      <c r="C247" s="10" t="s">
        <v>2</v>
      </c>
      <c r="D247" s="11" t="str">
        <f>=IF(E247="","",IF(ISNUMBER(FIND("|",E247)),TRIM(LEFT(E247,FIND("|",E247)-1)),IF(ISNUMBER(MATCH(E247,Config!$C$1:$C$311,0)),E247,IFERROR(INDEX(Config!$C$1:$C$311,MATCH(E247,Config!$D$1:$D$311,0)),""))))</f>
        <v/>
      </c>
      <c r="E247" s="12" t="s">
        <v>2</v>
      </c>
      <c r="F247" s="13" t="s">
        <v>2</v>
      </c>
      <c r="G247" s="14" t="str">
        <f>=IF(C247="","",SUMIF($C$17:$C$502,C247,$F$17:$F$502))</f>
        <v/>
      </c>
      <c r="H247" s="14" t="str">
        <f>=IFERROR($B$14/$B$10,"")</f>
        <v/>
      </c>
      <c r="I247" s="15" t="str">
        <f>=IFERROR(G247/H247,"")</f>
        <v/>
      </c>
      <c r="J247" s="16" t="str">
        <f>=IF(F247="","",F247/3600)</f>
        <v/>
      </c>
      <c r="K247" s="11" t="str">
        <f>=IF(L247="","",IF(ISNUMBER(FIND("|",L247)),TRIM(LEFT(L247,FIND("|",L247)-1)),IF(ISNUMBER(MATCH(L247,Config!$F$1:$F$853,0)),L247,IFERROR(INDEX(Config!$F$1:$F$853,MATCH(L247,Config!$G$1:$G$853,0)),""))))</f>
        <v/>
      </c>
      <c r="L247" s="17" t="str">
        <f>=IFERROR(INDEX($L$17:L246,MATCH(C247,$C$17:C246,0)),"")</f>
        <v/>
      </c>
    </row>
    <row r="248" ht="18" customHeight="1" spans="1:12" x14ac:dyDescent="0.25">
      <c r="A248" s="10" t="s">
        <v>2</v>
      </c>
      <c r="B248" s="10" t="s">
        <v>2</v>
      </c>
      <c r="C248" s="10" t="s">
        <v>2</v>
      </c>
      <c r="D248" s="11" t="str">
        <f>=IF(E248="","",IF(ISNUMBER(FIND("|",E248)),TRIM(LEFT(E248,FIND("|",E248)-1)),IF(ISNUMBER(MATCH(E248,Config!$C$1:$C$311,0)),E248,IFERROR(INDEX(Config!$C$1:$C$311,MATCH(E248,Config!$D$1:$D$311,0)),""))))</f>
        <v/>
      </c>
      <c r="E248" s="12" t="s">
        <v>2</v>
      </c>
      <c r="F248" s="13" t="s">
        <v>2</v>
      </c>
      <c r="G248" s="14" t="str">
        <f>=IF(C248="","",SUMIF($C$17:$C$502,C248,$F$17:$F$502))</f>
        <v/>
      </c>
      <c r="H248" s="14" t="str">
        <f>=IFERROR($B$14/$B$10,"")</f>
        <v/>
      </c>
      <c r="I248" s="15" t="str">
        <f>=IFERROR(G248/H248,"")</f>
        <v/>
      </c>
      <c r="J248" s="16" t="str">
        <f>=IF(F248="","",F248/3600)</f>
        <v/>
      </c>
      <c r="K248" s="11" t="str">
        <f>=IF(L248="","",IF(ISNUMBER(FIND("|",L248)),TRIM(LEFT(L248,FIND("|",L248)-1)),IF(ISNUMBER(MATCH(L248,Config!$F$1:$F$853,0)),L248,IFERROR(INDEX(Config!$F$1:$F$853,MATCH(L248,Config!$G$1:$G$853,0)),""))))</f>
        <v/>
      </c>
      <c r="L248" s="17" t="str">
        <f>=IFERROR(INDEX($L$17:L247,MATCH(C248,$C$17:C247,0)),"")</f>
        <v/>
      </c>
    </row>
    <row r="249" ht="18" customHeight="1" spans="1:12" x14ac:dyDescent="0.25">
      <c r="A249" s="10" t="s">
        <v>2</v>
      </c>
      <c r="B249" s="10" t="s">
        <v>2</v>
      </c>
      <c r="C249" s="10" t="s">
        <v>2</v>
      </c>
      <c r="D249" s="11" t="str">
        <f>=IF(E249="","",IF(ISNUMBER(FIND("|",E249)),TRIM(LEFT(E249,FIND("|",E249)-1)),IF(ISNUMBER(MATCH(E249,Config!$C$1:$C$311,0)),E249,IFERROR(INDEX(Config!$C$1:$C$311,MATCH(E249,Config!$D$1:$D$311,0)),""))))</f>
        <v/>
      </c>
      <c r="E249" s="12" t="s">
        <v>2</v>
      </c>
      <c r="F249" s="13" t="s">
        <v>2</v>
      </c>
      <c r="G249" s="14" t="str">
        <f>=IF(C249="","",SUMIF($C$17:$C$502,C249,$F$17:$F$502))</f>
        <v/>
      </c>
      <c r="H249" s="14" t="str">
        <f>=IFERROR($B$14/$B$10,"")</f>
        <v/>
      </c>
      <c r="I249" s="15" t="str">
        <f>=IFERROR(G249/H249,"")</f>
        <v/>
      </c>
      <c r="J249" s="16" t="str">
        <f>=IF(F249="","",F249/3600)</f>
        <v/>
      </c>
      <c r="K249" s="11" t="str">
        <f>=IF(L249="","",IF(ISNUMBER(FIND("|",L249)),TRIM(LEFT(L249,FIND("|",L249)-1)),IF(ISNUMBER(MATCH(L249,Config!$F$1:$F$853,0)),L249,IFERROR(INDEX(Config!$F$1:$F$853,MATCH(L249,Config!$G$1:$G$853,0)),""))))</f>
        <v/>
      </c>
      <c r="L249" s="17" t="str">
        <f>=IFERROR(INDEX($L$17:L248,MATCH(C249,$C$17:C248,0)),"")</f>
        <v/>
      </c>
    </row>
    <row r="250" ht="18" customHeight="1" spans="1:12" x14ac:dyDescent="0.25">
      <c r="A250" s="10" t="s">
        <v>2</v>
      </c>
      <c r="B250" s="10" t="s">
        <v>2</v>
      </c>
      <c r="C250" s="10" t="s">
        <v>2</v>
      </c>
      <c r="D250" s="11" t="str">
        <f>=IF(E250="","",IF(ISNUMBER(FIND("|",E250)),TRIM(LEFT(E250,FIND("|",E250)-1)),IF(ISNUMBER(MATCH(E250,Config!$C$1:$C$311,0)),E250,IFERROR(INDEX(Config!$C$1:$C$311,MATCH(E250,Config!$D$1:$D$311,0)),""))))</f>
        <v/>
      </c>
      <c r="E250" s="12" t="s">
        <v>2</v>
      </c>
      <c r="F250" s="13" t="s">
        <v>2</v>
      </c>
      <c r="G250" s="14" t="str">
        <f>=IF(C250="","",SUMIF($C$17:$C$502,C250,$F$17:$F$502))</f>
        <v/>
      </c>
      <c r="H250" s="14" t="str">
        <f>=IFERROR($B$14/$B$10,"")</f>
        <v/>
      </c>
      <c r="I250" s="15" t="str">
        <f>=IFERROR(G250/H250,"")</f>
        <v/>
      </c>
      <c r="J250" s="16" t="str">
        <f>=IF(F250="","",F250/3600)</f>
        <v/>
      </c>
      <c r="K250" s="11" t="str">
        <f>=IF(L250="","",IF(ISNUMBER(FIND("|",L250)),TRIM(LEFT(L250,FIND("|",L250)-1)),IF(ISNUMBER(MATCH(L250,Config!$F$1:$F$853,0)),L250,IFERROR(INDEX(Config!$F$1:$F$853,MATCH(L250,Config!$G$1:$G$853,0)),""))))</f>
        <v/>
      </c>
      <c r="L250" s="17" t="str">
        <f>=IFERROR(INDEX($L$17:L249,MATCH(C250,$C$17:C249,0)),"")</f>
        <v/>
      </c>
    </row>
    <row r="251" ht="18" customHeight="1" spans="1:12" x14ac:dyDescent="0.25">
      <c r="A251" s="10" t="s">
        <v>2</v>
      </c>
      <c r="B251" s="10" t="s">
        <v>2</v>
      </c>
      <c r="C251" s="10" t="s">
        <v>2</v>
      </c>
      <c r="D251" s="11" t="str">
        <f>=IF(E251="","",IF(ISNUMBER(FIND("|",E251)),TRIM(LEFT(E251,FIND("|",E251)-1)),IF(ISNUMBER(MATCH(E251,Config!$C$1:$C$311,0)),E251,IFERROR(INDEX(Config!$C$1:$C$311,MATCH(E251,Config!$D$1:$D$311,0)),""))))</f>
        <v/>
      </c>
      <c r="E251" s="12" t="s">
        <v>2</v>
      </c>
      <c r="F251" s="13" t="s">
        <v>2</v>
      </c>
      <c r="G251" s="14" t="str">
        <f>=IF(C251="","",SUMIF($C$17:$C$502,C251,$F$17:$F$502))</f>
        <v/>
      </c>
      <c r="H251" s="14" t="str">
        <f>=IFERROR($B$14/$B$10,"")</f>
        <v/>
      </c>
      <c r="I251" s="15" t="str">
        <f>=IFERROR(G251/H251,"")</f>
        <v/>
      </c>
      <c r="J251" s="16" t="str">
        <f>=IF(F251="","",F251/3600)</f>
        <v/>
      </c>
      <c r="K251" s="11" t="str">
        <f>=IF(L251="","",IF(ISNUMBER(FIND("|",L251)),TRIM(LEFT(L251,FIND("|",L251)-1)),IF(ISNUMBER(MATCH(L251,Config!$F$1:$F$853,0)),L251,IFERROR(INDEX(Config!$F$1:$F$853,MATCH(L251,Config!$G$1:$G$853,0)),""))))</f>
        <v/>
      </c>
      <c r="L251" s="17" t="str">
        <f>=IFERROR(INDEX($L$17:L250,MATCH(C251,$C$17:C250,0)),"")</f>
        <v/>
      </c>
    </row>
    <row r="252" ht="18" customHeight="1" spans="1:12" x14ac:dyDescent="0.25">
      <c r="A252" s="10" t="s">
        <v>2</v>
      </c>
      <c r="B252" s="10" t="s">
        <v>2</v>
      </c>
      <c r="C252" s="10" t="s">
        <v>2</v>
      </c>
      <c r="D252" s="11" t="str">
        <f>=IF(E252="","",IF(ISNUMBER(FIND("|",E252)),TRIM(LEFT(E252,FIND("|",E252)-1)),IF(ISNUMBER(MATCH(E252,Config!$C$1:$C$311,0)),E252,IFERROR(INDEX(Config!$C$1:$C$311,MATCH(E252,Config!$D$1:$D$311,0)),""))))</f>
        <v/>
      </c>
      <c r="E252" s="12" t="s">
        <v>2</v>
      </c>
      <c r="F252" s="13" t="s">
        <v>2</v>
      </c>
      <c r="G252" s="14" t="str">
        <f>=IF(C252="","",SUMIF($C$17:$C$502,C252,$F$17:$F$502))</f>
        <v/>
      </c>
      <c r="H252" s="14" t="str">
        <f>=IFERROR($B$14/$B$10,"")</f>
        <v/>
      </c>
      <c r="I252" s="15" t="str">
        <f>=IFERROR(G252/H252,"")</f>
        <v/>
      </c>
      <c r="J252" s="16" t="str">
        <f>=IF(F252="","",F252/3600)</f>
        <v/>
      </c>
      <c r="K252" s="11" t="str">
        <f>=IF(L252="","",IF(ISNUMBER(FIND("|",L252)),TRIM(LEFT(L252,FIND("|",L252)-1)),IF(ISNUMBER(MATCH(L252,Config!$F$1:$F$853,0)),L252,IFERROR(INDEX(Config!$F$1:$F$853,MATCH(L252,Config!$G$1:$G$853,0)),""))))</f>
        <v/>
      </c>
      <c r="L252" s="17" t="str">
        <f>=IFERROR(INDEX($L$17:L251,MATCH(C252,$C$17:C251,0)),"")</f>
        <v/>
      </c>
    </row>
    <row r="253" ht="18" customHeight="1" spans="1:12" x14ac:dyDescent="0.25">
      <c r="A253" s="10" t="s">
        <v>2</v>
      </c>
      <c r="B253" s="10" t="s">
        <v>2</v>
      </c>
      <c r="C253" s="10" t="s">
        <v>2</v>
      </c>
      <c r="D253" s="11" t="str">
        <f>=IF(E253="","",IF(ISNUMBER(FIND("|",E253)),TRIM(LEFT(E253,FIND("|",E253)-1)),IF(ISNUMBER(MATCH(E253,Config!$C$1:$C$311,0)),E253,IFERROR(INDEX(Config!$C$1:$C$311,MATCH(E253,Config!$D$1:$D$311,0)),""))))</f>
        <v/>
      </c>
      <c r="E253" s="12" t="s">
        <v>2</v>
      </c>
      <c r="F253" s="13" t="s">
        <v>2</v>
      </c>
      <c r="G253" s="14" t="str">
        <f>=IF(C253="","",SUMIF($C$17:$C$502,C253,$F$17:$F$502))</f>
        <v/>
      </c>
      <c r="H253" s="14" t="str">
        <f>=IFERROR($B$14/$B$10,"")</f>
        <v/>
      </c>
      <c r="I253" s="15" t="str">
        <f>=IFERROR(G253/H253,"")</f>
        <v/>
      </c>
      <c r="J253" s="16" t="str">
        <f>=IF(F253="","",F253/3600)</f>
        <v/>
      </c>
      <c r="K253" s="11" t="str">
        <f>=IF(L253="","",IF(ISNUMBER(FIND("|",L253)),TRIM(LEFT(L253,FIND("|",L253)-1)),IF(ISNUMBER(MATCH(L253,Config!$F$1:$F$853,0)),L253,IFERROR(INDEX(Config!$F$1:$F$853,MATCH(L253,Config!$G$1:$G$853,0)),""))))</f>
        <v/>
      </c>
      <c r="L253" s="17" t="str">
        <f>=IFERROR(INDEX($L$17:L252,MATCH(C253,$C$17:C252,0)),"")</f>
        <v/>
      </c>
    </row>
    <row r="254" ht="18" customHeight="1" spans="1:12" x14ac:dyDescent="0.25">
      <c r="A254" s="10" t="s">
        <v>2</v>
      </c>
      <c r="B254" s="10" t="s">
        <v>2</v>
      </c>
      <c r="C254" s="10" t="s">
        <v>2</v>
      </c>
      <c r="D254" s="11" t="str">
        <f>=IF(E254="","",IF(ISNUMBER(FIND("|",E254)),TRIM(LEFT(E254,FIND("|",E254)-1)),IF(ISNUMBER(MATCH(E254,Config!$C$1:$C$311,0)),E254,IFERROR(INDEX(Config!$C$1:$C$311,MATCH(E254,Config!$D$1:$D$311,0)),""))))</f>
        <v/>
      </c>
      <c r="E254" s="12" t="s">
        <v>2</v>
      </c>
      <c r="F254" s="13" t="s">
        <v>2</v>
      </c>
      <c r="G254" s="14" t="str">
        <f>=IF(C254="","",SUMIF($C$17:$C$502,C254,$F$17:$F$502))</f>
        <v/>
      </c>
      <c r="H254" s="14" t="str">
        <f>=IFERROR($B$14/$B$10,"")</f>
        <v/>
      </c>
      <c r="I254" s="15" t="str">
        <f>=IFERROR(G254/H254,"")</f>
        <v/>
      </c>
      <c r="J254" s="16" t="str">
        <f>=IF(F254="","",F254/3600)</f>
        <v/>
      </c>
      <c r="K254" s="11" t="str">
        <f>=IF(L254="","",IF(ISNUMBER(FIND("|",L254)),TRIM(LEFT(L254,FIND("|",L254)-1)),IF(ISNUMBER(MATCH(L254,Config!$F$1:$F$853,0)),L254,IFERROR(INDEX(Config!$F$1:$F$853,MATCH(L254,Config!$G$1:$G$853,0)),""))))</f>
        <v/>
      </c>
      <c r="L254" s="17" t="str">
        <f>=IFERROR(INDEX($L$17:L253,MATCH(C254,$C$17:C253,0)),"")</f>
        <v/>
      </c>
    </row>
    <row r="255" ht="18" customHeight="1" spans="1:12" x14ac:dyDescent="0.25">
      <c r="A255" s="10" t="s">
        <v>2</v>
      </c>
      <c r="B255" s="10" t="s">
        <v>2</v>
      </c>
      <c r="C255" s="10" t="s">
        <v>2</v>
      </c>
      <c r="D255" s="11" t="str">
        <f>=IF(E255="","",IF(ISNUMBER(FIND("|",E255)),TRIM(LEFT(E255,FIND("|",E255)-1)),IF(ISNUMBER(MATCH(E255,Config!$C$1:$C$311,0)),E255,IFERROR(INDEX(Config!$C$1:$C$311,MATCH(E255,Config!$D$1:$D$311,0)),""))))</f>
        <v/>
      </c>
      <c r="E255" s="12" t="s">
        <v>2</v>
      </c>
      <c r="F255" s="13" t="s">
        <v>2</v>
      </c>
      <c r="G255" s="14" t="str">
        <f>=IF(C255="","",SUMIF($C$17:$C$502,C255,$F$17:$F$502))</f>
        <v/>
      </c>
      <c r="H255" s="14" t="str">
        <f>=IFERROR($B$14/$B$10,"")</f>
        <v/>
      </c>
      <c r="I255" s="15" t="str">
        <f>=IFERROR(G255/H255,"")</f>
        <v/>
      </c>
      <c r="J255" s="16" t="str">
        <f>=IF(F255="","",F255/3600)</f>
        <v/>
      </c>
      <c r="K255" s="11" t="str">
        <f>=IF(L255="","",IF(ISNUMBER(FIND("|",L255)),TRIM(LEFT(L255,FIND("|",L255)-1)),IF(ISNUMBER(MATCH(L255,Config!$F$1:$F$853,0)),L255,IFERROR(INDEX(Config!$F$1:$F$853,MATCH(L255,Config!$G$1:$G$853,0)),""))))</f>
        <v/>
      </c>
      <c r="L255" s="17" t="str">
        <f>=IFERROR(INDEX($L$17:L254,MATCH(C255,$C$17:C254,0)),"")</f>
        <v/>
      </c>
    </row>
    <row r="256" ht="18" customHeight="1" spans="1:12" x14ac:dyDescent="0.25">
      <c r="A256" s="10" t="s">
        <v>2</v>
      </c>
      <c r="B256" s="10" t="s">
        <v>2</v>
      </c>
      <c r="C256" s="10" t="s">
        <v>2</v>
      </c>
      <c r="D256" s="11" t="str">
        <f>=IF(E256="","",IF(ISNUMBER(FIND("|",E256)),TRIM(LEFT(E256,FIND("|",E256)-1)),IF(ISNUMBER(MATCH(E256,Config!$C$1:$C$311,0)),E256,IFERROR(INDEX(Config!$C$1:$C$311,MATCH(E256,Config!$D$1:$D$311,0)),""))))</f>
        <v/>
      </c>
      <c r="E256" s="12" t="s">
        <v>2</v>
      </c>
      <c r="F256" s="13" t="s">
        <v>2</v>
      </c>
      <c r="G256" s="14" t="str">
        <f>=IF(C256="","",SUMIF($C$17:$C$502,C256,$F$17:$F$502))</f>
        <v/>
      </c>
      <c r="H256" s="14" t="str">
        <f>=IFERROR($B$14/$B$10,"")</f>
        <v/>
      </c>
      <c r="I256" s="15" t="str">
        <f>=IFERROR(G256/H256,"")</f>
        <v/>
      </c>
      <c r="J256" s="16" t="str">
        <f>=IF(F256="","",F256/3600)</f>
        <v/>
      </c>
      <c r="K256" s="11" t="str">
        <f>=IF(L256="","",IF(ISNUMBER(FIND("|",L256)),TRIM(LEFT(L256,FIND("|",L256)-1)),IF(ISNUMBER(MATCH(L256,Config!$F$1:$F$853,0)),L256,IFERROR(INDEX(Config!$F$1:$F$853,MATCH(L256,Config!$G$1:$G$853,0)),""))))</f>
        <v/>
      </c>
      <c r="L256" s="17" t="str">
        <f>=IFERROR(INDEX($L$17:L255,MATCH(C256,$C$17:C255,0)),"")</f>
        <v/>
      </c>
    </row>
    <row r="257" ht="18" customHeight="1" spans="1:12" x14ac:dyDescent="0.25">
      <c r="A257" s="10" t="s">
        <v>2</v>
      </c>
      <c r="B257" s="10" t="s">
        <v>2</v>
      </c>
      <c r="C257" s="10" t="s">
        <v>2</v>
      </c>
      <c r="D257" s="11" t="str">
        <f>=IF(E257="","",IF(ISNUMBER(FIND("|",E257)),TRIM(LEFT(E257,FIND("|",E257)-1)),IF(ISNUMBER(MATCH(E257,Config!$C$1:$C$311,0)),E257,IFERROR(INDEX(Config!$C$1:$C$311,MATCH(E257,Config!$D$1:$D$311,0)),""))))</f>
        <v/>
      </c>
      <c r="E257" s="12" t="s">
        <v>2</v>
      </c>
      <c r="F257" s="13" t="s">
        <v>2</v>
      </c>
      <c r="G257" s="14" t="str">
        <f>=IF(C257="","",SUMIF($C$17:$C$502,C257,$F$17:$F$502))</f>
        <v/>
      </c>
      <c r="H257" s="14" t="str">
        <f>=IFERROR($B$14/$B$10,"")</f>
        <v/>
      </c>
      <c r="I257" s="15" t="str">
        <f>=IFERROR(G257/H257,"")</f>
        <v/>
      </c>
      <c r="J257" s="16" t="str">
        <f>=IF(F257="","",F257/3600)</f>
        <v/>
      </c>
      <c r="K257" s="11" t="str">
        <f>=IF(L257="","",IF(ISNUMBER(FIND("|",L257)),TRIM(LEFT(L257,FIND("|",L257)-1)),IF(ISNUMBER(MATCH(L257,Config!$F$1:$F$853,0)),L257,IFERROR(INDEX(Config!$F$1:$F$853,MATCH(L257,Config!$G$1:$G$853,0)),""))))</f>
        <v/>
      </c>
      <c r="L257" s="17" t="str">
        <f>=IFERROR(INDEX($L$17:L256,MATCH(C257,$C$17:C256,0)),"")</f>
        <v/>
      </c>
    </row>
    <row r="258" ht="18" customHeight="1" spans="1:12" x14ac:dyDescent="0.25">
      <c r="A258" s="10" t="s">
        <v>2</v>
      </c>
      <c r="B258" s="10" t="s">
        <v>2</v>
      </c>
      <c r="C258" s="10" t="s">
        <v>2</v>
      </c>
      <c r="D258" s="11" t="str">
        <f>=IF(E258="","",IF(ISNUMBER(FIND("|",E258)),TRIM(LEFT(E258,FIND("|",E258)-1)),IF(ISNUMBER(MATCH(E258,Config!$C$1:$C$311,0)),E258,IFERROR(INDEX(Config!$C$1:$C$311,MATCH(E258,Config!$D$1:$D$311,0)),""))))</f>
        <v/>
      </c>
      <c r="E258" s="12" t="s">
        <v>2</v>
      </c>
      <c r="F258" s="13" t="s">
        <v>2</v>
      </c>
      <c r="G258" s="14" t="str">
        <f>=IF(C258="","",SUMIF($C$17:$C$502,C258,$F$17:$F$502))</f>
        <v/>
      </c>
      <c r="H258" s="14" t="str">
        <f>=IFERROR($B$14/$B$10,"")</f>
        <v/>
      </c>
      <c r="I258" s="15" t="str">
        <f>=IFERROR(G258/H258,"")</f>
        <v/>
      </c>
      <c r="J258" s="16" t="str">
        <f>=IF(F258="","",F258/3600)</f>
        <v/>
      </c>
      <c r="K258" s="11" t="str">
        <f>=IF(L258="","",IF(ISNUMBER(FIND("|",L258)),TRIM(LEFT(L258,FIND("|",L258)-1)),IF(ISNUMBER(MATCH(L258,Config!$F$1:$F$853,0)),L258,IFERROR(INDEX(Config!$F$1:$F$853,MATCH(L258,Config!$G$1:$G$853,0)),""))))</f>
        <v/>
      </c>
      <c r="L258" s="17" t="str">
        <f>=IFERROR(INDEX($L$17:L257,MATCH(C258,$C$17:C257,0)),"")</f>
        <v/>
      </c>
    </row>
    <row r="259" ht="18" customHeight="1" spans="1:12" x14ac:dyDescent="0.25">
      <c r="A259" s="10" t="s">
        <v>2</v>
      </c>
      <c r="B259" s="10" t="s">
        <v>2</v>
      </c>
      <c r="C259" s="10" t="s">
        <v>2</v>
      </c>
      <c r="D259" s="11" t="str">
        <f>=IF(E259="","",IF(ISNUMBER(FIND("|",E259)),TRIM(LEFT(E259,FIND("|",E259)-1)),IF(ISNUMBER(MATCH(E259,Config!$C$1:$C$311,0)),E259,IFERROR(INDEX(Config!$C$1:$C$311,MATCH(E259,Config!$D$1:$D$311,0)),""))))</f>
        <v/>
      </c>
      <c r="E259" s="12" t="s">
        <v>2</v>
      </c>
      <c r="F259" s="13" t="s">
        <v>2</v>
      </c>
      <c r="G259" s="14" t="str">
        <f>=IF(C259="","",SUMIF($C$17:$C$502,C259,$F$17:$F$502))</f>
        <v/>
      </c>
      <c r="H259" s="14" t="str">
        <f>=IFERROR($B$14/$B$10,"")</f>
        <v/>
      </c>
      <c r="I259" s="15" t="str">
        <f>=IFERROR(G259/H259,"")</f>
        <v/>
      </c>
      <c r="J259" s="16" t="str">
        <f>=IF(F259="","",F259/3600)</f>
        <v/>
      </c>
      <c r="K259" s="11" t="str">
        <f>=IF(L259="","",IF(ISNUMBER(FIND("|",L259)),TRIM(LEFT(L259,FIND("|",L259)-1)),IF(ISNUMBER(MATCH(L259,Config!$F$1:$F$853,0)),L259,IFERROR(INDEX(Config!$F$1:$F$853,MATCH(L259,Config!$G$1:$G$853,0)),""))))</f>
        <v/>
      </c>
      <c r="L259" s="17" t="str">
        <f>=IFERROR(INDEX($L$17:L258,MATCH(C259,$C$17:C258,0)),"")</f>
        <v/>
      </c>
    </row>
    <row r="260" ht="18" customHeight="1" spans="1:12" x14ac:dyDescent="0.25">
      <c r="A260" s="10" t="s">
        <v>2</v>
      </c>
      <c r="B260" s="10" t="s">
        <v>2</v>
      </c>
      <c r="C260" s="10" t="s">
        <v>2</v>
      </c>
      <c r="D260" s="11" t="str">
        <f>=IF(E260="","",IF(ISNUMBER(FIND("|",E260)),TRIM(LEFT(E260,FIND("|",E260)-1)),IF(ISNUMBER(MATCH(E260,Config!$C$1:$C$311,0)),E260,IFERROR(INDEX(Config!$C$1:$C$311,MATCH(E260,Config!$D$1:$D$311,0)),""))))</f>
        <v/>
      </c>
      <c r="E260" s="12" t="s">
        <v>2</v>
      </c>
      <c r="F260" s="13" t="s">
        <v>2</v>
      </c>
      <c r="G260" s="14" t="str">
        <f>=IF(C260="","",SUMIF($C$17:$C$502,C260,$F$17:$F$502))</f>
        <v/>
      </c>
      <c r="H260" s="14" t="str">
        <f>=IFERROR($B$14/$B$10,"")</f>
        <v/>
      </c>
      <c r="I260" s="15" t="str">
        <f>=IFERROR(G260/H260,"")</f>
        <v/>
      </c>
      <c r="J260" s="16" t="str">
        <f>=IF(F260="","",F260/3600)</f>
        <v/>
      </c>
      <c r="K260" s="11" t="str">
        <f>=IF(L260="","",IF(ISNUMBER(FIND("|",L260)),TRIM(LEFT(L260,FIND("|",L260)-1)),IF(ISNUMBER(MATCH(L260,Config!$F$1:$F$853,0)),L260,IFERROR(INDEX(Config!$F$1:$F$853,MATCH(L260,Config!$G$1:$G$853,0)),""))))</f>
        <v/>
      </c>
      <c r="L260" s="17" t="str">
        <f>=IFERROR(INDEX($L$17:L259,MATCH(C260,$C$17:C259,0)),"")</f>
        <v/>
      </c>
    </row>
    <row r="261" ht="18" customHeight="1" spans="1:12" x14ac:dyDescent="0.25">
      <c r="A261" s="10" t="s">
        <v>2</v>
      </c>
      <c r="B261" s="10" t="s">
        <v>2</v>
      </c>
      <c r="C261" s="10" t="s">
        <v>2</v>
      </c>
      <c r="D261" s="11" t="str">
        <f>=IF(E261="","",IF(ISNUMBER(FIND("|",E261)),TRIM(LEFT(E261,FIND("|",E261)-1)),IF(ISNUMBER(MATCH(E261,Config!$C$1:$C$311,0)),E261,IFERROR(INDEX(Config!$C$1:$C$311,MATCH(E261,Config!$D$1:$D$311,0)),""))))</f>
        <v/>
      </c>
      <c r="E261" s="12" t="s">
        <v>2</v>
      </c>
      <c r="F261" s="13" t="s">
        <v>2</v>
      </c>
      <c r="G261" s="14" t="str">
        <f>=IF(C261="","",SUMIF($C$17:$C$502,C261,$F$17:$F$502))</f>
        <v/>
      </c>
      <c r="H261" s="14" t="str">
        <f>=IFERROR($B$14/$B$10,"")</f>
        <v/>
      </c>
      <c r="I261" s="15" t="str">
        <f>=IFERROR(G261/H261,"")</f>
        <v/>
      </c>
      <c r="J261" s="16" t="str">
        <f>=IF(F261="","",F261/3600)</f>
        <v/>
      </c>
      <c r="K261" s="11" t="str">
        <f>=IF(L261="","",IF(ISNUMBER(FIND("|",L261)),TRIM(LEFT(L261,FIND("|",L261)-1)),IF(ISNUMBER(MATCH(L261,Config!$F$1:$F$853,0)),L261,IFERROR(INDEX(Config!$F$1:$F$853,MATCH(L261,Config!$G$1:$G$853,0)),""))))</f>
        <v/>
      </c>
      <c r="L261" s="17" t="str">
        <f>=IFERROR(INDEX($L$17:L260,MATCH(C261,$C$17:C260,0)),"")</f>
        <v/>
      </c>
    </row>
    <row r="262" ht="18" customHeight="1" spans="1:12" x14ac:dyDescent="0.25">
      <c r="A262" s="10" t="s">
        <v>2</v>
      </c>
      <c r="B262" s="10" t="s">
        <v>2</v>
      </c>
      <c r="C262" s="10" t="s">
        <v>2</v>
      </c>
      <c r="D262" s="11" t="str">
        <f>=IF(E262="","",IF(ISNUMBER(FIND("|",E262)),TRIM(LEFT(E262,FIND("|",E262)-1)),IF(ISNUMBER(MATCH(E262,Config!$C$1:$C$311,0)),E262,IFERROR(INDEX(Config!$C$1:$C$311,MATCH(E262,Config!$D$1:$D$311,0)),""))))</f>
        <v/>
      </c>
      <c r="E262" s="12" t="s">
        <v>2</v>
      </c>
      <c r="F262" s="13" t="s">
        <v>2</v>
      </c>
      <c r="G262" s="14" t="str">
        <f>=IF(C262="","",SUMIF($C$17:$C$502,C262,$F$17:$F$502))</f>
        <v/>
      </c>
      <c r="H262" s="14" t="str">
        <f>=IFERROR($B$14/$B$10,"")</f>
        <v/>
      </c>
      <c r="I262" s="15" t="str">
        <f>=IFERROR(G262/H262,"")</f>
        <v/>
      </c>
      <c r="J262" s="16" t="str">
        <f>=IF(F262="","",F262/3600)</f>
        <v/>
      </c>
      <c r="K262" s="11" t="str">
        <f>=IF(L262="","",IF(ISNUMBER(FIND("|",L262)),TRIM(LEFT(L262,FIND("|",L262)-1)),IF(ISNUMBER(MATCH(L262,Config!$F$1:$F$853,0)),L262,IFERROR(INDEX(Config!$F$1:$F$853,MATCH(L262,Config!$G$1:$G$853,0)),""))))</f>
        <v/>
      </c>
      <c r="L262" s="17" t="str">
        <f>=IFERROR(INDEX($L$17:L261,MATCH(C262,$C$17:C261,0)),"")</f>
        <v/>
      </c>
    </row>
    <row r="263" ht="18" customHeight="1" spans="1:12" x14ac:dyDescent="0.25">
      <c r="A263" s="10" t="s">
        <v>2</v>
      </c>
      <c r="B263" s="10" t="s">
        <v>2</v>
      </c>
      <c r="C263" s="10" t="s">
        <v>2</v>
      </c>
      <c r="D263" s="11" t="str">
        <f>=IF(E263="","",IF(ISNUMBER(FIND("|",E263)),TRIM(LEFT(E263,FIND("|",E263)-1)),IF(ISNUMBER(MATCH(E263,Config!$C$1:$C$311,0)),E263,IFERROR(INDEX(Config!$C$1:$C$311,MATCH(E263,Config!$D$1:$D$311,0)),""))))</f>
        <v/>
      </c>
      <c r="E263" s="12" t="s">
        <v>2</v>
      </c>
      <c r="F263" s="13" t="s">
        <v>2</v>
      </c>
      <c r="G263" s="14" t="str">
        <f>=IF(C263="","",SUMIF($C$17:$C$502,C263,$F$17:$F$502))</f>
        <v/>
      </c>
      <c r="H263" s="14" t="str">
        <f>=IFERROR($B$14/$B$10,"")</f>
        <v/>
      </c>
      <c r="I263" s="15" t="str">
        <f>=IFERROR(G263/H263,"")</f>
        <v/>
      </c>
      <c r="J263" s="16" t="str">
        <f>=IF(F263="","",F263/3600)</f>
        <v/>
      </c>
      <c r="K263" s="11" t="str">
        <f>=IF(L263="","",IF(ISNUMBER(FIND("|",L263)),TRIM(LEFT(L263,FIND("|",L263)-1)),IF(ISNUMBER(MATCH(L263,Config!$F$1:$F$853,0)),L263,IFERROR(INDEX(Config!$F$1:$F$853,MATCH(L263,Config!$G$1:$G$853,0)),""))))</f>
        <v/>
      </c>
      <c r="L263" s="17" t="str">
        <f>=IFERROR(INDEX($L$17:L262,MATCH(C263,$C$17:C262,0)),"")</f>
        <v/>
      </c>
    </row>
    <row r="264" ht="18" customHeight="1" spans="1:12" x14ac:dyDescent="0.25">
      <c r="A264" s="10" t="s">
        <v>2</v>
      </c>
      <c r="B264" s="10" t="s">
        <v>2</v>
      </c>
      <c r="C264" s="10" t="s">
        <v>2</v>
      </c>
      <c r="D264" s="11" t="str">
        <f>=IF(E264="","",IF(ISNUMBER(FIND("|",E264)),TRIM(LEFT(E264,FIND("|",E264)-1)),IF(ISNUMBER(MATCH(E264,Config!$C$1:$C$311,0)),E264,IFERROR(INDEX(Config!$C$1:$C$311,MATCH(E264,Config!$D$1:$D$311,0)),""))))</f>
        <v/>
      </c>
      <c r="E264" s="12" t="s">
        <v>2</v>
      </c>
      <c r="F264" s="13" t="s">
        <v>2</v>
      </c>
      <c r="G264" s="14" t="str">
        <f>=IF(C264="","",SUMIF($C$17:$C$502,C264,$F$17:$F$502))</f>
        <v/>
      </c>
      <c r="H264" s="14" t="str">
        <f>=IFERROR($B$14/$B$10,"")</f>
        <v/>
      </c>
      <c r="I264" s="15" t="str">
        <f>=IFERROR(G264/H264,"")</f>
        <v/>
      </c>
      <c r="J264" s="16" t="str">
        <f>=IF(F264="","",F264/3600)</f>
        <v/>
      </c>
      <c r="K264" s="11" t="str">
        <f>=IF(L264="","",IF(ISNUMBER(FIND("|",L264)),TRIM(LEFT(L264,FIND("|",L264)-1)),IF(ISNUMBER(MATCH(L264,Config!$F$1:$F$853,0)),L264,IFERROR(INDEX(Config!$F$1:$F$853,MATCH(L264,Config!$G$1:$G$853,0)),""))))</f>
        <v/>
      </c>
      <c r="L264" s="17" t="str">
        <f>=IFERROR(INDEX($L$17:L263,MATCH(C264,$C$17:C263,0)),"")</f>
        <v/>
      </c>
    </row>
    <row r="265" ht="18" customHeight="1" spans="1:12" x14ac:dyDescent="0.25">
      <c r="A265" s="10" t="s">
        <v>2</v>
      </c>
      <c r="B265" s="10" t="s">
        <v>2</v>
      </c>
      <c r="C265" s="10" t="s">
        <v>2</v>
      </c>
      <c r="D265" s="11" t="str">
        <f>=IF(E265="","",IF(ISNUMBER(FIND("|",E265)),TRIM(LEFT(E265,FIND("|",E265)-1)),IF(ISNUMBER(MATCH(E265,Config!$C$1:$C$311,0)),E265,IFERROR(INDEX(Config!$C$1:$C$311,MATCH(E265,Config!$D$1:$D$311,0)),""))))</f>
        <v/>
      </c>
      <c r="E265" s="12" t="s">
        <v>2</v>
      </c>
      <c r="F265" s="13" t="s">
        <v>2</v>
      </c>
      <c r="G265" s="14" t="str">
        <f>=IF(C265="","",SUMIF($C$17:$C$502,C265,$F$17:$F$502))</f>
        <v/>
      </c>
      <c r="H265" s="14" t="str">
        <f>=IFERROR($B$14/$B$10,"")</f>
        <v/>
      </c>
      <c r="I265" s="15" t="str">
        <f>=IFERROR(G265/H265,"")</f>
        <v/>
      </c>
      <c r="J265" s="16" t="str">
        <f>=IF(F265="","",F265/3600)</f>
        <v/>
      </c>
      <c r="K265" s="11" t="str">
        <f>=IF(L265="","",IF(ISNUMBER(FIND("|",L265)),TRIM(LEFT(L265,FIND("|",L265)-1)),IF(ISNUMBER(MATCH(L265,Config!$F$1:$F$853,0)),L265,IFERROR(INDEX(Config!$F$1:$F$853,MATCH(L265,Config!$G$1:$G$853,0)),""))))</f>
        <v/>
      </c>
      <c r="L265" s="17" t="str">
        <f>=IFERROR(INDEX($L$17:L264,MATCH(C265,$C$17:C264,0)),"")</f>
        <v/>
      </c>
    </row>
    <row r="266" ht="18" customHeight="1" spans="1:12" x14ac:dyDescent="0.25">
      <c r="A266" s="10" t="s">
        <v>2</v>
      </c>
      <c r="B266" s="10" t="s">
        <v>2</v>
      </c>
      <c r="C266" s="10" t="s">
        <v>2</v>
      </c>
      <c r="D266" s="11" t="str">
        <f>=IF(E266="","",IF(ISNUMBER(FIND("|",E266)),TRIM(LEFT(E266,FIND("|",E266)-1)),IF(ISNUMBER(MATCH(E266,Config!$C$1:$C$311,0)),E266,IFERROR(INDEX(Config!$C$1:$C$311,MATCH(E266,Config!$D$1:$D$311,0)),""))))</f>
        <v/>
      </c>
      <c r="E266" s="12" t="s">
        <v>2</v>
      </c>
      <c r="F266" s="13" t="s">
        <v>2</v>
      </c>
      <c r="G266" s="14" t="str">
        <f>=IF(C266="","",SUMIF($C$17:$C$502,C266,$F$17:$F$502))</f>
        <v/>
      </c>
      <c r="H266" s="14" t="str">
        <f>=IFERROR($B$14/$B$10,"")</f>
        <v/>
      </c>
      <c r="I266" s="15" t="str">
        <f>=IFERROR(G266/H266,"")</f>
        <v/>
      </c>
      <c r="J266" s="16" t="str">
        <f>=IF(F266="","",F266/3600)</f>
        <v/>
      </c>
      <c r="K266" s="11" t="str">
        <f>=IF(L266="","",IF(ISNUMBER(FIND("|",L266)),TRIM(LEFT(L266,FIND("|",L266)-1)),IF(ISNUMBER(MATCH(L266,Config!$F$1:$F$853,0)),L266,IFERROR(INDEX(Config!$F$1:$F$853,MATCH(L266,Config!$G$1:$G$853,0)),""))))</f>
        <v/>
      </c>
      <c r="L266" s="17" t="str">
        <f>=IFERROR(INDEX($L$17:L265,MATCH(C266,$C$17:C265,0)),"")</f>
        <v/>
      </c>
    </row>
    <row r="267" ht="18" customHeight="1" spans="1:12" x14ac:dyDescent="0.25">
      <c r="A267" s="10" t="s">
        <v>2</v>
      </c>
      <c r="B267" s="10" t="s">
        <v>2</v>
      </c>
      <c r="C267" s="10" t="s">
        <v>2</v>
      </c>
      <c r="D267" s="11" t="str">
        <f>=IF(E267="","",IF(ISNUMBER(FIND("|",E267)),TRIM(LEFT(E267,FIND("|",E267)-1)),IF(ISNUMBER(MATCH(E267,Config!$C$1:$C$311,0)),E267,IFERROR(INDEX(Config!$C$1:$C$311,MATCH(E267,Config!$D$1:$D$311,0)),""))))</f>
        <v/>
      </c>
      <c r="E267" s="12" t="s">
        <v>2</v>
      </c>
      <c r="F267" s="13" t="s">
        <v>2</v>
      </c>
      <c r="G267" s="14" t="str">
        <f>=IF(C267="","",SUMIF($C$17:$C$502,C267,$F$17:$F$502))</f>
        <v/>
      </c>
      <c r="H267" s="14" t="str">
        <f>=IFERROR($B$14/$B$10,"")</f>
        <v/>
      </c>
      <c r="I267" s="15" t="str">
        <f>=IFERROR(G267/H267,"")</f>
        <v/>
      </c>
      <c r="J267" s="16" t="str">
        <f>=IF(F267="","",F267/3600)</f>
        <v/>
      </c>
      <c r="K267" s="11" t="str">
        <f>=IF(L267="","",IF(ISNUMBER(FIND("|",L267)),TRIM(LEFT(L267,FIND("|",L267)-1)),IF(ISNUMBER(MATCH(L267,Config!$F$1:$F$853,0)),L267,IFERROR(INDEX(Config!$F$1:$F$853,MATCH(L267,Config!$G$1:$G$853,0)),""))))</f>
        <v/>
      </c>
      <c r="L267" s="17" t="str">
        <f>=IFERROR(INDEX($L$17:L266,MATCH(C267,$C$17:C266,0)),"")</f>
        <v/>
      </c>
    </row>
    <row r="268" ht="18" customHeight="1" spans="1:12" x14ac:dyDescent="0.25">
      <c r="A268" s="10" t="s">
        <v>2</v>
      </c>
      <c r="B268" s="10" t="s">
        <v>2</v>
      </c>
      <c r="C268" s="10" t="s">
        <v>2</v>
      </c>
      <c r="D268" s="11" t="str">
        <f>=IF(E268="","",IF(ISNUMBER(FIND("|",E268)),TRIM(LEFT(E268,FIND("|",E268)-1)),IF(ISNUMBER(MATCH(E268,Config!$C$1:$C$311,0)),E268,IFERROR(INDEX(Config!$C$1:$C$311,MATCH(E268,Config!$D$1:$D$311,0)),""))))</f>
        <v/>
      </c>
      <c r="E268" s="12" t="s">
        <v>2</v>
      </c>
      <c r="F268" s="13" t="s">
        <v>2</v>
      </c>
      <c r="G268" s="14" t="str">
        <f>=IF(C268="","",SUMIF($C$17:$C$502,C268,$F$17:$F$502))</f>
        <v/>
      </c>
      <c r="H268" s="14" t="str">
        <f>=IFERROR($B$14/$B$10,"")</f>
        <v/>
      </c>
      <c r="I268" s="15" t="str">
        <f>=IFERROR(G268/H268,"")</f>
        <v/>
      </c>
      <c r="J268" s="16" t="str">
        <f>=IF(F268="","",F268/3600)</f>
        <v/>
      </c>
      <c r="K268" s="11" t="str">
        <f>=IF(L268="","",IF(ISNUMBER(FIND("|",L268)),TRIM(LEFT(L268,FIND("|",L268)-1)),IF(ISNUMBER(MATCH(L268,Config!$F$1:$F$853,0)),L268,IFERROR(INDEX(Config!$F$1:$F$853,MATCH(L268,Config!$G$1:$G$853,0)),""))))</f>
        <v/>
      </c>
      <c r="L268" s="17" t="str">
        <f>=IFERROR(INDEX($L$17:L267,MATCH(C268,$C$17:C267,0)),"")</f>
        <v/>
      </c>
    </row>
    <row r="269" ht="18" customHeight="1" spans="1:12" x14ac:dyDescent="0.25">
      <c r="A269" s="10" t="s">
        <v>2</v>
      </c>
      <c r="B269" s="10" t="s">
        <v>2</v>
      </c>
      <c r="C269" s="10" t="s">
        <v>2</v>
      </c>
      <c r="D269" s="11" t="str">
        <f>=IF(E269="","",IF(ISNUMBER(FIND("|",E269)),TRIM(LEFT(E269,FIND("|",E269)-1)),IF(ISNUMBER(MATCH(E269,Config!$C$1:$C$311,0)),E269,IFERROR(INDEX(Config!$C$1:$C$311,MATCH(E269,Config!$D$1:$D$311,0)),""))))</f>
        <v/>
      </c>
      <c r="E269" s="12" t="s">
        <v>2</v>
      </c>
      <c r="F269" s="13" t="s">
        <v>2</v>
      </c>
      <c r="G269" s="14" t="str">
        <f>=IF(C269="","",SUMIF($C$17:$C$502,C269,$F$17:$F$502))</f>
        <v/>
      </c>
      <c r="H269" s="14" t="str">
        <f>=IFERROR($B$14/$B$10,"")</f>
        <v/>
      </c>
      <c r="I269" s="15" t="str">
        <f>=IFERROR(G269/H269,"")</f>
        <v/>
      </c>
      <c r="J269" s="16" t="str">
        <f>=IF(F269="","",F269/3600)</f>
        <v/>
      </c>
      <c r="K269" s="11" t="str">
        <f>=IF(L269="","",IF(ISNUMBER(FIND("|",L269)),TRIM(LEFT(L269,FIND("|",L269)-1)),IF(ISNUMBER(MATCH(L269,Config!$F$1:$F$853,0)),L269,IFERROR(INDEX(Config!$F$1:$F$853,MATCH(L269,Config!$G$1:$G$853,0)),""))))</f>
        <v/>
      </c>
      <c r="L269" s="17" t="str">
        <f>=IFERROR(INDEX($L$17:L268,MATCH(C269,$C$17:C268,0)),"")</f>
        <v/>
      </c>
    </row>
    <row r="270" ht="18" customHeight="1" spans="1:12" x14ac:dyDescent="0.25">
      <c r="A270" s="10" t="s">
        <v>2</v>
      </c>
      <c r="B270" s="10" t="s">
        <v>2</v>
      </c>
      <c r="C270" s="10" t="s">
        <v>2</v>
      </c>
      <c r="D270" s="11" t="str">
        <f>=IF(E270="","",IF(ISNUMBER(FIND("|",E270)),TRIM(LEFT(E270,FIND("|",E270)-1)),IF(ISNUMBER(MATCH(E270,Config!$C$1:$C$311,0)),E270,IFERROR(INDEX(Config!$C$1:$C$311,MATCH(E270,Config!$D$1:$D$311,0)),""))))</f>
        <v/>
      </c>
      <c r="E270" s="12" t="s">
        <v>2</v>
      </c>
      <c r="F270" s="13" t="s">
        <v>2</v>
      </c>
      <c r="G270" s="14" t="str">
        <f>=IF(C270="","",SUMIF($C$17:$C$502,C270,$F$17:$F$502))</f>
        <v/>
      </c>
      <c r="H270" s="14" t="str">
        <f>=IFERROR($B$14/$B$10,"")</f>
        <v/>
      </c>
      <c r="I270" s="15" t="str">
        <f>=IFERROR(G270/H270,"")</f>
        <v/>
      </c>
      <c r="J270" s="16" t="str">
        <f>=IF(F270="","",F270/3600)</f>
        <v/>
      </c>
      <c r="K270" s="11" t="str">
        <f>=IF(L270="","",IF(ISNUMBER(FIND("|",L270)),TRIM(LEFT(L270,FIND("|",L270)-1)),IF(ISNUMBER(MATCH(L270,Config!$F$1:$F$853,0)),L270,IFERROR(INDEX(Config!$F$1:$F$853,MATCH(L270,Config!$G$1:$G$853,0)),""))))</f>
        <v/>
      </c>
      <c r="L270" s="17" t="str">
        <f>=IFERROR(INDEX($L$17:L269,MATCH(C270,$C$17:C269,0)),"")</f>
        <v/>
      </c>
    </row>
    <row r="271" ht="18" customHeight="1" spans="1:12" x14ac:dyDescent="0.25">
      <c r="A271" s="10" t="s">
        <v>2</v>
      </c>
      <c r="B271" s="10" t="s">
        <v>2</v>
      </c>
      <c r="C271" s="10" t="s">
        <v>2</v>
      </c>
      <c r="D271" s="11" t="str">
        <f>=IF(E271="","",IF(ISNUMBER(FIND("|",E271)),TRIM(LEFT(E271,FIND("|",E271)-1)),IF(ISNUMBER(MATCH(E271,Config!$C$1:$C$311,0)),E271,IFERROR(INDEX(Config!$C$1:$C$311,MATCH(E271,Config!$D$1:$D$311,0)),""))))</f>
        <v/>
      </c>
      <c r="E271" s="12" t="s">
        <v>2</v>
      </c>
      <c r="F271" s="13" t="s">
        <v>2</v>
      </c>
      <c r="G271" s="14" t="str">
        <f>=IF(C271="","",SUMIF($C$17:$C$502,C271,$F$17:$F$502))</f>
        <v/>
      </c>
      <c r="H271" s="14" t="str">
        <f>=IFERROR($B$14/$B$10,"")</f>
        <v/>
      </c>
      <c r="I271" s="15" t="str">
        <f>=IFERROR(G271/H271,"")</f>
        <v/>
      </c>
      <c r="J271" s="16" t="str">
        <f>=IF(F271="","",F271/3600)</f>
        <v/>
      </c>
      <c r="K271" s="11" t="str">
        <f>=IF(L271="","",IF(ISNUMBER(FIND("|",L271)),TRIM(LEFT(L271,FIND("|",L271)-1)),IF(ISNUMBER(MATCH(L271,Config!$F$1:$F$853,0)),L271,IFERROR(INDEX(Config!$F$1:$F$853,MATCH(L271,Config!$G$1:$G$853,0)),""))))</f>
        <v/>
      </c>
      <c r="L271" s="17" t="str">
        <f>=IFERROR(INDEX($L$17:L270,MATCH(C271,$C$17:C270,0)),"")</f>
        <v/>
      </c>
    </row>
    <row r="272" ht="18" customHeight="1" spans="1:12" x14ac:dyDescent="0.25">
      <c r="A272" s="10" t="s">
        <v>2</v>
      </c>
      <c r="B272" s="10" t="s">
        <v>2</v>
      </c>
      <c r="C272" s="10" t="s">
        <v>2</v>
      </c>
      <c r="D272" s="11" t="str">
        <f>=IF(E272="","",IF(ISNUMBER(FIND("|",E272)),TRIM(LEFT(E272,FIND("|",E272)-1)),IF(ISNUMBER(MATCH(E272,Config!$C$1:$C$311,0)),E272,IFERROR(INDEX(Config!$C$1:$C$311,MATCH(E272,Config!$D$1:$D$311,0)),""))))</f>
        <v/>
      </c>
      <c r="E272" s="12" t="s">
        <v>2</v>
      </c>
      <c r="F272" s="13" t="s">
        <v>2</v>
      </c>
      <c r="G272" s="14" t="str">
        <f>=IF(C272="","",SUMIF($C$17:$C$502,C272,$F$17:$F$502))</f>
        <v/>
      </c>
      <c r="H272" s="14" t="str">
        <f>=IFERROR($B$14/$B$10,"")</f>
        <v/>
      </c>
      <c r="I272" s="15" t="str">
        <f>=IFERROR(G272/H272,"")</f>
        <v/>
      </c>
      <c r="J272" s="16" t="str">
        <f>=IF(F272="","",F272/3600)</f>
        <v/>
      </c>
      <c r="K272" s="11" t="str">
        <f>=IF(L272="","",IF(ISNUMBER(FIND("|",L272)),TRIM(LEFT(L272,FIND("|",L272)-1)),IF(ISNUMBER(MATCH(L272,Config!$F$1:$F$853,0)),L272,IFERROR(INDEX(Config!$F$1:$F$853,MATCH(L272,Config!$G$1:$G$853,0)),""))))</f>
        <v/>
      </c>
      <c r="L272" s="17" t="str">
        <f>=IFERROR(INDEX($L$17:L271,MATCH(C272,$C$17:C271,0)),"")</f>
        <v/>
      </c>
    </row>
    <row r="273" ht="18" customHeight="1" spans="1:12" x14ac:dyDescent="0.25">
      <c r="A273" s="10" t="s">
        <v>2</v>
      </c>
      <c r="B273" s="10" t="s">
        <v>2</v>
      </c>
      <c r="C273" s="10" t="s">
        <v>2</v>
      </c>
      <c r="D273" s="11" t="str">
        <f>=IF(E273="","",IF(ISNUMBER(FIND("|",E273)),TRIM(LEFT(E273,FIND("|",E273)-1)),IF(ISNUMBER(MATCH(E273,Config!$C$1:$C$311,0)),E273,IFERROR(INDEX(Config!$C$1:$C$311,MATCH(E273,Config!$D$1:$D$311,0)),""))))</f>
        <v/>
      </c>
      <c r="E273" s="12" t="s">
        <v>2</v>
      </c>
      <c r="F273" s="13" t="s">
        <v>2</v>
      </c>
      <c r="G273" s="14" t="str">
        <f>=IF(C273="","",SUMIF($C$17:$C$502,C273,$F$17:$F$502))</f>
        <v/>
      </c>
      <c r="H273" s="14" t="str">
        <f>=IFERROR($B$14/$B$10,"")</f>
        <v/>
      </c>
      <c r="I273" s="15" t="str">
        <f>=IFERROR(G273/H273,"")</f>
        <v/>
      </c>
      <c r="J273" s="16" t="str">
        <f>=IF(F273="","",F273/3600)</f>
        <v/>
      </c>
      <c r="K273" s="11" t="str">
        <f>=IF(L273="","",IF(ISNUMBER(FIND("|",L273)),TRIM(LEFT(L273,FIND("|",L273)-1)),IF(ISNUMBER(MATCH(L273,Config!$F$1:$F$853,0)),L273,IFERROR(INDEX(Config!$F$1:$F$853,MATCH(L273,Config!$G$1:$G$853,0)),""))))</f>
        <v/>
      </c>
      <c r="L273" s="17" t="str">
        <f>=IFERROR(INDEX($L$17:L272,MATCH(C273,$C$17:C272,0)),"")</f>
        <v/>
      </c>
    </row>
    <row r="274" ht="18" customHeight="1" spans="1:12" x14ac:dyDescent="0.25">
      <c r="A274" s="10" t="s">
        <v>2</v>
      </c>
      <c r="B274" s="10" t="s">
        <v>2</v>
      </c>
      <c r="C274" s="10" t="s">
        <v>2</v>
      </c>
      <c r="D274" s="11" t="str">
        <f>=IF(E274="","",IF(ISNUMBER(FIND("|",E274)),TRIM(LEFT(E274,FIND("|",E274)-1)),IF(ISNUMBER(MATCH(E274,Config!$C$1:$C$311,0)),E274,IFERROR(INDEX(Config!$C$1:$C$311,MATCH(E274,Config!$D$1:$D$311,0)),""))))</f>
        <v/>
      </c>
      <c r="E274" s="12" t="s">
        <v>2</v>
      </c>
      <c r="F274" s="13" t="s">
        <v>2</v>
      </c>
      <c r="G274" s="14" t="str">
        <f>=IF(C274="","",SUMIF($C$17:$C$502,C274,$F$17:$F$502))</f>
        <v/>
      </c>
      <c r="H274" s="14" t="str">
        <f>=IFERROR($B$14/$B$10,"")</f>
        <v/>
      </c>
      <c r="I274" s="15" t="str">
        <f>=IFERROR(G274/H274,"")</f>
        <v/>
      </c>
      <c r="J274" s="16" t="str">
        <f>=IF(F274="","",F274/3600)</f>
        <v/>
      </c>
      <c r="K274" s="11" t="str">
        <f>=IF(L274="","",IF(ISNUMBER(FIND("|",L274)),TRIM(LEFT(L274,FIND("|",L274)-1)),IF(ISNUMBER(MATCH(L274,Config!$F$1:$F$853,0)),L274,IFERROR(INDEX(Config!$F$1:$F$853,MATCH(L274,Config!$G$1:$G$853,0)),""))))</f>
        <v/>
      </c>
      <c r="L274" s="17" t="str">
        <f>=IFERROR(INDEX($L$17:L273,MATCH(C274,$C$17:C273,0)),"")</f>
        <v/>
      </c>
    </row>
    <row r="275" ht="18" customHeight="1" spans="1:12" x14ac:dyDescent="0.25">
      <c r="A275" s="10" t="s">
        <v>2</v>
      </c>
      <c r="B275" s="10" t="s">
        <v>2</v>
      </c>
      <c r="C275" s="10" t="s">
        <v>2</v>
      </c>
      <c r="D275" s="11" t="str">
        <f>=IF(E275="","",IF(ISNUMBER(FIND("|",E275)),TRIM(LEFT(E275,FIND("|",E275)-1)),IF(ISNUMBER(MATCH(E275,Config!$C$1:$C$311,0)),E275,IFERROR(INDEX(Config!$C$1:$C$311,MATCH(E275,Config!$D$1:$D$311,0)),""))))</f>
        <v/>
      </c>
      <c r="E275" s="12" t="s">
        <v>2</v>
      </c>
      <c r="F275" s="13" t="s">
        <v>2</v>
      </c>
      <c r="G275" s="14" t="str">
        <f>=IF(C275="","",SUMIF($C$17:$C$502,C275,$F$17:$F$502))</f>
        <v/>
      </c>
      <c r="H275" s="14" t="str">
        <f>=IFERROR($B$14/$B$10,"")</f>
        <v/>
      </c>
      <c r="I275" s="15" t="str">
        <f>=IFERROR(G275/H275,"")</f>
        <v/>
      </c>
      <c r="J275" s="16" t="str">
        <f>=IF(F275="","",F275/3600)</f>
        <v/>
      </c>
      <c r="K275" s="11" t="str">
        <f>=IF(L275="","",IF(ISNUMBER(FIND("|",L275)),TRIM(LEFT(L275,FIND("|",L275)-1)),IF(ISNUMBER(MATCH(L275,Config!$F$1:$F$853,0)),L275,IFERROR(INDEX(Config!$F$1:$F$853,MATCH(L275,Config!$G$1:$G$853,0)),""))))</f>
        <v/>
      </c>
      <c r="L275" s="17" t="str">
        <f>=IFERROR(INDEX($L$17:L274,MATCH(C275,$C$17:C274,0)),"")</f>
        <v/>
      </c>
    </row>
    <row r="276" ht="18" customHeight="1" spans="1:12" x14ac:dyDescent="0.25">
      <c r="A276" s="10" t="s">
        <v>2</v>
      </c>
      <c r="B276" s="10" t="s">
        <v>2</v>
      </c>
      <c r="C276" s="10" t="s">
        <v>2</v>
      </c>
      <c r="D276" s="11" t="str">
        <f>=IF(E276="","",IF(ISNUMBER(FIND("|",E276)),TRIM(LEFT(E276,FIND("|",E276)-1)),IF(ISNUMBER(MATCH(E276,Config!$C$1:$C$311,0)),E276,IFERROR(INDEX(Config!$C$1:$C$311,MATCH(E276,Config!$D$1:$D$311,0)),""))))</f>
        <v/>
      </c>
      <c r="E276" s="12" t="s">
        <v>2</v>
      </c>
      <c r="F276" s="13" t="s">
        <v>2</v>
      </c>
      <c r="G276" s="14" t="str">
        <f>=IF(C276="","",SUMIF($C$17:$C$502,C276,$F$17:$F$502))</f>
        <v/>
      </c>
      <c r="H276" s="14" t="str">
        <f>=IFERROR($B$14/$B$10,"")</f>
        <v/>
      </c>
      <c r="I276" s="15" t="str">
        <f>=IFERROR(G276/H276,"")</f>
        <v/>
      </c>
      <c r="J276" s="16" t="str">
        <f>=IF(F276="","",F276/3600)</f>
        <v/>
      </c>
      <c r="K276" s="11" t="str">
        <f>=IF(L276="","",IF(ISNUMBER(FIND("|",L276)),TRIM(LEFT(L276,FIND("|",L276)-1)),IF(ISNUMBER(MATCH(L276,Config!$F$1:$F$853,0)),L276,IFERROR(INDEX(Config!$F$1:$F$853,MATCH(L276,Config!$G$1:$G$853,0)),""))))</f>
        <v/>
      </c>
      <c r="L276" s="17" t="str">
        <f>=IFERROR(INDEX($L$17:L275,MATCH(C276,$C$17:C275,0)),"")</f>
        <v/>
      </c>
    </row>
    <row r="277" ht="18" customHeight="1" spans="1:12" x14ac:dyDescent="0.25">
      <c r="A277" s="10" t="s">
        <v>2</v>
      </c>
      <c r="B277" s="10" t="s">
        <v>2</v>
      </c>
      <c r="C277" s="10" t="s">
        <v>2</v>
      </c>
      <c r="D277" s="11" t="str">
        <f>=IF(E277="","",IF(ISNUMBER(FIND("|",E277)),TRIM(LEFT(E277,FIND("|",E277)-1)),IF(ISNUMBER(MATCH(E277,Config!$C$1:$C$311,0)),E277,IFERROR(INDEX(Config!$C$1:$C$311,MATCH(E277,Config!$D$1:$D$311,0)),""))))</f>
        <v/>
      </c>
      <c r="E277" s="12" t="s">
        <v>2</v>
      </c>
      <c r="F277" s="13" t="s">
        <v>2</v>
      </c>
      <c r="G277" s="14" t="str">
        <f>=IF(C277="","",SUMIF($C$17:$C$502,C277,$F$17:$F$502))</f>
        <v/>
      </c>
      <c r="H277" s="14" t="str">
        <f>=IFERROR($B$14/$B$10,"")</f>
        <v/>
      </c>
      <c r="I277" s="15" t="str">
        <f>=IFERROR(G277/H277,"")</f>
        <v/>
      </c>
      <c r="J277" s="16" t="str">
        <f>=IF(F277="","",F277/3600)</f>
        <v/>
      </c>
      <c r="K277" s="11" t="str">
        <f>=IF(L277="","",IF(ISNUMBER(FIND("|",L277)),TRIM(LEFT(L277,FIND("|",L277)-1)),IF(ISNUMBER(MATCH(L277,Config!$F$1:$F$853,0)),L277,IFERROR(INDEX(Config!$F$1:$F$853,MATCH(L277,Config!$G$1:$G$853,0)),""))))</f>
        <v/>
      </c>
      <c r="L277" s="17" t="str">
        <f>=IFERROR(INDEX($L$17:L276,MATCH(C277,$C$17:C276,0)),"")</f>
        <v/>
      </c>
    </row>
    <row r="278" ht="18" customHeight="1" spans="1:12" x14ac:dyDescent="0.25">
      <c r="A278" s="10" t="s">
        <v>2</v>
      </c>
      <c r="B278" s="10" t="s">
        <v>2</v>
      </c>
      <c r="C278" s="10" t="s">
        <v>2</v>
      </c>
      <c r="D278" s="11" t="str">
        <f>=IF(E278="","",IF(ISNUMBER(FIND("|",E278)),TRIM(LEFT(E278,FIND("|",E278)-1)),IF(ISNUMBER(MATCH(E278,Config!$C$1:$C$311,0)),E278,IFERROR(INDEX(Config!$C$1:$C$311,MATCH(E278,Config!$D$1:$D$311,0)),""))))</f>
        <v/>
      </c>
      <c r="E278" s="12" t="s">
        <v>2</v>
      </c>
      <c r="F278" s="13" t="s">
        <v>2</v>
      </c>
      <c r="G278" s="14" t="str">
        <f>=IF(C278="","",SUMIF($C$17:$C$502,C278,$F$17:$F$502))</f>
        <v/>
      </c>
      <c r="H278" s="14" t="str">
        <f>=IFERROR($B$14/$B$10,"")</f>
        <v/>
      </c>
      <c r="I278" s="15" t="str">
        <f>=IFERROR(G278/H278,"")</f>
        <v/>
      </c>
      <c r="J278" s="16" t="str">
        <f>=IF(F278="","",F278/3600)</f>
        <v/>
      </c>
      <c r="K278" s="11" t="str">
        <f>=IF(L278="","",IF(ISNUMBER(FIND("|",L278)),TRIM(LEFT(L278,FIND("|",L278)-1)),IF(ISNUMBER(MATCH(L278,Config!$F$1:$F$853,0)),L278,IFERROR(INDEX(Config!$F$1:$F$853,MATCH(L278,Config!$G$1:$G$853,0)),""))))</f>
        <v/>
      </c>
      <c r="L278" s="17" t="str">
        <f>=IFERROR(INDEX($L$17:L277,MATCH(C278,$C$17:C277,0)),"")</f>
        <v/>
      </c>
    </row>
    <row r="279" ht="18" customHeight="1" spans="1:12" x14ac:dyDescent="0.25">
      <c r="A279" s="10" t="s">
        <v>2</v>
      </c>
      <c r="B279" s="10" t="s">
        <v>2</v>
      </c>
      <c r="C279" s="10" t="s">
        <v>2</v>
      </c>
      <c r="D279" s="11" t="str">
        <f>=IF(E279="","",IF(ISNUMBER(FIND("|",E279)),TRIM(LEFT(E279,FIND("|",E279)-1)),IF(ISNUMBER(MATCH(E279,Config!$C$1:$C$311,0)),E279,IFERROR(INDEX(Config!$C$1:$C$311,MATCH(E279,Config!$D$1:$D$311,0)),""))))</f>
        <v/>
      </c>
      <c r="E279" s="12" t="s">
        <v>2</v>
      </c>
      <c r="F279" s="13" t="s">
        <v>2</v>
      </c>
      <c r="G279" s="14" t="str">
        <f>=IF(C279="","",SUMIF($C$17:$C$502,C279,$F$17:$F$502))</f>
        <v/>
      </c>
      <c r="H279" s="14" t="str">
        <f>=IFERROR($B$14/$B$10,"")</f>
        <v/>
      </c>
      <c r="I279" s="15" t="str">
        <f>=IFERROR(G279/H279,"")</f>
        <v/>
      </c>
      <c r="J279" s="16" t="str">
        <f>=IF(F279="","",F279/3600)</f>
        <v/>
      </c>
      <c r="K279" s="11" t="str">
        <f>=IF(L279="","",IF(ISNUMBER(FIND("|",L279)),TRIM(LEFT(L279,FIND("|",L279)-1)),IF(ISNUMBER(MATCH(L279,Config!$F$1:$F$853,0)),L279,IFERROR(INDEX(Config!$F$1:$F$853,MATCH(L279,Config!$G$1:$G$853,0)),""))))</f>
        <v/>
      </c>
      <c r="L279" s="17" t="str">
        <f>=IFERROR(INDEX($L$17:L278,MATCH(C279,$C$17:C278,0)),"")</f>
        <v/>
      </c>
    </row>
    <row r="280" ht="18" customHeight="1" spans="1:12" x14ac:dyDescent="0.25">
      <c r="A280" s="10" t="s">
        <v>2</v>
      </c>
      <c r="B280" s="10" t="s">
        <v>2</v>
      </c>
      <c r="C280" s="10" t="s">
        <v>2</v>
      </c>
      <c r="D280" s="11" t="str">
        <f>=IF(E280="","",IF(ISNUMBER(FIND("|",E280)),TRIM(LEFT(E280,FIND("|",E280)-1)),IF(ISNUMBER(MATCH(E280,Config!$C$1:$C$311,0)),E280,IFERROR(INDEX(Config!$C$1:$C$311,MATCH(E280,Config!$D$1:$D$311,0)),""))))</f>
        <v/>
      </c>
      <c r="E280" s="12" t="s">
        <v>2</v>
      </c>
      <c r="F280" s="13" t="s">
        <v>2</v>
      </c>
      <c r="G280" s="14" t="str">
        <f>=IF(C280="","",SUMIF($C$17:$C$502,C280,$F$17:$F$502))</f>
        <v/>
      </c>
      <c r="H280" s="14" t="str">
        <f>=IFERROR($B$14/$B$10,"")</f>
        <v/>
      </c>
      <c r="I280" s="15" t="str">
        <f>=IFERROR(G280/H280,"")</f>
        <v/>
      </c>
      <c r="J280" s="16" t="str">
        <f>=IF(F280="","",F280/3600)</f>
        <v/>
      </c>
      <c r="K280" s="11" t="str">
        <f>=IF(L280="","",IF(ISNUMBER(FIND("|",L280)),TRIM(LEFT(L280,FIND("|",L280)-1)),IF(ISNUMBER(MATCH(L280,Config!$F$1:$F$853,0)),L280,IFERROR(INDEX(Config!$F$1:$F$853,MATCH(L280,Config!$G$1:$G$853,0)),""))))</f>
        <v/>
      </c>
      <c r="L280" s="17" t="str">
        <f>=IFERROR(INDEX($L$17:L279,MATCH(C280,$C$17:C279,0)),"")</f>
        <v/>
      </c>
    </row>
    <row r="281" ht="18" customHeight="1" spans="1:12" x14ac:dyDescent="0.25">
      <c r="A281" s="10" t="s">
        <v>2</v>
      </c>
      <c r="B281" s="10" t="s">
        <v>2</v>
      </c>
      <c r="C281" s="10" t="s">
        <v>2</v>
      </c>
      <c r="D281" s="11" t="str">
        <f>=IF(E281="","",IF(ISNUMBER(FIND("|",E281)),TRIM(LEFT(E281,FIND("|",E281)-1)),IF(ISNUMBER(MATCH(E281,Config!$C$1:$C$311,0)),E281,IFERROR(INDEX(Config!$C$1:$C$311,MATCH(E281,Config!$D$1:$D$311,0)),""))))</f>
        <v/>
      </c>
      <c r="E281" s="12" t="s">
        <v>2</v>
      </c>
      <c r="F281" s="13" t="s">
        <v>2</v>
      </c>
      <c r="G281" s="14" t="str">
        <f>=IF(C281="","",SUMIF($C$17:$C$502,C281,$F$17:$F$502))</f>
        <v/>
      </c>
      <c r="H281" s="14" t="str">
        <f>=IFERROR($B$14/$B$10,"")</f>
        <v/>
      </c>
      <c r="I281" s="15" t="str">
        <f>=IFERROR(G281/H281,"")</f>
        <v/>
      </c>
      <c r="J281" s="16" t="str">
        <f>=IF(F281="","",F281/3600)</f>
        <v/>
      </c>
      <c r="K281" s="11" t="str">
        <f>=IF(L281="","",IF(ISNUMBER(FIND("|",L281)),TRIM(LEFT(L281,FIND("|",L281)-1)),IF(ISNUMBER(MATCH(L281,Config!$F$1:$F$853,0)),L281,IFERROR(INDEX(Config!$F$1:$F$853,MATCH(L281,Config!$G$1:$G$853,0)),""))))</f>
        <v/>
      </c>
      <c r="L281" s="17" t="str">
        <f>=IFERROR(INDEX($L$17:L280,MATCH(C281,$C$17:C280,0)),"")</f>
        <v/>
      </c>
    </row>
    <row r="282" ht="18" customHeight="1" spans="1:12" x14ac:dyDescent="0.25">
      <c r="A282" s="10" t="s">
        <v>2</v>
      </c>
      <c r="B282" s="10" t="s">
        <v>2</v>
      </c>
      <c r="C282" s="10" t="s">
        <v>2</v>
      </c>
      <c r="D282" s="11" t="str">
        <f>=IF(E282="","",IF(ISNUMBER(FIND("|",E282)),TRIM(LEFT(E282,FIND("|",E282)-1)),IF(ISNUMBER(MATCH(E282,Config!$C$1:$C$311,0)),E282,IFERROR(INDEX(Config!$C$1:$C$311,MATCH(E282,Config!$D$1:$D$311,0)),""))))</f>
        <v/>
      </c>
      <c r="E282" s="12" t="s">
        <v>2</v>
      </c>
      <c r="F282" s="13" t="s">
        <v>2</v>
      </c>
      <c r="G282" s="14" t="str">
        <f>=IF(C282="","",SUMIF($C$17:$C$502,C282,$F$17:$F$502))</f>
        <v/>
      </c>
      <c r="H282" s="14" t="str">
        <f>=IFERROR($B$14/$B$10,"")</f>
        <v/>
      </c>
      <c r="I282" s="15" t="str">
        <f>=IFERROR(G282/H282,"")</f>
        <v/>
      </c>
      <c r="J282" s="16" t="str">
        <f>=IF(F282="","",F282/3600)</f>
        <v/>
      </c>
      <c r="K282" s="11" t="str">
        <f>=IF(L282="","",IF(ISNUMBER(FIND("|",L282)),TRIM(LEFT(L282,FIND("|",L282)-1)),IF(ISNUMBER(MATCH(L282,Config!$F$1:$F$853,0)),L282,IFERROR(INDEX(Config!$F$1:$F$853,MATCH(L282,Config!$G$1:$G$853,0)),""))))</f>
        <v/>
      </c>
      <c r="L282" s="17" t="str">
        <f>=IFERROR(INDEX($L$17:L281,MATCH(C282,$C$17:C281,0)),"")</f>
        <v/>
      </c>
    </row>
    <row r="283" ht="18" customHeight="1" spans="1:12" x14ac:dyDescent="0.25">
      <c r="A283" s="10" t="s">
        <v>2</v>
      </c>
      <c r="B283" s="10" t="s">
        <v>2</v>
      </c>
      <c r="C283" s="10" t="s">
        <v>2</v>
      </c>
      <c r="D283" s="11" t="str">
        <f>=IF(E283="","",IF(ISNUMBER(FIND("|",E283)),TRIM(LEFT(E283,FIND("|",E283)-1)),IF(ISNUMBER(MATCH(E283,Config!$C$1:$C$311,0)),E283,IFERROR(INDEX(Config!$C$1:$C$311,MATCH(E283,Config!$D$1:$D$311,0)),""))))</f>
        <v/>
      </c>
      <c r="E283" s="12" t="s">
        <v>2</v>
      </c>
      <c r="F283" s="13" t="s">
        <v>2</v>
      </c>
      <c r="G283" s="14" t="str">
        <f>=IF(C283="","",SUMIF($C$17:$C$502,C283,$F$17:$F$502))</f>
        <v/>
      </c>
      <c r="H283" s="14" t="str">
        <f>=IFERROR($B$14/$B$10,"")</f>
        <v/>
      </c>
      <c r="I283" s="15" t="str">
        <f>=IFERROR(G283/H283,"")</f>
        <v/>
      </c>
      <c r="J283" s="16" t="str">
        <f>=IF(F283="","",F283/3600)</f>
        <v/>
      </c>
      <c r="K283" s="11" t="str">
        <f>=IF(L283="","",IF(ISNUMBER(FIND("|",L283)),TRIM(LEFT(L283,FIND("|",L283)-1)),IF(ISNUMBER(MATCH(L283,Config!$F$1:$F$853,0)),L283,IFERROR(INDEX(Config!$F$1:$F$853,MATCH(L283,Config!$G$1:$G$853,0)),""))))</f>
        <v/>
      </c>
      <c r="L283" s="17" t="str">
        <f>=IFERROR(INDEX($L$17:L282,MATCH(C283,$C$17:C282,0)),"")</f>
        <v/>
      </c>
    </row>
    <row r="284" ht="18" customHeight="1" spans="1:12" x14ac:dyDescent="0.25">
      <c r="A284" s="10" t="s">
        <v>2</v>
      </c>
      <c r="B284" s="10" t="s">
        <v>2</v>
      </c>
      <c r="C284" s="10" t="s">
        <v>2</v>
      </c>
      <c r="D284" s="11" t="str">
        <f>=IF(E284="","",IF(ISNUMBER(FIND("|",E284)),TRIM(LEFT(E284,FIND("|",E284)-1)),IF(ISNUMBER(MATCH(E284,Config!$C$1:$C$311,0)),E284,IFERROR(INDEX(Config!$C$1:$C$311,MATCH(E284,Config!$D$1:$D$311,0)),""))))</f>
        <v/>
      </c>
      <c r="E284" s="12" t="s">
        <v>2</v>
      </c>
      <c r="F284" s="13" t="s">
        <v>2</v>
      </c>
      <c r="G284" s="14" t="str">
        <f>=IF(C284="","",SUMIF($C$17:$C$502,C284,$F$17:$F$502))</f>
        <v/>
      </c>
      <c r="H284" s="14" t="str">
        <f>=IFERROR($B$14/$B$10,"")</f>
        <v/>
      </c>
      <c r="I284" s="15" t="str">
        <f>=IFERROR(G284/H284,"")</f>
        <v/>
      </c>
      <c r="J284" s="16" t="str">
        <f>=IF(F284="","",F284/3600)</f>
        <v/>
      </c>
      <c r="K284" s="11" t="str">
        <f>=IF(L284="","",IF(ISNUMBER(FIND("|",L284)),TRIM(LEFT(L284,FIND("|",L284)-1)),IF(ISNUMBER(MATCH(L284,Config!$F$1:$F$853,0)),L284,IFERROR(INDEX(Config!$F$1:$F$853,MATCH(L284,Config!$G$1:$G$853,0)),""))))</f>
        <v/>
      </c>
      <c r="L284" s="17" t="str">
        <f>=IFERROR(INDEX($L$17:L283,MATCH(C284,$C$17:C283,0)),"")</f>
        <v/>
      </c>
    </row>
    <row r="285" ht="18" customHeight="1" spans="1:12" x14ac:dyDescent="0.25">
      <c r="A285" s="10" t="s">
        <v>2</v>
      </c>
      <c r="B285" s="10" t="s">
        <v>2</v>
      </c>
      <c r="C285" s="10" t="s">
        <v>2</v>
      </c>
      <c r="D285" s="11" t="str">
        <f>=IF(E285="","",IF(ISNUMBER(FIND("|",E285)),TRIM(LEFT(E285,FIND("|",E285)-1)),IF(ISNUMBER(MATCH(E285,Config!$C$1:$C$311,0)),E285,IFERROR(INDEX(Config!$C$1:$C$311,MATCH(E285,Config!$D$1:$D$311,0)),""))))</f>
        <v/>
      </c>
      <c r="E285" s="12" t="s">
        <v>2</v>
      </c>
      <c r="F285" s="13" t="s">
        <v>2</v>
      </c>
      <c r="G285" s="14" t="str">
        <f>=IF(C285="","",SUMIF($C$17:$C$502,C285,$F$17:$F$502))</f>
        <v/>
      </c>
      <c r="H285" s="14" t="str">
        <f>=IFERROR($B$14/$B$10,"")</f>
        <v/>
      </c>
      <c r="I285" s="15" t="str">
        <f>=IFERROR(G285/H285,"")</f>
        <v/>
      </c>
      <c r="J285" s="16" t="str">
        <f>=IF(F285="","",F285/3600)</f>
        <v/>
      </c>
      <c r="K285" s="11" t="str">
        <f>=IF(L285="","",IF(ISNUMBER(FIND("|",L285)),TRIM(LEFT(L285,FIND("|",L285)-1)),IF(ISNUMBER(MATCH(L285,Config!$F$1:$F$853,0)),L285,IFERROR(INDEX(Config!$F$1:$F$853,MATCH(L285,Config!$G$1:$G$853,0)),""))))</f>
        <v/>
      </c>
      <c r="L285" s="17" t="str">
        <f>=IFERROR(INDEX($L$17:L284,MATCH(C285,$C$17:C284,0)),"")</f>
        <v/>
      </c>
    </row>
    <row r="286" ht="18" customHeight="1" spans="1:12" x14ac:dyDescent="0.25">
      <c r="A286" s="10" t="s">
        <v>2</v>
      </c>
      <c r="B286" s="10" t="s">
        <v>2</v>
      </c>
      <c r="C286" s="10" t="s">
        <v>2</v>
      </c>
      <c r="D286" s="11" t="str">
        <f>=IF(E286="","",IF(ISNUMBER(FIND("|",E286)),TRIM(LEFT(E286,FIND("|",E286)-1)),IF(ISNUMBER(MATCH(E286,Config!$C$1:$C$311,0)),E286,IFERROR(INDEX(Config!$C$1:$C$311,MATCH(E286,Config!$D$1:$D$311,0)),""))))</f>
        <v/>
      </c>
      <c r="E286" s="12" t="s">
        <v>2</v>
      </c>
      <c r="F286" s="13" t="s">
        <v>2</v>
      </c>
      <c r="G286" s="14" t="str">
        <f>=IF(C286="","",SUMIF($C$17:$C$502,C286,$F$17:$F$502))</f>
        <v/>
      </c>
      <c r="H286" s="14" t="str">
        <f>=IFERROR($B$14/$B$10,"")</f>
        <v/>
      </c>
      <c r="I286" s="15" t="str">
        <f>=IFERROR(G286/H286,"")</f>
        <v/>
      </c>
      <c r="J286" s="16" t="str">
        <f>=IF(F286="","",F286/3600)</f>
        <v/>
      </c>
      <c r="K286" s="11" t="str">
        <f>=IF(L286="","",IF(ISNUMBER(FIND("|",L286)),TRIM(LEFT(L286,FIND("|",L286)-1)),IF(ISNUMBER(MATCH(L286,Config!$F$1:$F$853,0)),L286,IFERROR(INDEX(Config!$F$1:$F$853,MATCH(L286,Config!$G$1:$G$853,0)),""))))</f>
        <v/>
      </c>
      <c r="L286" s="17" t="str">
        <f>=IFERROR(INDEX($L$17:L285,MATCH(C286,$C$17:C285,0)),"")</f>
        <v/>
      </c>
    </row>
    <row r="287" ht="18" customHeight="1" spans="1:12" x14ac:dyDescent="0.25">
      <c r="A287" s="10" t="s">
        <v>2</v>
      </c>
      <c r="B287" s="10" t="s">
        <v>2</v>
      </c>
      <c r="C287" s="10" t="s">
        <v>2</v>
      </c>
      <c r="D287" s="11" t="str">
        <f>=IF(E287="","",IF(ISNUMBER(FIND("|",E287)),TRIM(LEFT(E287,FIND("|",E287)-1)),IF(ISNUMBER(MATCH(E287,Config!$C$1:$C$311,0)),E287,IFERROR(INDEX(Config!$C$1:$C$311,MATCH(E287,Config!$D$1:$D$311,0)),""))))</f>
        <v/>
      </c>
      <c r="E287" s="12" t="s">
        <v>2</v>
      </c>
      <c r="F287" s="13" t="s">
        <v>2</v>
      </c>
      <c r="G287" s="14" t="str">
        <f>=IF(C287="","",SUMIF($C$17:$C$502,C287,$F$17:$F$502))</f>
        <v/>
      </c>
      <c r="H287" s="14" t="str">
        <f>=IFERROR($B$14/$B$10,"")</f>
        <v/>
      </c>
      <c r="I287" s="15" t="str">
        <f>=IFERROR(G287/H287,"")</f>
        <v/>
      </c>
      <c r="J287" s="16" t="str">
        <f>=IF(F287="","",F287/3600)</f>
        <v/>
      </c>
      <c r="K287" s="11" t="str">
        <f>=IF(L287="","",IF(ISNUMBER(FIND("|",L287)),TRIM(LEFT(L287,FIND("|",L287)-1)),IF(ISNUMBER(MATCH(L287,Config!$F$1:$F$853,0)),L287,IFERROR(INDEX(Config!$F$1:$F$853,MATCH(L287,Config!$G$1:$G$853,0)),""))))</f>
        <v/>
      </c>
      <c r="L287" s="17" t="str">
        <f>=IFERROR(INDEX($L$17:L286,MATCH(C287,$C$17:C286,0)),"")</f>
        <v/>
      </c>
    </row>
    <row r="288" ht="18" customHeight="1" spans="1:12" x14ac:dyDescent="0.25">
      <c r="A288" s="10" t="s">
        <v>2</v>
      </c>
      <c r="B288" s="10" t="s">
        <v>2</v>
      </c>
      <c r="C288" s="10" t="s">
        <v>2</v>
      </c>
      <c r="D288" s="11" t="str">
        <f>=IF(E288="","",IF(ISNUMBER(FIND("|",E288)),TRIM(LEFT(E288,FIND("|",E288)-1)),IF(ISNUMBER(MATCH(E288,Config!$C$1:$C$311,0)),E288,IFERROR(INDEX(Config!$C$1:$C$311,MATCH(E288,Config!$D$1:$D$311,0)),""))))</f>
        <v/>
      </c>
      <c r="E288" s="12" t="s">
        <v>2</v>
      </c>
      <c r="F288" s="13" t="s">
        <v>2</v>
      </c>
      <c r="G288" s="14" t="str">
        <f>=IF(C288="","",SUMIF($C$17:$C$502,C288,$F$17:$F$502))</f>
        <v/>
      </c>
      <c r="H288" s="14" t="str">
        <f>=IFERROR($B$14/$B$10,"")</f>
        <v/>
      </c>
      <c r="I288" s="15" t="str">
        <f>=IFERROR(G288/H288,"")</f>
        <v/>
      </c>
      <c r="J288" s="16" t="str">
        <f>=IF(F288="","",F288/3600)</f>
        <v/>
      </c>
      <c r="K288" s="11" t="str">
        <f>=IF(L288="","",IF(ISNUMBER(FIND("|",L288)),TRIM(LEFT(L288,FIND("|",L288)-1)),IF(ISNUMBER(MATCH(L288,Config!$F$1:$F$853,0)),L288,IFERROR(INDEX(Config!$F$1:$F$853,MATCH(L288,Config!$G$1:$G$853,0)),""))))</f>
        <v/>
      </c>
      <c r="L288" s="17" t="str">
        <f>=IFERROR(INDEX($L$17:L287,MATCH(C288,$C$17:C287,0)),"")</f>
        <v/>
      </c>
    </row>
    <row r="289" ht="18" customHeight="1" spans="1:12" x14ac:dyDescent="0.25">
      <c r="A289" s="10" t="s">
        <v>2</v>
      </c>
      <c r="B289" s="10" t="s">
        <v>2</v>
      </c>
      <c r="C289" s="10" t="s">
        <v>2</v>
      </c>
      <c r="D289" s="11" t="str">
        <f>=IF(E289="","",IF(ISNUMBER(FIND("|",E289)),TRIM(LEFT(E289,FIND("|",E289)-1)),IF(ISNUMBER(MATCH(E289,Config!$C$1:$C$311,0)),E289,IFERROR(INDEX(Config!$C$1:$C$311,MATCH(E289,Config!$D$1:$D$311,0)),""))))</f>
        <v/>
      </c>
      <c r="E289" s="12" t="s">
        <v>2</v>
      </c>
      <c r="F289" s="13" t="s">
        <v>2</v>
      </c>
      <c r="G289" s="14" t="str">
        <f>=IF(C289="","",SUMIF($C$17:$C$502,C289,$F$17:$F$502))</f>
        <v/>
      </c>
      <c r="H289" s="14" t="str">
        <f>=IFERROR($B$14/$B$10,"")</f>
        <v/>
      </c>
      <c r="I289" s="15" t="str">
        <f>=IFERROR(G289/H289,"")</f>
        <v/>
      </c>
      <c r="J289" s="16" t="str">
        <f>=IF(F289="","",F289/3600)</f>
        <v/>
      </c>
      <c r="K289" s="11" t="str">
        <f>=IF(L289="","",IF(ISNUMBER(FIND("|",L289)),TRIM(LEFT(L289,FIND("|",L289)-1)),IF(ISNUMBER(MATCH(L289,Config!$F$1:$F$853,0)),L289,IFERROR(INDEX(Config!$F$1:$F$853,MATCH(L289,Config!$G$1:$G$853,0)),""))))</f>
        <v/>
      </c>
      <c r="L289" s="17" t="str">
        <f>=IFERROR(INDEX($L$17:L288,MATCH(C289,$C$17:C288,0)),"")</f>
        <v/>
      </c>
    </row>
    <row r="290" ht="18" customHeight="1" spans="1:12" x14ac:dyDescent="0.25">
      <c r="A290" s="10" t="s">
        <v>2</v>
      </c>
      <c r="B290" s="10" t="s">
        <v>2</v>
      </c>
      <c r="C290" s="10" t="s">
        <v>2</v>
      </c>
      <c r="D290" s="11" t="str">
        <f>=IF(E290="","",IF(ISNUMBER(FIND("|",E290)),TRIM(LEFT(E290,FIND("|",E290)-1)),IF(ISNUMBER(MATCH(E290,Config!$C$1:$C$311,0)),E290,IFERROR(INDEX(Config!$C$1:$C$311,MATCH(E290,Config!$D$1:$D$311,0)),""))))</f>
        <v/>
      </c>
      <c r="E290" s="12" t="s">
        <v>2</v>
      </c>
      <c r="F290" s="13" t="s">
        <v>2</v>
      </c>
      <c r="G290" s="14" t="str">
        <f>=IF(C290="","",SUMIF($C$17:$C$502,C290,$F$17:$F$502))</f>
        <v/>
      </c>
      <c r="H290" s="14" t="str">
        <f>=IFERROR($B$14/$B$10,"")</f>
        <v/>
      </c>
      <c r="I290" s="15" t="str">
        <f>=IFERROR(G290/H290,"")</f>
        <v/>
      </c>
      <c r="J290" s="16" t="str">
        <f>=IF(F290="","",F290/3600)</f>
        <v/>
      </c>
      <c r="K290" s="11" t="str">
        <f>=IF(L290="","",IF(ISNUMBER(FIND("|",L290)),TRIM(LEFT(L290,FIND("|",L290)-1)),IF(ISNUMBER(MATCH(L290,Config!$F$1:$F$853,0)),L290,IFERROR(INDEX(Config!$F$1:$F$853,MATCH(L290,Config!$G$1:$G$853,0)),""))))</f>
        <v/>
      </c>
      <c r="L290" s="17" t="str">
        <f>=IFERROR(INDEX($L$17:L289,MATCH(C290,$C$17:C289,0)),"")</f>
        <v/>
      </c>
    </row>
    <row r="291" ht="18" customHeight="1" spans="1:12" x14ac:dyDescent="0.25">
      <c r="A291" s="10" t="s">
        <v>2</v>
      </c>
      <c r="B291" s="10" t="s">
        <v>2</v>
      </c>
      <c r="C291" s="10" t="s">
        <v>2</v>
      </c>
      <c r="D291" s="11" t="str">
        <f>=IF(E291="","",IF(ISNUMBER(FIND("|",E291)),TRIM(LEFT(E291,FIND("|",E291)-1)),IF(ISNUMBER(MATCH(E291,Config!$C$1:$C$311,0)),E291,IFERROR(INDEX(Config!$C$1:$C$311,MATCH(E291,Config!$D$1:$D$311,0)),""))))</f>
        <v/>
      </c>
      <c r="E291" s="12" t="s">
        <v>2</v>
      </c>
      <c r="F291" s="13" t="s">
        <v>2</v>
      </c>
      <c r="G291" s="14" t="str">
        <f>=IF(C291="","",SUMIF($C$17:$C$502,C291,$F$17:$F$502))</f>
        <v/>
      </c>
      <c r="H291" s="14" t="str">
        <f>=IFERROR($B$14/$B$10,"")</f>
        <v/>
      </c>
      <c r="I291" s="15" t="str">
        <f>=IFERROR(G291/H291,"")</f>
        <v/>
      </c>
      <c r="J291" s="16" t="str">
        <f>=IF(F291="","",F291/3600)</f>
        <v/>
      </c>
      <c r="K291" s="11" t="str">
        <f>=IF(L291="","",IF(ISNUMBER(FIND("|",L291)),TRIM(LEFT(L291,FIND("|",L291)-1)),IF(ISNUMBER(MATCH(L291,Config!$F$1:$F$853,0)),L291,IFERROR(INDEX(Config!$F$1:$F$853,MATCH(L291,Config!$G$1:$G$853,0)),""))))</f>
        <v/>
      </c>
      <c r="L291" s="17" t="str">
        <f>=IFERROR(INDEX($L$17:L290,MATCH(C291,$C$17:C290,0)),"")</f>
        <v/>
      </c>
    </row>
    <row r="292" ht="18" customHeight="1" spans="1:12" x14ac:dyDescent="0.25">
      <c r="A292" s="10" t="s">
        <v>2</v>
      </c>
      <c r="B292" s="10" t="s">
        <v>2</v>
      </c>
      <c r="C292" s="10" t="s">
        <v>2</v>
      </c>
      <c r="D292" s="11" t="str">
        <f>=IF(E292="","",IF(ISNUMBER(FIND("|",E292)),TRIM(LEFT(E292,FIND("|",E292)-1)),IF(ISNUMBER(MATCH(E292,Config!$C$1:$C$311,0)),E292,IFERROR(INDEX(Config!$C$1:$C$311,MATCH(E292,Config!$D$1:$D$311,0)),""))))</f>
        <v/>
      </c>
      <c r="E292" s="12" t="s">
        <v>2</v>
      </c>
      <c r="F292" s="13" t="s">
        <v>2</v>
      </c>
      <c r="G292" s="14" t="str">
        <f>=IF(C292="","",SUMIF($C$17:$C$502,C292,$F$17:$F$502))</f>
        <v/>
      </c>
      <c r="H292" s="14" t="str">
        <f>=IFERROR($B$14/$B$10,"")</f>
        <v/>
      </c>
      <c r="I292" s="15" t="str">
        <f>=IFERROR(G292/H292,"")</f>
        <v/>
      </c>
      <c r="J292" s="16" t="str">
        <f>=IF(F292="","",F292/3600)</f>
        <v/>
      </c>
      <c r="K292" s="11" t="str">
        <f>=IF(L292="","",IF(ISNUMBER(FIND("|",L292)),TRIM(LEFT(L292,FIND("|",L292)-1)),IF(ISNUMBER(MATCH(L292,Config!$F$1:$F$853,0)),L292,IFERROR(INDEX(Config!$F$1:$F$853,MATCH(L292,Config!$G$1:$G$853,0)),""))))</f>
        <v/>
      </c>
      <c r="L292" s="17" t="str">
        <f>=IFERROR(INDEX($L$17:L291,MATCH(C292,$C$17:C291,0)),"")</f>
        <v/>
      </c>
    </row>
    <row r="293" ht="18" customHeight="1" spans="1:12" x14ac:dyDescent="0.25">
      <c r="A293" s="10" t="s">
        <v>2</v>
      </c>
      <c r="B293" s="10" t="s">
        <v>2</v>
      </c>
      <c r="C293" s="10" t="s">
        <v>2</v>
      </c>
      <c r="D293" s="11" t="str">
        <f>=IF(E293="","",IF(ISNUMBER(FIND("|",E293)),TRIM(LEFT(E293,FIND("|",E293)-1)),IF(ISNUMBER(MATCH(E293,Config!$C$1:$C$311,0)),E293,IFERROR(INDEX(Config!$C$1:$C$311,MATCH(E293,Config!$D$1:$D$311,0)),""))))</f>
        <v/>
      </c>
      <c r="E293" s="12" t="s">
        <v>2</v>
      </c>
      <c r="F293" s="13" t="s">
        <v>2</v>
      </c>
      <c r="G293" s="14" t="str">
        <f>=IF(C293="","",SUMIF($C$17:$C$502,C293,$F$17:$F$502))</f>
        <v/>
      </c>
      <c r="H293" s="14" t="str">
        <f>=IFERROR($B$14/$B$10,"")</f>
        <v/>
      </c>
      <c r="I293" s="15" t="str">
        <f>=IFERROR(G293/H293,"")</f>
        <v/>
      </c>
      <c r="J293" s="16" t="str">
        <f>=IF(F293="","",F293/3600)</f>
        <v/>
      </c>
      <c r="K293" s="11" t="str">
        <f>=IF(L293="","",IF(ISNUMBER(FIND("|",L293)),TRIM(LEFT(L293,FIND("|",L293)-1)),IF(ISNUMBER(MATCH(L293,Config!$F$1:$F$853,0)),L293,IFERROR(INDEX(Config!$F$1:$F$853,MATCH(L293,Config!$G$1:$G$853,0)),""))))</f>
        <v/>
      </c>
      <c r="L293" s="17" t="str">
        <f>=IFERROR(INDEX($L$17:L292,MATCH(C293,$C$17:C292,0)),"")</f>
        <v/>
      </c>
    </row>
    <row r="294" ht="18" customHeight="1" spans="1:12" x14ac:dyDescent="0.25">
      <c r="A294" s="10" t="s">
        <v>2</v>
      </c>
      <c r="B294" s="10" t="s">
        <v>2</v>
      </c>
      <c r="C294" s="10" t="s">
        <v>2</v>
      </c>
      <c r="D294" s="11" t="str">
        <f>=IF(E294="","",IF(ISNUMBER(FIND("|",E294)),TRIM(LEFT(E294,FIND("|",E294)-1)),IF(ISNUMBER(MATCH(E294,Config!$C$1:$C$311,0)),E294,IFERROR(INDEX(Config!$C$1:$C$311,MATCH(E294,Config!$D$1:$D$311,0)),""))))</f>
        <v/>
      </c>
      <c r="E294" s="12" t="s">
        <v>2</v>
      </c>
      <c r="F294" s="13" t="s">
        <v>2</v>
      </c>
      <c r="G294" s="14" t="str">
        <f>=IF(C294="","",SUMIF($C$17:$C$502,C294,$F$17:$F$502))</f>
        <v/>
      </c>
      <c r="H294" s="14" t="str">
        <f>=IFERROR($B$14/$B$10,"")</f>
        <v/>
      </c>
      <c r="I294" s="15" t="str">
        <f>=IFERROR(G294/H294,"")</f>
        <v/>
      </c>
      <c r="J294" s="16" t="str">
        <f>=IF(F294="","",F294/3600)</f>
        <v/>
      </c>
      <c r="K294" s="11" t="str">
        <f>=IF(L294="","",IF(ISNUMBER(FIND("|",L294)),TRIM(LEFT(L294,FIND("|",L294)-1)),IF(ISNUMBER(MATCH(L294,Config!$F$1:$F$853,0)),L294,IFERROR(INDEX(Config!$F$1:$F$853,MATCH(L294,Config!$G$1:$G$853,0)),""))))</f>
        <v/>
      </c>
      <c r="L294" s="17" t="str">
        <f>=IFERROR(INDEX($L$17:L293,MATCH(C294,$C$17:C293,0)),"")</f>
        <v/>
      </c>
    </row>
    <row r="295" ht="18" customHeight="1" spans="1:12" x14ac:dyDescent="0.25">
      <c r="A295" s="10" t="s">
        <v>2</v>
      </c>
      <c r="B295" s="10" t="s">
        <v>2</v>
      </c>
      <c r="C295" s="10" t="s">
        <v>2</v>
      </c>
      <c r="D295" s="11" t="str">
        <f>=IF(E295="","",IF(ISNUMBER(FIND("|",E295)),TRIM(LEFT(E295,FIND("|",E295)-1)),IF(ISNUMBER(MATCH(E295,Config!$C$1:$C$311,0)),E295,IFERROR(INDEX(Config!$C$1:$C$311,MATCH(E295,Config!$D$1:$D$311,0)),""))))</f>
        <v/>
      </c>
      <c r="E295" s="12" t="s">
        <v>2</v>
      </c>
      <c r="F295" s="13" t="s">
        <v>2</v>
      </c>
      <c r="G295" s="14" t="str">
        <f>=IF(C295="","",SUMIF($C$17:$C$502,C295,$F$17:$F$502))</f>
        <v/>
      </c>
      <c r="H295" s="14" t="str">
        <f>=IFERROR($B$14/$B$10,"")</f>
        <v/>
      </c>
      <c r="I295" s="15" t="str">
        <f>=IFERROR(G295/H295,"")</f>
        <v/>
      </c>
      <c r="J295" s="16" t="str">
        <f>=IF(F295="","",F295/3600)</f>
        <v/>
      </c>
      <c r="K295" s="11" t="str">
        <f>=IF(L295="","",IF(ISNUMBER(FIND("|",L295)),TRIM(LEFT(L295,FIND("|",L295)-1)),IF(ISNUMBER(MATCH(L295,Config!$F$1:$F$853,0)),L295,IFERROR(INDEX(Config!$F$1:$F$853,MATCH(L295,Config!$G$1:$G$853,0)),""))))</f>
        <v/>
      </c>
      <c r="L295" s="17" t="str">
        <f>=IFERROR(INDEX($L$17:L294,MATCH(C295,$C$17:C294,0)),"")</f>
        <v/>
      </c>
    </row>
    <row r="296" ht="18" customHeight="1" spans="1:12" x14ac:dyDescent="0.25">
      <c r="A296" s="10" t="s">
        <v>2</v>
      </c>
      <c r="B296" s="10" t="s">
        <v>2</v>
      </c>
      <c r="C296" s="10" t="s">
        <v>2</v>
      </c>
      <c r="D296" s="11" t="str">
        <f>=IF(E296="","",IF(ISNUMBER(FIND("|",E296)),TRIM(LEFT(E296,FIND("|",E296)-1)),IF(ISNUMBER(MATCH(E296,Config!$C$1:$C$311,0)),E296,IFERROR(INDEX(Config!$C$1:$C$311,MATCH(E296,Config!$D$1:$D$311,0)),""))))</f>
        <v/>
      </c>
      <c r="E296" s="12" t="s">
        <v>2</v>
      </c>
      <c r="F296" s="13" t="s">
        <v>2</v>
      </c>
      <c r="G296" s="14" t="str">
        <f>=IF(C296="","",SUMIF($C$17:$C$502,C296,$F$17:$F$502))</f>
        <v/>
      </c>
      <c r="H296" s="14" t="str">
        <f>=IFERROR($B$14/$B$10,"")</f>
        <v/>
      </c>
      <c r="I296" s="15" t="str">
        <f>=IFERROR(G296/H296,"")</f>
        <v/>
      </c>
      <c r="J296" s="16" t="str">
        <f>=IF(F296="","",F296/3600)</f>
        <v/>
      </c>
      <c r="K296" s="11" t="str">
        <f>=IF(L296="","",IF(ISNUMBER(FIND("|",L296)),TRIM(LEFT(L296,FIND("|",L296)-1)),IF(ISNUMBER(MATCH(L296,Config!$F$1:$F$853,0)),L296,IFERROR(INDEX(Config!$F$1:$F$853,MATCH(L296,Config!$G$1:$G$853,0)),""))))</f>
        <v/>
      </c>
      <c r="L296" s="17" t="str">
        <f>=IFERROR(INDEX($L$17:L295,MATCH(C296,$C$17:C295,0)),"")</f>
        <v/>
      </c>
    </row>
    <row r="297" ht="18" customHeight="1" spans="1:12" x14ac:dyDescent="0.25">
      <c r="A297" s="10" t="s">
        <v>2</v>
      </c>
      <c r="B297" s="10" t="s">
        <v>2</v>
      </c>
      <c r="C297" s="10" t="s">
        <v>2</v>
      </c>
      <c r="D297" s="11" t="str">
        <f>=IF(E297="","",IF(ISNUMBER(FIND("|",E297)),TRIM(LEFT(E297,FIND("|",E297)-1)),IF(ISNUMBER(MATCH(E297,Config!$C$1:$C$311,0)),E297,IFERROR(INDEX(Config!$C$1:$C$311,MATCH(E297,Config!$D$1:$D$311,0)),""))))</f>
        <v/>
      </c>
      <c r="E297" s="12" t="s">
        <v>2</v>
      </c>
      <c r="F297" s="13" t="s">
        <v>2</v>
      </c>
      <c r="G297" s="14" t="str">
        <f>=IF(C297="","",SUMIF($C$17:$C$502,C297,$F$17:$F$502))</f>
        <v/>
      </c>
      <c r="H297" s="14" t="str">
        <f>=IFERROR($B$14/$B$10,"")</f>
        <v/>
      </c>
      <c r="I297" s="15" t="str">
        <f>=IFERROR(G297/H297,"")</f>
        <v/>
      </c>
      <c r="J297" s="16" t="str">
        <f>=IF(F297="","",F297/3600)</f>
        <v/>
      </c>
      <c r="K297" s="11" t="str">
        <f>=IF(L297="","",IF(ISNUMBER(FIND("|",L297)),TRIM(LEFT(L297,FIND("|",L297)-1)),IF(ISNUMBER(MATCH(L297,Config!$F$1:$F$853,0)),L297,IFERROR(INDEX(Config!$F$1:$F$853,MATCH(L297,Config!$G$1:$G$853,0)),""))))</f>
        <v/>
      </c>
      <c r="L297" s="17" t="str">
        <f>=IFERROR(INDEX($L$17:L296,MATCH(C297,$C$17:C296,0)),"")</f>
        <v/>
      </c>
    </row>
    <row r="298" ht="18" customHeight="1" spans="1:12" x14ac:dyDescent="0.25">
      <c r="A298" s="10" t="s">
        <v>2</v>
      </c>
      <c r="B298" s="10" t="s">
        <v>2</v>
      </c>
      <c r="C298" s="10" t="s">
        <v>2</v>
      </c>
      <c r="D298" s="11" t="str">
        <f>=IF(E298="","",IF(ISNUMBER(FIND("|",E298)),TRIM(LEFT(E298,FIND("|",E298)-1)),IF(ISNUMBER(MATCH(E298,Config!$C$1:$C$311,0)),E298,IFERROR(INDEX(Config!$C$1:$C$311,MATCH(E298,Config!$D$1:$D$311,0)),""))))</f>
        <v/>
      </c>
      <c r="E298" s="12" t="s">
        <v>2</v>
      </c>
      <c r="F298" s="13" t="s">
        <v>2</v>
      </c>
      <c r="G298" s="14" t="str">
        <f>=IF(C298="","",SUMIF($C$17:$C$502,C298,$F$17:$F$502))</f>
        <v/>
      </c>
      <c r="H298" s="14" t="str">
        <f>=IFERROR($B$14/$B$10,"")</f>
        <v/>
      </c>
      <c r="I298" s="15" t="str">
        <f>=IFERROR(G298/H298,"")</f>
        <v/>
      </c>
      <c r="J298" s="16" t="str">
        <f>=IF(F298="","",F298/3600)</f>
        <v/>
      </c>
      <c r="K298" s="11" t="str">
        <f>=IF(L298="","",IF(ISNUMBER(FIND("|",L298)),TRIM(LEFT(L298,FIND("|",L298)-1)),IF(ISNUMBER(MATCH(L298,Config!$F$1:$F$853,0)),L298,IFERROR(INDEX(Config!$F$1:$F$853,MATCH(L298,Config!$G$1:$G$853,0)),""))))</f>
        <v/>
      </c>
      <c r="L298" s="17" t="str">
        <f>=IFERROR(INDEX($L$17:L297,MATCH(C298,$C$17:C297,0)),"")</f>
        <v/>
      </c>
    </row>
    <row r="299" ht="18" customHeight="1" spans="1:12" x14ac:dyDescent="0.25">
      <c r="A299" s="10" t="s">
        <v>2</v>
      </c>
      <c r="B299" s="10" t="s">
        <v>2</v>
      </c>
      <c r="C299" s="10" t="s">
        <v>2</v>
      </c>
      <c r="D299" s="11" t="str">
        <f>=IF(E299="","",IF(ISNUMBER(FIND("|",E299)),TRIM(LEFT(E299,FIND("|",E299)-1)),IF(ISNUMBER(MATCH(E299,Config!$C$1:$C$311,0)),E299,IFERROR(INDEX(Config!$C$1:$C$311,MATCH(E299,Config!$D$1:$D$311,0)),""))))</f>
        <v/>
      </c>
      <c r="E299" s="12" t="s">
        <v>2</v>
      </c>
      <c r="F299" s="13" t="s">
        <v>2</v>
      </c>
      <c r="G299" s="14" t="str">
        <f>=IF(C299="","",SUMIF($C$17:$C$502,C299,$F$17:$F$502))</f>
        <v/>
      </c>
      <c r="H299" s="14" t="str">
        <f>=IFERROR($B$14/$B$10,"")</f>
        <v/>
      </c>
      <c r="I299" s="15" t="str">
        <f>=IFERROR(G299/H299,"")</f>
        <v/>
      </c>
      <c r="J299" s="16" t="str">
        <f>=IF(F299="","",F299/3600)</f>
        <v/>
      </c>
      <c r="K299" s="11" t="str">
        <f>=IF(L299="","",IF(ISNUMBER(FIND("|",L299)),TRIM(LEFT(L299,FIND("|",L299)-1)),IF(ISNUMBER(MATCH(L299,Config!$F$1:$F$853,0)),L299,IFERROR(INDEX(Config!$F$1:$F$853,MATCH(L299,Config!$G$1:$G$853,0)),""))))</f>
        <v/>
      </c>
      <c r="L299" s="17" t="str">
        <f>=IFERROR(INDEX($L$17:L298,MATCH(C299,$C$17:C298,0)),"")</f>
        <v/>
      </c>
    </row>
    <row r="300" ht="18" customHeight="1" spans="1:12" x14ac:dyDescent="0.25">
      <c r="A300" s="10" t="s">
        <v>2</v>
      </c>
      <c r="B300" s="10" t="s">
        <v>2</v>
      </c>
      <c r="C300" s="10" t="s">
        <v>2</v>
      </c>
      <c r="D300" s="11" t="str">
        <f>=IF(E300="","",IF(ISNUMBER(FIND("|",E300)),TRIM(LEFT(E300,FIND("|",E300)-1)),IF(ISNUMBER(MATCH(E300,Config!$C$1:$C$311,0)),E300,IFERROR(INDEX(Config!$C$1:$C$311,MATCH(E300,Config!$D$1:$D$311,0)),""))))</f>
        <v/>
      </c>
      <c r="E300" s="12" t="s">
        <v>2</v>
      </c>
      <c r="F300" s="13" t="s">
        <v>2</v>
      </c>
      <c r="G300" s="14" t="str">
        <f>=IF(C300="","",SUMIF($C$17:$C$502,C300,$F$17:$F$502))</f>
        <v/>
      </c>
      <c r="H300" s="14" t="str">
        <f>=IFERROR($B$14/$B$10,"")</f>
        <v/>
      </c>
      <c r="I300" s="15" t="str">
        <f>=IFERROR(G300/H300,"")</f>
        <v/>
      </c>
      <c r="J300" s="16" t="str">
        <f>=IF(F300="","",F300/3600)</f>
        <v/>
      </c>
      <c r="K300" s="11" t="str">
        <f>=IF(L300="","",IF(ISNUMBER(FIND("|",L300)),TRIM(LEFT(L300,FIND("|",L300)-1)),IF(ISNUMBER(MATCH(L300,Config!$F$1:$F$853,0)),L300,IFERROR(INDEX(Config!$F$1:$F$853,MATCH(L300,Config!$G$1:$G$853,0)),""))))</f>
        <v/>
      </c>
      <c r="L300" s="17" t="str">
        <f>=IFERROR(INDEX($L$17:L299,MATCH(C300,$C$17:C299,0)),"")</f>
        <v/>
      </c>
    </row>
    <row r="301" ht="18" customHeight="1" spans="1:12" x14ac:dyDescent="0.25">
      <c r="A301" s="10" t="s">
        <v>2</v>
      </c>
      <c r="B301" s="10" t="s">
        <v>2</v>
      </c>
      <c r="C301" s="10" t="s">
        <v>2</v>
      </c>
      <c r="D301" s="11" t="str">
        <f>=IF(E301="","",IF(ISNUMBER(FIND("|",E301)),TRIM(LEFT(E301,FIND("|",E301)-1)),IF(ISNUMBER(MATCH(E301,Config!$C$1:$C$311,0)),E301,IFERROR(INDEX(Config!$C$1:$C$311,MATCH(E301,Config!$D$1:$D$311,0)),""))))</f>
        <v/>
      </c>
      <c r="E301" s="12" t="s">
        <v>2</v>
      </c>
      <c r="F301" s="13" t="s">
        <v>2</v>
      </c>
      <c r="G301" s="14" t="str">
        <f>=IF(C301="","",SUMIF($C$17:$C$502,C301,$F$17:$F$502))</f>
        <v/>
      </c>
      <c r="H301" s="14" t="str">
        <f>=IFERROR($B$14/$B$10,"")</f>
        <v/>
      </c>
      <c r="I301" s="15" t="str">
        <f>=IFERROR(G301/H301,"")</f>
        <v/>
      </c>
      <c r="J301" s="16" t="str">
        <f>=IF(F301="","",F301/3600)</f>
        <v/>
      </c>
      <c r="K301" s="11" t="str">
        <f>=IF(L301="","",IF(ISNUMBER(FIND("|",L301)),TRIM(LEFT(L301,FIND("|",L301)-1)),IF(ISNUMBER(MATCH(L301,Config!$F$1:$F$853,0)),L301,IFERROR(INDEX(Config!$F$1:$F$853,MATCH(L301,Config!$G$1:$G$853,0)),""))))</f>
        <v/>
      </c>
      <c r="L301" s="17" t="str">
        <f>=IFERROR(INDEX($L$17:L300,MATCH(C301,$C$17:C300,0)),"")</f>
        <v/>
      </c>
    </row>
    <row r="302" ht="18" customHeight="1" spans="1:12" x14ac:dyDescent="0.25">
      <c r="A302" s="10" t="s">
        <v>2</v>
      </c>
      <c r="B302" s="10" t="s">
        <v>2</v>
      </c>
      <c r="C302" s="10" t="s">
        <v>2</v>
      </c>
      <c r="D302" s="11" t="str">
        <f>=IF(E302="","",IF(ISNUMBER(FIND("|",E302)),TRIM(LEFT(E302,FIND("|",E302)-1)),IF(ISNUMBER(MATCH(E302,Config!$C$1:$C$311,0)),E302,IFERROR(INDEX(Config!$C$1:$C$311,MATCH(E302,Config!$D$1:$D$311,0)),""))))</f>
        <v/>
      </c>
      <c r="E302" s="12" t="s">
        <v>2</v>
      </c>
      <c r="F302" s="13" t="s">
        <v>2</v>
      </c>
      <c r="G302" s="14" t="str">
        <f>=IF(C302="","",SUMIF($C$17:$C$502,C302,$F$17:$F$502))</f>
        <v/>
      </c>
      <c r="H302" s="14" t="str">
        <f>=IFERROR($B$14/$B$10,"")</f>
        <v/>
      </c>
      <c r="I302" s="15" t="str">
        <f>=IFERROR(G302/H302,"")</f>
        <v/>
      </c>
      <c r="J302" s="16" t="str">
        <f>=IF(F302="","",F302/3600)</f>
        <v/>
      </c>
      <c r="K302" s="11" t="str">
        <f>=IF(L302="","",IF(ISNUMBER(FIND("|",L302)),TRIM(LEFT(L302,FIND("|",L302)-1)),IF(ISNUMBER(MATCH(L302,Config!$F$1:$F$853,0)),L302,IFERROR(INDEX(Config!$F$1:$F$853,MATCH(L302,Config!$G$1:$G$853,0)),""))))</f>
        <v/>
      </c>
      <c r="L302" s="17" t="str">
        <f>=IFERROR(INDEX($L$17:L301,MATCH(C302,$C$17:C301,0)),"")</f>
        <v/>
      </c>
    </row>
    <row r="303" ht="18" customHeight="1" spans="1:12" x14ac:dyDescent="0.25">
      <c r="A303" s="10" t="s">
        <v>2</v>
      </c>
      <c r="B303" s="10" t="s">
        <v>2</v>
      </c>
      <c r="C303" s="10" t="s">
        <v>2</v>
      </c>
      <c r="D303" s="11" t="str">
        <f>=IF(E303="","",IF(ISNUMBER(FIND("|",E303)),TRIM(LEFT(E303,FIND("|",E303)-1)),IF(ISNUMBER(MATCH(E303,Config!$C$1:$C$311,0)),E303,IFERROR(INDEX(Config!$C$1:$C$311,MATCH(E303,Config!$D$1:$D$311,0)),""))))</f>
        <v/>
      </c>
      <c r="E303" s="12" t="s">
        <v>2</v>
      </c>
      <c r="F303" s="13" t="s">
        <v>2</v>
      </c>
      <c r="G303" s="14" t="str">
        <f>=IF(C303="","",SUMIF($C$17:$C$502,C303,$F$17:$F$502))</f>
        <v/>
      </c>
      <c r="H303" s="14" t="str">
        <f>=IFERROR($B$14/$B$10,"")</f>
        <v/>
      </c>
      <c r="I303" s="15" t="str">
        <f>=IFERROR(G303/H303,"")</f>
        <v/>
      </c>
      <c r="J303" s="16" t="str">
        <f>=IF(F303="","",F303/3600)</f>
        <v/>
      </c>
      <c r="K303" s="11" t="str">
        <f>=IF(L303="","",IF(ISNUMBER(FIND("|",L303)),TRIM(LEFT(L303,FIND("|",L303)-1)),IF(ISNUMBER(MATCH(L303,Config!$F$1:$F$853,0)),L303,IFERROR(INDEX(Config!$F$1:$F$853,MATCH(L303,Config!$G$1:$G$853,0)),""))))</f>
        <v/>
      </c>
      <c r="L303" s="17" t="str">
        <f>=IFERROR(INDEX($L$17:L302,MATCH(C303,$C$17:C302,0)),"")</f>
        <v/>
      </c>
    </row>
    <row r="304" ht="18" customHeight="1" spans="1:12" x14ac:dyDescent="0.25">
      <c r="A304" s="10" t="s">
        <v>2</v>
      </c>
      <c r="B304" s="10" t="s">
        <v>2</v>
      </c>
      <c r="C304" s="10" t="s">
        <v>2</v>
      </c>
      <c r="D304" s="11" t="str">
        <f>=IF(E304="","",IF(ISNUMBER(FIND("|",E304)),TRIM(LEFT(E304,FIND("|",E304)-1)),IF(ISNUMBER(MATCH(E304,Config!$C$1:$C$311,0)),E304,IFERROR(INDEX(Config!$C$1:$C$311,MATCH(E304,Config!$D$1:$D$311,0)),""))))</f>
        <v/>
      </c>
      <c r="E304" s="12" t="s">
        <v>2</v>
      </c>
      <c r="F304" s="13" t="s">
        <v>2</v>
      </c>
      <c r="G304" s="14" t="str">
        <f>=IF(C304="","",SUMIF($C$17:$C$502,C304,$F$17:$F$502))</f>
        <v/>
      </c>
      <c r="H304" s="14" t="str">
        <f>=IFERROR($B$14/$B$10,"")</f>
        <v/>
      </c>
      <c r="I304" s="15" t="str">
        <f>=IFERROR(G304/H304,"")</f>
        <v/>
      </c>
      <c r="J304" s="16" t="str">
        <f>=IF(F304="","",F304/3600)</f>
        <v/>
      </c>
      <c r="K304" s="11" t="str">
        <f>=IF(L304="","",IF(ISNUMBER(FIND("|",L304)),TRIM(LEFT(L304,FIND("|",L304)-1)),IF(ISNUMBER(MATCH(L304,Config!$F$1:$F$853,0)),L304,IFERROR(INDEX(Config!$F$1:$F$853,MATCH(L304,Config!$G$1:$G$853,0)),""))))</f>
        <v/>
      </c>
      <c r="L304" s="17" t="str">
        <f>=IFERROR(INDEX($L$17:L303,MATCH(C304,$C$17:C303,0)),"")</f>
        <v/>
      </c>
    </row>
    <row r="305" ht="18" customHeight="1" spans="1:12" x14ac:dyDescent="0.25">
      <c r="A305" s="10" t="s">
        <v>2</v>
      </c>
      <c r="B305" s="10" t="s">
        <v>2</v>
      </c>
      <c r="C305" s="10" t="s">
        <v>2</v>
      </c>
      <c r="D305" s="11" t="str">
        <f>=IF(E305="","",IF(ISNUMBER(FIND("|",E305)),TRIM(LEFT(E305,FIND("|",E305)-1)),IF(ISNUMBER(MATCH(E305,Config!$C$1:$C$311,0)),E305,IFERROR(INDEX(Config!$C$1:$C$311,MATCH(E305,Config!$D$1:$D$311,0)),""))))</f>
        <v/>
      </c>
      <c r="E305" s="12" t="s">
        <v>2</v>
      </c>
      <c r="F305" s="13" t="s">
        <v>2</v>
      </c>
      <c r="G305" s="14" t="str">
        <f>=IF(C305="","",SUMIF($C$17:$C$502,C305,$F$17:$F$502))</f>
        <v/>
      </c>
      <c r="H305" s="14" t="str">
        <f>=IFERROR($B$14/$B$10,"")</f>
        <v/>
      </c>
      <c r="I305" s="15" t="str">
        <f>=IFERROR(G305/H305,"")</f>
        <v/>
      </c>
      <c r="J305" s="16" t="str">
        <f>=IF(F305="","",F305/3600)</f>
        <v/>
      </c>
      <c r="K305" s="11" t="str">
        <f>=IF(L305="","",IF(ISNUMBER(FIND("|",L305)),TRIM(LEFT(L305,FIND("|",L305)-1)),IF(ISNUMBER(MATCH(L305,Config!$F$1:$F$853,0)),L305,IFERROR(INDEX(Config!$F$1:$F$853,MATCH(L305,Config!$G$1:$G$853,0)),""))))</f>
        <v/>
      </c>
      <c r="L305" s="17" t="str">
        <f>=IFERROR(INDEX($L$17:L304,MATCH(C305,$C$17:C304,0)),"")</f>
        <v/>
      </c>
    </row>
    <row r="306" ht="18" customHeight="1" spans="1:12" x14ac:dyDescent="0.25">
      <c r="A306" s="10" t="s">
        <v>2</v>
      </c>
      <c r="B306" s="10" t="s">
        <v>2</v>
      </c>
      <c r="C306" s="10" t="s">
        <v>2</v>
      </c>
      <c r="D306" s="11" t="str">
        <f>=IF(E306="","",IF(ISNUMBER(FIND("|",E306)),TRIM(LEFT(E306,FIND("|",E306)-1)),IF(ISNUMBER(MATCH(E306,Config!$C$1:$C$311,0)),E306,IFERROR(INDEX(Config!$C$1:$C$311,MATCH(E306,Config!$D$1:$D$311,0)),""))))</f>
        <v/>
      </c>
      <c r="E306" s="12" t="s">
        <v>2</v>
      </c>
      <c r="F306" s="13" t="s">
        <v>2</v>
      </c>
      <c r="G306" s="14" t="str">
        <f>=IF(C306="","",SUMIF($C$17:$C$502,C306,$F$17:$F$502))</f>
        <v/>
      </c>
      <c r="H306" s="14" t="str">
        <f>=IFERROR($B$14/$B$10,"")</f>
        <v/>
      </c>
      <c r="I306" s="15" t="str">
        <f>=IFERROR(G306/H306,"")</f>
        <v/>
      </c>
      <c r="J306" s="16" t="str">
        <f>=IF(F306="","",F306/3600)</f>
        <v/>
      </c>
      <c r="K306" s="11" t="str">
        <f>=IF(L306="","",IF(ISNUMBER(FIND("|",L306)),TRIM(LEFT(L306,FIND("|",L306)-1)),IF(ISNUMBER(MATCH(L306,Config!$F$1:$F$853,0)),L306,IFERROR(INDEX(Config!$F$1:$F$853,MATCH(L306,Config!$G$1:$G$853,0)),""))))</f>
        <v/>
      </c>
      <c r="L306" s="17" t="str">
        <f>=IFERROR(INDEX($L$17:L305,MATCH(C306,$C$17:C305,0)),"")</f>
        <v/>
      </c>
    </row>
    <row r="307" ht="18" customHeight="1" spans="1:12" x14ac:dyDescent="0.25">
      <c r="A307" s="10" t="s">
        <v>2</v>
      </c>
      <c r="B307" s="10" t="s">
        <v>2</v>
      </c>
      <c r="C307" s="10" t="s">
        <v>2</v>
      </c>
      <c r="D307" s="11" t="str">
        <f>=IF(E307="","",IF(ISNUMBER(FIND("|",E307)),TRIM(LEFT(E307,FIND("|",E307)-1)),IF(ISNUMBER(MATCH(E307,Config!$C$1:$C$311,0)),E307,IFERROR(INDEX(Config!$C$1:$C$311,MATCH(E307,Config!$D$1:$D$311,0)),""))))</f>
        <v/>
      </c>
      <c r="E307" s="12" t="s">
        <v>2</v>
      </c>
      <c r="F307" s="13" t="s">
        <v>2</v>
      </c>
      <c r="G307" s="14" t="str">
        <f>=IF(C307="","",SUMIF($C$17:$C$502,C307,$F$17:$F$502))</f>
        <v/>
      </c>
      <c r="H307" s="14" t="str">
        <f>=IFERROR($B$14/$B$10,"")</f>
        <v/>
      </c>
      <c r="I307" s="15" t="str">
        <f>=IFERROR(G307/H307,"")</f>
        <v/>
      </c>
      <c r="J307" s="16" t="str">
        <f>=IF(F307="","",F307/3600)</f>
        <v/>
      </c>
      <c r="K307" s="11" t="str">
        <f>=IF(L307="","",IF(ISNUMBER(FIND("|",L307)),TRIM(LEFT(L307,FIND("|",L307)-1)),IF(ISNUMBER(MATCH(L307,Config!$F$1:$F$853,0)),L307,IFERROR(INDEX(Config!$F$1:$F$853,MATCH(L307,Config!$G$1:$G$853,0)),""))))</f>
        <v/>
      </c>
      <c r="L307" s="17" t="str">
        <f>=IFERROR(INDEX($L$17:L306,MATCH(C307,$C$17:C306,0)),"")</f>
        <v/>
      </c>
    </row>
    <row r="308" ht="18" customHeight="1" spans="1:12" x14ac:dyDescent="0.25">
      <c r="A308" s="10" t="s">
        <v>2</v>
      </c>
      <c r="B308" s="10" t="s">
        <v>2</v>
      </c>
      <c r="C308" s="10" t="s">
        <v>2</v>
      </c>
      <c r="D308" s="11" t="str">
        <f>=IF(E308="","",IF(ISNUMBER(FIND("|",E308)),TRIM(LEFT(E308,FIND("|",E308)-1)),IF(ISNUMBER(MATCH(E308,Config!$C$1:$C$311,0)),E308,IFERROR(INDEX(Config!$C$1:$C$311,MATCH(E308,Config!$D$1:$D$311,0)),""))))</f>
        <v/>
      </c>
      <c r="E308" s="12" t="s">
        <v>2</v>
      </c>
      <c r="F308" s="13" t="s">
        <v>2</v>
      </c>
      <c r="G308" s="14" t="str">
        <f>=IF(C308="","",SUMIF($C$17:$C$502,C308,$F$17:$F$502))</f>
        <v/>
      </c>
      <c r="H308" s="14" t="str">
        <f>=IFERROR($B$14/$B$10,"")</f>
        <v/>
      </c>
      <c r="I308" s="15" t="str">
        <f>=IFERROR(G308/H308,"")</f>
        <v/>
      </c>
      <c r="J308" s="16" t="str">
        <f>=IF(F308="","",F308/3600)</f>
        <v/>
      </c>
      <c r="K308" s="11" t="str">
        <f>=IF(L308="","",IF(ISNUMBER(FIND("|",L308)),TRIM(LEFT(L308,FIND("|",L308)-1)),IF(ISNUMBER(MATCH(L308,Config!$F$1:$F$853,0)),L308,IFERROR(INDEX(Config!$F$1:$F$853,MATCH(L308,Config!$G$1:$G$853,0)),""))))</f>
        <v/>
      </c>
      <c r="L308" s="17" t="str">
        <f>=IFERROR(INDEX($L$17:L307,MATCH(C308,$C$17:C307,0)),"")</f>
        <v/>
      </c>
    </row>
    <row r="309" ht="18" customHeight="1" spans="1:12" x14ac:dyDescent="0.25">
      <c r="A309" s="10" t="s">
        <v>2</v>
      </c>
      <c r="B309" s="10" t="s">
        <v>2</v>
      </c>
      <c r="C309" s="10" t="s">
        <v>2</v>
      </c>
      <c r="D309" s="11" t="str">
        <f>=IF(E309="","",IF(ISNUMBER(FIND("|",E309)),TRIM(LEFT(E309,FIND("|",E309)-1)),IF(ISNUMBER(MATCH(E309,Config!$C$1:$C$311,0)),E309,IFERROR(INDEX(Config!$C$1:$C$311,MATCH(E309,Config!$D$1:$D$311,0)),""))))</f>
        <v/>
      </c>
      <c r="E309" s="12" t="s">
        <v>2</v>
      </c>
      <c r="F309" s="13" t="s">
        <v>2</v>
      </c>
      <c r="G309" s="14" t="str">
        <f>=IF(C309="","",SUMIF($C$17:$C$502,C309,$F$17:$F$502))</f>
        <v/>
      </c>
      <c r="H309" s="14" t="str">
        <f>=IFERROR($B$14/$B$10,"")</f>
        <v/>
      </c>
      <c r="I309" s="15" t="str">
        <f>=IFERROR(G309/H309,"")</f>
        <v/>
      </c>
      <c r="J309" s="16" t="str">
        <f>=IF(F309="","",F309/3600)</f>
        <v/>
      </c>
      <c r="K309" s="11" t="str">
        <f>=IF(L309="","",IF(ISNUMBER(FIND("|",L309)),TRIM(LEFT(L309,FIND("|",L309)-1)),IF(ISNUMBER(MATCH(L309,Config!$F$1:$F$853,0)),L309,IFERROR(INDEX(Config!$F$1:$F$853,MATCH(L309,Config!$G$1:$G$853,0)),""))))</f>
        <v/>
      </c>
      <c r="L309" s="17" t="str">
        <f>=IFERROR(INDEX($L$17:L308,MATCH(C309,$C$17:C308,0)),"")</f>
        <v/>
      </c>
    </row>
    <row r="310" ht="18" customHeight="1" spans="1:12" x14ac:dyDescent="0.25">
      <c r="A310" s="10" t="s">
        <v>2</v>
      </c>
      <c r="B310" s="10" t="s">
        <v>2</v>
      </c>
      <c r="C310" s="10" t="s">
        <v>2</v>
      </c>
      <c r="D310" s="11" t="str">
        <f>=IF(E310="","",IF(ISNUMBER(FIND("|",E310)),TRIM(LEFT(E310,FIND("|",E310)-1)),IF(ISNUMBER(MATCH(E310,Config!$C$1:$C$311,0)),E310,IFERROR(INDEX(Config!$C$1:$C$311,MATCH(E310,Config!$D$1:$D$311,0)),""))))</f>
        <v/>
      </c>
      <c r="E310" s="12" t="s">
        <v>2</v>
      </c>
      <c r="F310" s="13" t="s">
        <v>2</v>
      </c>
      <c r="G310" s="14" t="str">
        <f>=IF(C310="","",SUMIF($C$17:$C$502,C310,$F$17:$F$502))</f>
        <v/>
      </c>
      <c r="H310" s="14" t="str">
        <f>=IFERROR($B$14/$B$10,"")</f>
        <v/>
      </c>
      <c r="I310" s="15" t="str">
        <f>=IFERROR(G310/H310,"")</f>
        <v/>
      </c>
      <c r="J310" s="16" t="str">
        <f>=IF(F310="","",F310/3600)</f>
        <v/>
      </c>
      <c r="K310" s="11" t="str">
        <f>=IF(L310="","",IF(ISNUMBER(FIND("|",L310)),TRIM(LEFT(L310,FIND("|",L310)-1)),IF(ISNUMBER(MATCH(L310,Config!$F$1:$F$853,0)),L310,IFERROR(INDEX(Config!$F$1:$F$853,MATCH(L310,Config!$G$1:$G$853,0)),""))))</f>
        <v/>
      </c>
      <c r="L310" s="17" t="str">
        <f>=IFERROR(INDEX($L$17:L309,MATCH(C310,$C$17:C309,0)),"")</f>
        <v/>
      </c>
    </row>
    <row r="311" ht="18" customHeight="1" spans="1:12" x14ac:dyDescent="0.25">
      <c r="A311" s="10" t="s">
        <v>2</v>
      </c>
      <c r="B311" s="10" t="s">
        <v>2</v>
      </c>
      <c r="C311" s="10" t="s">
        <v>2</v>
      </c>
      <c r="D311" s="11" t="str">
        <f>=IF(E311="","",IF(ISNUMBER(FIND("|",E311)),TRIM(LEFT(E311,FIND("|",E311)-1)),IF(ISNUMBER(MATCH(E311,Config!$C$1:$C$311,0)),E311,IFERROR(INDEX(Config!$C$1:$C$311,MATCH(E311,Config!$D$1:$D$311,0)),""))))</f>
        <v/>
      </c>
      <c r="E311" s="12" t="s">
        <v>2</v>
      </c>
      <c r="F311" s="13" t="s">
        <v>2</v>
      </c>
      <c r="G311" s="14" t="str">
        <f>=IF(C311="","",SUMIF($C$17:$C$502,C311,$F$17:$F$502))</f>
        <v/>
      </c>
      <c r="H311" s="14" t="str">
        <f>=IFERROR($B$14/$B$10,"")</f>
        <v/>
      </c>
      <c r="I311" s="15" t="str">
        <f>=IFERROR(G311/H311,"")</f>
        <v/>
      </c>
      <c r="J311" s="16" t="str">
        <f>=IF(F311="","",F311/3600)</f>
        <v/>
      </c>
      <c r="K311" s="11" t="str">
        <f>=IF(L311="","",IF(ISNUMBER(FIND("|",L311)),TRIM(LEFT(L311,FIND("|",L311)-1)),IF(ISNUMBER(MATCH(L311,Config!$F$1:$F$853,0)),L311,IFERROR(INDEX(Config!$F$1:$F$853,MATCH(L311,Config!$G$1:$G$853,0)),""))))</f>
        <v/>
      </c>
      <c r="L311" s="17" t="str">
        <f>=IFERROR(INDEX($L$17:L310,MATCH(C311,$C$17:C310,0)),"")</f>
        <v/>
      </c>
    </row>
    <row r="312" ht="18" customHeight="1" spans="1:12" x14ac:dyDescent="0.25">
      <c r="A312" s="10" t="s">
        <v>2</v>
      </c>
      <c r="B312" s="10" t="s">
        <v>2</v>
      </c>
      <c r="C312" s="10" t="s">
        <v>2</v>
      </c>
      <c r="D312" s="11" t="str">
        <f>=IF(E312="","",IF(ISNUMBER(FIND("|",E312)),TRIM(LEFT(E312,FIND("|",E312)-1)),IF(ISNUMBER(MATCH(E312,Config!$C$1:$C$311,0)),E312,IFERROR(INDEX(Config!$C$1:$C$311,MATCH(E312,Config!$D$1:$D$311,0)),""))))</f>
        <v/>
      </c>
      <c r="E312" s="12" t="s">
        <v>2</v>
      </c>
      <c r="F312" s="13" t="s">
        <v>2</v>
      </c>
      <c r="G312" s="14" t="str">
        <f>=IF(C312="","",SUMIF($C$17:$C$502,C312,$F$17:$F$502))</f>
        <v/>
      </c>
      <c r="H312" s="14" t="str">
        <f>=IFERROR($B$14/$B$10,"")</f>
        <v/>
      </c>
      <c r="I312" s="15" t="str">
        <f>=IFERROR(G312/H312,"")</f>
        <v/>
      </c>
      <c r="J312" s="16" t="str">
        <f>=IF(F312="","",F312/3600)</f>
        <v/>
      </c>
      <c r="K312" s="11" t="str">
        <f>=IF(L312="","",IF(ISNUMBER(FIND("|",L312)),TRIM(LEFT(L312,FIND("|",L312)-1)),IF(ISNUMBER(MATCH(L312,Config!$F$1:$F$853,0)),L312,IFERROR(INDEX(Config!$F$1:$F$853,MATCH(L312,Config!$G$1:$G$853,0)),""))))</f>
        <v/>
      </c>
      <c r="L312" s="17" t="str">
        <f>=IFERROR(INDEX($L$17:L311,MATCH(C312,$C$17:C311,0)),"")</f>
        <v/>
      </c>
    </row>
    <row r="313" ht="18" customHeight="1" spans="1:12" x14ac:dyDescent="0.25">
      <c r="A313" s="10" t="s">
        <v>2</v>
      </c>
      <c r="B313" s="10" t="s">
        <v>2</v>
      </c>
      <c r="C313" s="10" t="s">
        <v>2</v>
      </c>
      <c r="D313" s="11" t="str">
        <f>=IF(E313="","",IF(ISNUMBER(FIND("|",E313)),TRIM(LEFT(E313,FIND("|",E313)-1)),IF(ISNUMBER(MATCH(E313,Config!$C$1:$C$311,0)),E313,IFERROR(INDEX(Config!$C$1:$C$311,MATCH(E313,Config!$D$1:$D$311,0)),""))))</f>
        <v/>
      </c>
      <c r="E313" s="12" t="s">
        <v>2</v>
      </c>
      <c r="F313" s="13" t="s">
        <v>2</v>
      </c>
      <c r="G313" s="14" t="str">
        <f>=IF(C313="","",SUMIF($C$17:$C$502,C313,$F$17:$F$502))</f>
        <v/>
      </c>
      <c r="H313" s="14" t="str">
        <f>=IFERROR($B$14/$B$10,"")</f>
        <v/>
      </c>
      <c r="I313" s="15" t="str">
        <f>=IFERROR(G313/H313,"")</f>
        <v/>
      </c>
      <c r="J313" s="16" t="str">
        <f>=IF(F313="","",F313/3600)</f>
        <v/>
      </c>
      <c r="K313" s="11" t="str">
        <f>=IF(L313="","",IF(ISNUMBER(FIND("|",L313)),TRIM(LEFT(L313,FIND("|",L313)-1)),IF(ISNUMBER(MATCH(L313,Config!$F$1:$F$853,0)),L313,IFERROR(INDEX(Config!$F$1:$F$853,MATCH(L313,Config!$G$1:$G$853,0)),""))))</f>
        <v/>
      </c>
      <c r="L313" s="17" t="str">
        <f>=IFERROR(INDEX($L$17:L312,MATCH(C313,$C$17:C312,0)),"")</f>
        <v/>
      </c>
    </row>
    <row r="314" ht="18" customHeight="1" spans="1:12" x14ac:dyDescent="0.25">
      <c r="A314" s="10" t="s">
        <v>2</v>
      </c>
      <c r="B314" s="10" t="s">
        <v>2</v>
      </c>
      <c r="C314" s="10" t="s">
        <v>2</v>
      </c>
      <c r="D314" s="11" t="str">
        <f>=IF(E314="","",IF(ISNUMBER(FIND("|",E314)),TRIM(LEFT(E314,FIND("|",E314)-1)),IF(ISNUMBER(MATCH(E314,Config!$C$1:$C$311,0)),E314,IFERROR(INDEX(Config!$C$1:$C$311,MATCH(E314,Config!$D$1:$D$311,0)),""))))</f>
        <v/>
      </c>
      <c r="E314" s="12" t="s">
        <v>2</v>
      </c>
      <c r="F314" s="13" t="s">
        <v>2</v>
      </c>
      <c r="G314" s="14" t="str">
        <f>=IF(C314="","",SUMIF($C$17:$C$502,C314,$F$17:$F$502))</f>
        <v/>
      </c>
      <c r="H314" s="14" t="str">
        <f>=IFERROR($B$14/$B$10,"")</f>
        <v/>
      </c>
      <c r="I314" s="15" t="str">
        <f>=IFERROR(G314/H314,"")</f>
        <v/>
      </c>
      <c r="J314" s="16" t="str">
        <f>=IF(F314="","",F314/3600)</f>
        <v/>
      </c>
      <c r="K314" s="11" t="str">
        <f>=IF(L314="","",IF(ISNUMBER(FIND("|",L314)),TRIM(LEFT(L314,FIND("|",L314)-1)),IF(ISNUMBER(MATCH(L314,Config!$F$1:$F$853,0)),L314,IFERROR(INDEX(Config!$F$1:$F$853,MATCH(L314,Config!$G$1:$G$853,0)),""))))</f>
        <v/>
      </c>
      <c r="L314" s="17" t="str">
        <f>=IFERROR(INDEX($L$17:L313,MATCH(C314,$C$17:C313,0)),"")</f>
        <v/>
      </c>
    </row>
    <row r="315" ht="18" customHeight="1" spans="1:12" x14ac:dyDescent="0.25">
      <c r="A315" s="10" t="s">
        <v>2</v>
      </c>
      <c r="B315" s="10" t="s">
        <v>2</v>
      </c>
      <c r="C315" s="10" t="s">
        <v>2</v>
      </c>
      <c r="D315" s="11" t="str">
        <f>=IF(E315="","",IF(ISNUMBER(FIND("|",E315)),TRIM(LEFT(E315,FIND("|",E315)-1)),IF(ISNUMBER(MATCH(E315,Config!$C$1:$C$311,0)),E315,IFERROR(INDEX(Config!$C$1:$C$311,MATCH(E315,Config!$D$1:$D$311,0)),""))))</f>
        <v/>
      </c>
      <c r="E315" s="12" t="s">
        <v>2</v>
      </c>
      <c r="F315" s="13" t="s">
        <v>2</v>
      </c>
      <c r="G315" s="14" t="str">
        <f>=IF(C315="","",SUMIF($C$17:$C$502,C315,$F$17:$F$502))</f>
        <v/>
      </c>
      <c r="H315" s="14" t="str">
        <f>=IFERROR($B$14/$B$10,"")</f>
        <v/>
      </c>
      <c r="I315" s="15" t="str">
        <f>=IFERROR(G315/H315,"")</f>
        <v/>
      </c>
      <c r="J315" s="16" t="str">
        <f>=IF(F315="","",F315/3600)</f>
        <v/>
      </c>
      <c r="K315" s="11" t="str">
        <f>=IF(L315="","",IF(ISNUMBER(FIND("|",L315)),TRIM(LEFT(L315,FIND("|",L315)-1)),IF(ISNUMBER(MATCH(L315,Config!$F$1:$F$853,0)),L315,IFERROR(INDEX(Config!$F$1:$F$853,MATCH(L315,Config!$G$1:$G$853,0)),""))))</f>
        <v/>
      </c>
      <c r="L315" s="17" t="str">
        <f>=IFERROR(INDEX($L$17:L314,MATCH(C315,$C$17:C314,0)),"")</f>
        <v/>
      </c>
    </row>
    <row r="316" ht="18" customHeight="1" spans="1:12" x14ac:dyDescent="0.25">
      <c r="A316" s="10" t="s">
        <v>2</v>
      </c>
      <c r="B316" s="10" t="s">
        <v>2</v>
      </c>
      <c r="C316" s="10" t="s">
        <v>2</v>
      </c>
      <c r="D316" s="11" t="str">
        <f>=IF(E316="","",IF(ISNUMBER(FIND("|",E316)),TRIM(LEFT(E316,FIND("|",E316)-1)),IF(ISNUMBER(MATCH(E316,Config!$C$1:$C$311,0)),E316,IFERROR(INDEX(Config!$C$1:$C$311,MATCH(E316,Config!$D$1:$D$311,0)),""))))</f>
        <v/>
      </c>
      <c r="E316" s="12" t="s">
        <v>2</v>
      </c>
      <c r="F316" s="13" t="s">
        <v>2</v>
      </c>
      <c r="G316" s="14" t="str">
        <f>=IF(C316="","",SUMIF($C$17:$C$502,C316,$F$17:$F$502))</f>
        <v/>
      </c>
      <c r="H316" s="14" t="str">
        <f>=IFERROR($B$14/$B$10,"")</f>
        <v/>
      </c>
      <c r="I316" s="15" t="str">
        <f>=IFERROR(G316/H316,"")</f>
        <v/>
      </c>
      <c r="J316" s="16" t="str">
        <f>=IF(F316="","",F316/3600)</f>
        <v/>
      </c>
      <c r="K316" s="11" t="str">
        <f>=IF(L316="","",IF(ISNUMBER(FIND("|",L316)),TRIM(LEFT(L316,FIND("|",L316)-1)),IF(ISNUMBER(MATCH(L316,Config!$F$1:$F$853,0)),L316,IFERROR(INDEX(Config!$F$1:$F$853,MATCH(L316,Config!$G$1:$G$853,0)),""))))</f>
        <v/>
      </c>
      <c r="L316" s="17" t="str">
        <f>=IFERROR(INDEX($L$17:L315,MATCH(C316,$C$17:C315,0)),"")</f>
        <v/>
      </c>
    </row>
    <row r="317" ht="18" customHeight="1" spans="1:12" x14ac:dyDescent="0.25">
      <c r="A317" s="10" t="s">
        <v>2</v>
      </c>
      <c r="B317" s="10" t="s">
        <v>2</v>
      </c>
      <c r="C317" s="10" t="s">
        <v>2</v>
      </c>
      <c r="D317" s="11" t="str">
        <f>=IF(E317="","",IF(ISNUMBER(FIND("|",E317)),TRIM(LEFT(E317,FIND("|",E317)-1)),IF(ISNUMBER(MATCH(E317,Config!$C$1:$C$311,0)),E317,IFERROR(INDEX(Config!$C$1:$C$311,MATCH(E317,Config!$D$1:$D$311,0)),""))))</f>
        <v/>
      </c>
      <c r="E317" s="12" t="s">
        <v>2</v>
      </c>
      <c r="F317" s="13" t="s">
        <v>2</v>
      </c>
      <c r="G317" s="14" t="str">
        <f>=IF(C317="","",SUMIF($C$17:$C$502,C317,$F$17:$F$502))</f>
        <v/>
      </c>
      <c r="H317" s="14" t="str">
        <f>=IFERROR($B$14/$B$10,"")</f>
        <v/>
      </c>
      <c r="I317" s="15" t="str">
        <f>=IFERROR(G317/H317,"")</f>
        <v/>
      </c>
      <c r="J317" s="16" t="str">
        <f>=IF(F317="","",F317/3600)</f>
        <v/>
      </c>
      <c r="K317" s="11" t="str">
        <f>=IF(L317="","",IF(ISNUMBER(FIND("|",L317)),TRIM(LEFT(L317,FIND("|",L317)-1)),IF(ISNUMBER(MATCH(L317,Config!$F$1:$F$853,0)),L317,IFERROR(INDEX(Config!$F$1:$F$853,MATCH(L317,Config!$G$1:$G$853,0)),""))))</f>
        <v/>
      </c>
      <c r="L317" s="17" t="str">
        <f>=IFERROR(INDEX($L$17:L316,MATCH(C317,$C$17:C316,0)),"")</f>
        <v/>
      </c>
    </row>
    <row r="318" ht="18" customHeight="1" spans="1:12" x14ac:dyDescent="0.25">
      <c r="A318" s="10" t="s">
        <v>2</v>
      </c>
      <c r="B318" s="10" t="s">
        <v>2</v>
      </c>
      <c r="C318" s="10" t="s">
        <v>2</v>
      </c>
      <c r="D318" s="11" t="str">
        <f>=IF(E318="","",IF(ISNUMBER(FIND("|",E318)),TRIM(LEFT(E318,FIND("|",E318)-1)),IF(ISNUMBER(MATCH(E318,Config!$C$1:$C$311,0)),E318,IFERROR(INDEX(Config!$C$1:$C$311,MATCH(E318,Config!$D$1:$D$311,0)),""))))</f>
        <v/>
      </c>
      <c r="E318" s="12" t="s">
        <v>2</v>
      </c>
      <c r="F318" s="13" t="s">
        <v>2</v>
      </c>
      <c r="G318" s="14" t="str">
        <f>=IF(C318="","",SUMIF($C$17:$C$502,C318,$F$17:$F$502))</f>
        <v/>
      </c>
      <c r="H318" s="14" t="str">
        <f>=IFERROR($B$14/$B$10,"")</f>
        <v/>
      </c>
      <c r="I318" s="15" t="str">
        <f>=IFERROR(G318/H318,"")</f>
        <v/>
      </c>
      <c r="J318" s="16" t="str">
        <f>=IF(F318="","",F318/3600)</f>
        <v/>
      </c>
      <c r="K318" s="11" t="str">
        <f>=IF(L318="","",IF(ISNUMBER(FIND("|",L318)),TRIM(LEFT(L318,FIND("|",L318)-1)),IF(ISNUMBER(MATCH(L318,Config!$F$1:$F$853,0)),L318,IFERROR(INDEX(Config!$F$1:$F$853,MATCH(L318,Config!$G$1:$G$853,0)),""))))</f>
        <v/>
      </c>
      <c r="L318" s="17" t="str">
        <f>=IFERROR(INDEX($L$17:L317,MATCH(C318,$C$17:C317,0)),"")</f>
        <v/>
      </c>
    </row>
    <row r="319" ht="18" customHeight="1" spans="1:12" x14ac:dyDescent="0.25">
      <c r="A319" s="10" t="s">
        <v>2</v>
      </c>
      <c r="B319" s="10" t="s">
        <v>2</v>
      </c>
      <c r="C319" s="10" t="s">
        <v>2</v>
      </c>
      <c r="D319" s="11" t="str">
        <f>=IF(E319="","",IF(ISNUMBER(FIND("|",E319)),TRIM(LEFT(E319,FIND("|",E319)-1)),IF(ISNUMBER(MATCH(E319,Config!$C$1:$C$311,0)),E319,IFERROR(INDEX(Config!$C$1:$C$311,MATCH(E319,Config!$D$1:$D$311,0)),""))))</f>
        <v/>
      </c>
      <c r="E319" s="12" t="s">
        <v>2</v>
      </c>
      <c r="F319" s="13" t="s">
        <v>2</v>
      </c>
      <c r="G319" s="14" t="str">
        <f>=IF(C319="","",SUMIF($C$17:$C$502,C319,$F$17:$F$502))</f>
        <v/>
      </c>
      <c r="H319" s="14" t="str">
        <f>=IFERROR($B$14/$B$10,"")</f>
        <v/>
      </c>
      <c r="I319" s="15" t="str">
        <f>=IFERROR(G319/H319,"")</f>
        <v/>
      </c>
      <c r="J319" s="16" t="str">
        <f>=IF(F319="","",F319/3600)</f>
        <v/>
      </c>
      <c r="K319" s="11" t="str">
        <f>=IF(L319="","",IF(ISNUMBER(FIND("|",L319)),TRIM(LEFT(L319,FIND("|",L319)-1)),IF(ISNUMBER(MATCH(L319,Config!$F$1:$F$853,0)),L319,IFERROR(INDEX(Config!$F$1:$F$853,MATCH(L319,Config!$G$1:$G$853,0)),""))))</f>
        <v/>
      </c>
      <c r="L319" s="17" t="str">
        <f>=IFERROR(INDEX($L$17:L318,MATCH(C319,$C$17:C318,0)),"")</f>
        <v/>
      </c>
    </row>
    <row r="320" ht="18" customHeight="1" spans="1:12" x14ac:dyDescent="0.25">
      <c r="A320" s="10" t="s">
        <v>2</v>
      </c>
      <c r="B320" s="10" t="s">
        <v>2</v>
      </c>
      <c r="C320" s="10" t="s">
        <v>2</v>
      </c>
      <c r="D320" s="11" t="str">
        <f>=IF(E320="","",IF(ISNUMBER(FIND("|",E320)),TRIM(LEFT(E320,FIND("|",E320)-1)),IF(ISNUMBER(MATCH(E320,Config!$C$1:$C$311,0)),E320,IFERROR(INDEX(Config!$C$1:$C$311,MATCH(E320,Config!$D$1:$D$311,0)),""))))</f>
        <v/>
      </c>
      <c r="E320" s="12" t="s">
        <v>2</v>
      </c>
      <c r="F320" s="13" t="s">
        <v>2</v>
      </c>
      <c r="G320" s="14" t="str">
        <f>=IF(C320="","",SUMIF($C$17:$C$502,C320,$F$17:$F$502))</f>
        <v/>
      </c>
      <c r="H320" s="14" t="str">
        <f>=IFERROR($B$14/$B$10,"")</f>
        <v/>
      </c>
      <c r="I320" s="15" t="str">
        <f>=IFERROR(G320/H320,"")</f>
        <v/>
      </c>
      <c r="J320" s="16" t="str">
        <f>=IF(F320="","",F320/3600)</f>
        <v/>
      </c>
      <c r="K320" s="11" t="str">
        <f>=IF(L320="","",IF(ISNUMBER(FIND("|",L320)),TRIM(LEFT(L320,FIND("|",L320)-1)),IF(ISNUMBER(MATCH(L320,Config!$F$1:$F$853,0)),L320,IFERROR(INDEX(Config!$F$1:$F$853,MATCH(L320,Config!$G$1:$G$853,0)),""))))</f>
        <v/>
      </c>
      <c r="L320" s="17" t="str">
        <f>=IFERROR(INDEX($L$17:L319,MATCH(C320,$C$17:C319,0)),"")</f>
        <v/>
      </c>
    </row>
    <row r="321" ht="18" customHeight="1" spans="1:12" x14ac:dyDescent="0.25">
      <c r="A321" s="10" t="s">
        <v>2</v>
      </c>
      <c r="B321" s="10" t="s">
        <v>2</v>
      </c>
      <c r="C321" s="10" t="s">
        <v>2</v>
      </c>
      <c r="D321" s="11" t="str">
        <f>=IF(E321="","",IF(ISNUMBER(FIND("|",E321)),TRIM(LEFT(E321,FIND("|",E321)-1)),IF(ISNUMBER(MATCH(E321,Config!$C$1:$C$311,0)),E321,IFERROR(INDEX(Config!$C$1:$C$311,MATCH(E321,Config!$D$1:$D$311,0)),""))))</f>
        <v/>
      </c>
      <c r="E321" s="12" t="s">
        <v>2</v>
      </c>
      <c r="F321" s="13" t="s">
        <v>2</v>
      </c>
      <c r="G321" s="14" t="str">
        <f>=IF(C321="","",SUMIF($C$17:$C$502,C321,$F$17:$F$502))</f>
        <v/>
      </c>
      <c r="H321" s="14" t="str">
        <f>=IFERROR($B$14/$B$10,"")</f>
        <v/>
      </c>
      <c r="I321" s="15" t="str">
        <f>=IFERROR(G321/H321,"")</f>
        <v/>
      </c>
      <c r="J321" s="16" t="str">
        <f>=IF(F321="","",F321/3600)</f>
        <v/>
      </c>
      <c r="K321" s="11" t="str">
        <f>=IF(L321="","",IF(ISNUMBER(FIND("|",L321)),TRIM(LEFT(L321,FIND("|",L321)-1)),IF(ISNUMBER(MATCH(L321,Config!$F$1:$F$853,0)),L321,IFERROR(INDEX(Config!$F$1:$F$853,MATCH(L321,Config!$G$1:$G$853,0)),""))))</f>
        <v/>
      </c>
      <c r="L321" s="17" t="str">
        <f>=IFERROR(INDEX($L$17:L320,MATCH(C321,$C$17:C320,0)),"")</f>
        <v/>
      </c>
    </row>
    <row r="322" ht="18" customHeight="1" spans="1:12" x14ac:dyDescent="0.25">
      <c r="A322" s="10" t="s">
        <v>2</v>
      </c>
      <c r="B322" s="10" t="s">
        <v>2</v>
      </c>
      <c r="C322" s="10" t="s">
        <v>2</v>
      </c>
      <c r="D322" s="11" t="str">
        <f>=IF(E322="","",IF(ISNUMBER(FIND("|",E322)),TRIM(LEFT(E322,FIND("|",E322)-1)),IF(ISNUMBER(MATCH(E322,Config!$C$1:$C$311,0)),E322,IFERROR(INDEX(Config!$C$1:$C$311,MATCH(E322,Config!$D$1:$D$311,0)),""))))</f>
        <v/>
      </c>
      <c r="E322" s="12" t="s">
        <v>2</v>
      </c>
      <c r="F322" s="13" t="s">
        <v>2</v>
      </c>
      <c r="G322" s="14" t="str">
        <f>=IF(C322="","",SUMIF($C$17:$C$502,C322,$F$17:$F$502))</f>
        <v/>
      </c>
      <c r="H322" s="14" t="str">
        <f>=IFERROR($B$14/$B$10,"")</f>
        <v/>
      </c>
      <c r="I322" s="15" t="str">
        <f>=IFERROR(G322/H322,"")</f>
        <v/>
      </c>
      <c r="J322" s="16" t="str">
        <f>=IF(F322="","",F322/3600)</f>
        <v/>
      </c>
      <c r="K322" s="11" t="str">
        <f>=IF(L322="","",IF(ISNUMBER(FIND("|",L322)),TRIM(LEFT(L322,FIND("|",L322)-1)),IF(ISNUMBER(MATCH(L322,Config!$F$1:$F$853,0)),L322,IFERROR(INDEX(Config!$F$1:$F$853,MATCH(L322,Config!$G$1:$G$853,0)),""))))</f>
        <v/>
      </c>
      <c r="L322" s="17" t="str">
        <f>=IFERROR(INDEX($L$17:L321,MATCH(C322,$C$17:C321,0)),"")</f>
        <v/>
      </c>
    </row>
    <row r="323" ht="18" customHeight="1" spans="1:12" x14ac:dyDescent="0.25">
      <c r="A323" s="10" t="s">
        <v>2</v>
      </c>
      <c r="B323" s="10" t="s">
        <v>2</v>
      </c>
      <c r="C323" s="10" t="s">
        <v>2</v>
      </c>
      <c r="D323" s="11" t="str">
        <f>=IF(E323="","",IF(ISNUMBER(FIND("|",E323)),TRIM(LEFT(E323,FIND("|",E323)-1)),IF(ISNUMBER(MATCH(E323,Config!$C$1:$C$311,0)),E323,IFERROR(INDEX(Config!$C$1:$C$311,MATCH(E323,Config!$D$1:$D$311,0)),""))))</f>
        <v/>
      </c>
      <c r="E323" s="12" t="s">
        <v>2</v>
      </c>
      <c r="F323" s="13" t="s">
        <v>2</v>
      </c>
      <c r="G323" s="14" t="str">
        <f>=IF(C323="","",SUMIF($C$17:$C$502,C323,$F$17:$F$502))</f>
        <v/>
      </c>
      <c r="H323" s="14" t="str">
        <f>=IFERROR($B$14/$B$10,"")</f>
        <v/>
      </c>
      <c r="I323" s="15" t="str">
        <f>=IFERROR(G323/H323,"")</f>
        <v/>
      </c>
      <c r="J323" s="16" t="str">
        <f>=IF(F323="","",F323/3600)</f>
        <v/>
      </c>
      <c r="K323" s="11" t="str">
        <f>=IF(L323="","",IF(ISNUMBER(FIND("|",L323)),TRIM(LEFT(L323,FIND("|",L323)-1)),IF(ISNUMBER(MATCH(L323,Config!$F$1:$F$853,0)),L323,IFERROR(INDEX(Config!$F$1:$F$853,MATCH(L323,Config!$G$1:$G$853,0)),""))))</f>
        <v/>
      </c>
      <c r="L323" s="17" t="str">
        <f>=IFERROR(INDEX($L$17:L322,MATCH(C323,$C$17:C322,0)),"")</f>
        <v/>
      </c>
    </row>
    <row r="324" ht="18" customHeight="1" spans="1:12" x14ac:dyDescent="0.25">
      <c r="A324" s="10" t="s">
        <v>2</v>
      </c>
      <c r="B324" s="10" t="s">
        <v>2</v>
      </c>
      <c r="C324" s="10" t="s">
        <v>2</v>
      </c>
      <c r="D324" s="11" t="str">
        <f>=IF(E324="","",IF(ISNUMBER(FIND("|",E324)),TRIM(LEFT(E324,FIND("|",E324)-1)),IF(ISNUMBER(MATCH(E324,Config!$C$1:$C$311,0)),E324,IFERROR(INDEX(Config!$C$1:$C$311,MATCH(E324,Config!$D$1:$D$311,0)),""))))</f>
        <v/>
      </c>
      <c r="E324" s="12" t="s">
        <v>2</v>
      </c>
      <c r="F324" s="13" t="s">
        <v>2</v>
      </c>
      <c r="G324" s="14" t="str">
        <f>=IF(C324="","",SUMIF($C$17:$C$502,C324,$F$17:$F$502))</f>
        <v/>
      </c>
      <c r="H324" s="14" t="str">
        <f>=IFERROR($B$14/$B$10,"")</f>
        <v/>
      </c>
      <c r="I324" s="15" t="str">
        <f>=IFERROR(G324/H324,"")</f>
        <v/>
      </c>
      <c r="J324" s="16" t="str">
        <f>=IF(F324="","",F324/3600)</f>
        <v/>
      </c>
      <c r="K324" s="11" t="str">
        <f>=IF(L324="","",IF(ISNUMBER(FIND("|",L324)),TRIM(LEFT(L324,FIND("|",L324)-1)),IF(ISNUMBER(MATCH(L324,Config!$F$1:$F$853,0)),L324,IFERROR(INDEX(Config!$F$1:$F$853,MATCH(L324,Config!$G$1:$G$853,0)),""))))</f>
        <v/>
      </c>
      <c r="L324" s="17" t="str">
        <f>=IFERROR(INDEX($L$17:L323,MATCH(C324,$C$17:C323,0)),"")</f>
        <v/>
      </c>
    </row>
    <row r="325" ht="18" customHeight="1" spans="1:12" x14ac:dyDescent="0.25">
      <c r="A325" s="10" t="s">
        <v>2</v>
      </c>
      <c r="B325" s="10" t="s">
        <v>2</v>
      </c>
      <c r="C325" s="10" t="s">
        <v>2</v>
      </c>
      <c r="D325" s="11" t="str">
        <f>=IF(E325="","",IF(ISNUMBER(FIND("|",E325)),TRIM(LEFT(E325,FIND("|",E325)-1)),IF(ISNUMBER(MATCH(E325,Config!$C$1:$C$311,0)),E325,IFERROR(INDEX(Config!$C$1:$C$311,MATCH(E325,Config!$D$1:$D$311,0)),""))))</f>
        <v/>
      </c>
      <c r="E325" s="12" t="s">
        <v>2</v>
      </c>
      <c r="F325" s="13" t="s">
        <v>2</v>
      </c>
      <c r="G325" s="14" t="str">
        <f>=IF(C325="","",SUMIF($C$17:$C$502,C325,$F$17:$F$502))</f>
        <v/>
      </c>
      <c r="H325" s="14" t="str">
        <f>=IFERROR($B$14/$B$10,"")</f>
        <v/>
      </c>
      <c r="I325" s="15" t="str">
        <f>=IFERROR(G325/H325,"")</f>
        <v/>
      </c>
      <c r="J325" s="16" t="str">
        <f>=IF(F325="","",F325/3600)</f>
        <v/>
      </c>
      <c r="K325" s="11" t="str">
        <f>=IF(L325="","",IF(ISNUMBER(FIND("|",L325)),TRIM(LEFT(L325,FIND("|",L325)-1)),IF(ISNUMBER(MATCH(L325,Config!$F$1:$F$853,0)),L325,IFERROR(INDEX(Config!$F$1:$F$853,MATCH(L325,Config!$G$1:$G$853,0)),""))))</f>
        <v/>
      </c>
      <c r="L325" s="17" t="str">
        <f>=IFERROR(INDEX($L$17:L324,MATCH(C325,$C$17:C324,0)),"")</f>
        <v/>
      </c>
    </row>
    <row r="326" ht="18" customHeight="1" spans="1:12" x14ac:dyDescent="0.25">
      <c r="A326" s="10" t="s">
        <v>2</v>
      </c>
      <c r="B326" s="10" t="s">
        <v>2</v>
      </c>
      <c r="C326" s="10" t="s">
        <v>2</v>
      </c>
      <c r="D326" s="11" t="str">
        <f>=IF(E326="","",IF(ISNUMBER(FIND("|",E326)),TRIM(LEFT(E326,FIND("|",E326)-1)),IF(ISNUMBER(MATCH(E326,Config!$C$1:$C$311,0)),E326,IFERROR(INDEX(Config!$C$1:$C$311,MATCH(E326,Config!$D$1:$D$311,0)),""))))</f>
        <v/>
      </c>
      <c r="E326" s="12" t="s">
        <v>2</v>
      </c>
      <c r="F326" s="13" t="s">
        <v>2</v>
      </c>
      <c r="G326" s="14" t="str">
        <f>=IF(C326="","",SUMIF($C$17:$C$502,C326,$F$17:$F$502))</f>
        <v/>
      </c>
      <c r="H326" s="14" t="str">
        <f>=IFERROR($B$14/$B$10,"")</f>
        <v/>
      </c>
      <c r="I326" s="15" t="str">
        <f>=IFERROR(G326/H326,"")</f>
        <v/>
      </c>
      <c r="J326" s="16" t="str">
        <f>=IF(F326="","",F326/3600)</f>
        <v/>
      </c>
      <c r="K326" s="11" t="str">
        <f>=IF(L326="","",IF(ISNUMBER(FIND("|",L326)),TRIM(LEFT(L326,FIND("|",L326)-1)),IF(ISNUMBER(MATCH(L326,Config!$F$1:$F$853,0)),L326,IFERROR(INDEX(Config!$F$1:$F$853,MATCH(L326,Config!$G$1:$G$853,0)),""))))</f>
        <v/>
      </c>
      <c r="L326" s="17" t="str">
        <f>=IFERROR(INDEX($L$17:L325,MATCH(C326,$C$17:C325,0)),"")</f>
        <v/>
      </c>
    </row>
    <row r="327" ht="18" customHeight="1" spans="1:12" x14ac:dyDescent="0.25">
      <c r="A327" s="10" t="s">
        <v>2</v>
      </c>
      <c r="B327" s="10" t="s">
        <v>2</v>
      </c>
      <c r="C327" s="10" t="s">
        <v>2</v>
      </c>
      <c r="D327" s="11" t="str">
        <f>=IF(E327="","",IF(ISNUMBER(FIND("|",E327)),TRIM(LEFT(E327,FIND("|",E327)-1)),IF(ISNUMBER(MATCH(E327,Config!$C$1:$C$311,0)),E327,IFERROR(INDEX(Config!$C$1:$C$311,MATCH(E327,Config!$D$1:$D$311,0)),""))))</f>
        <v/>
      </c>
      <c r="E327" s="12" t="s">
        <v>2</v>
      </c>
      <c r="F327" s="13" t="s">
        <v>2</v>
      </c>
      <c r="G327" s="14" t="str">
        <f>=IF(C327="","",SUMIF($C$17:$C$502,C327,$F$17:$F$502))</f>
        <v/>
      </c>
      <c r="H327" s="14" t="str">
        <f>=IFERROR($B$14/$B$10,"")</f>
        <v/>
      </c>
      <c r="I327" s="15" t="str">
        <f>=IFERROR(G327/H327,"")</f>
        <v/>
      </c>
      <c r="J327" s="16" t="str">
        <f>=IF(F327="","",F327/3600)</f>
        <v/>
      </c>
      <c r="K327" s="11" t="str">
        <f>=IF(L327="","",IF(ISNUMBER(FIND("|",L327)),TRIM(LEFT(L327,FIND("|",L327)-1)),IF(ISNUMBER(MATCH(L327,Config!$F$1:$F$853,0)),L327,IFERROR(INDEX(Config!$F$1:$F$853,MATCH(L327,Config!$G$1:$G$853,0)),""))))</f>
        <v/>
      </c>
      <c r="L327" s="17" t="str">
        <f>=IFERROR(INDEX($L$17:L326,MATCH(C327,$C$17:C326,0)),"")</f>
        <v/>
      </c>
    </row>
    <row r="328" ht="18" customHeight="1" spans="1:12" x14ac:dyDescent="0.25">
      <c r="A328" s="10" t="s">
        <v>2</v>
      </c>
      <c r="B328" s="10" t="s">
        <v>2</v>
      </c>
      <c r="C328" s="10" t="s">
        <v>2</v>
      </c>
      <c r="D328" s="11" t="str">
        <f>=IF(E328="","",IF(ISNUMBER(FIND("|",E328)),TRIM(LEFT(E328,FIND("|",E328)-1)),IF(ISNUMBER(MATCH(E328,Config!$C$1:$C$311,0)),E328,IFERROR(INDEX(Config!$C$1:$C$311,MATCH(E328,Config!$D$1:$D$311,0)),""))))</f>
        <v/>
      </c>
      <c r="E328" s="12" t="s">
        <v>2</v>
      </c>
      <c r="F328" s="13" t="s">
        <v>2</v>
      </c>
      <c r="G328" s="14" t="str">
        <f>=IF(C328="","",SUMIF($C$17:$C$502,C328,$F$17:$F$502))</f>
        <v/>
      </c>
      <c r="H328" s="14" t="str">
        <f>=IFERROR($B$14/$B$10,"")</f>
        <v/>
      </c>
      <c r="I328" s="15" t="str">
        <f>=IFERROR(G328/H328,"")</f>
        <v/>
      </c>
      <c r="J328" s="16" t="str">
        <f>=IF(F328="","",F328/3600)</f>
        <v/>
      </c>
      <c r="K328" s="11" t="str">
        <f>=IF(L328="","",IF(ISNUMBER(FIND("|",L328)),TRIM(LEFT(L328,FIND("|",L328)-1)),IF(ISNUMBER(MATCH(L328,Config!$F$1:$F$853,0)),L328,IFERROR(INDEX(Config!$F$1:$F$853,MATCH(L328,Config!$G$1:$G$853,0)),""))))</f>
        <v/>
      </c>
      <c r="L328" s="17" t="str">
        <f>=IFERROR(INDEX($L$17:L327,MATCH(C328,$C$17:C327,0)),"")</f>
        <v/>
      </c>
    </row>
    <row r="329" ht="18" customHeight="1" spans="1:12" x14ac:dyDescent="0.25">
      <c r="A329" s="10" t="s">
        <v>2</v>
      </c>
      <c r="B329" s="10" t="s">
        <v>2</v>
      </c>
      <c r="C329" s="10" t="s">
        <v>2</v>
      </c>
      <c r="D329" s="11" t="str">
        <f>=IF(E329="","",IF(ISNUMBER(FIND("|",E329)),TRIM(LEFT(E329,FIND("|",E329)-1)),IF(ISNUMBER(MATCH(E329,Config!$C$1:$C$311,0)),E329,IFERROR(INDEX(Config!$C$1:$C$311,MATCH(E329,Config!$D$1:$D$311,0)),""))))</f>
        <v/>
      </c>
      <c r="E329" s="12" t="s">
        <v>2</v>
      </c>
      <c r="F329" s="13" t="s">
        <v>2</v>
      </c>
      <c r="G329" s="14" t="str">
        <f>=IF(C329="","",SUMIF($C$17:$C$502,C329,$F$17:$F$502))</f>
        <v/>
      </c>
      <c r="H329" s="14" t="str">
        <f>=IFERROR($B$14/$B$10,"")</f>
        <v/>
      </c>
      <c r="I329" s="15" t="str">
        <f>=IFERROR(G329/H329,"")</f>
        <v/>
      </c>
      <c r="J329" s="16" t="str">
        <f>=IF(F329="","",F329/3600)</f>
        <v/>
      </c>
      <c r="K329" s="11" t="str">
        <f>=IF(L329="","",IF(ISNUMBER(FIND("|",L329)),TRIM(LEFT(L329,FIND("|",L329)-1)),IF(ISNUMBER(MATCH(L329,Config!$F$1:$F$853,0)),L329,IFERROR(INDEX(Config!$F$1:$F$853,MATCH(L329,Config!$G$1:$G$853,0)),""))))</f>
        <v/>
      </c>
      <c r="L329" s="17" t="str">
        <f>=IFERROR(INDEX($L$17:L328,MATCH(C329,$C$17:C328,0)),"")</f>
        <v/>
      </c>
    </row>
    <row r="330" ht="18" customHeight="1" spans="1:12" x14ac:dyDescent="0.25">
      <c r="A330" s="10" t="s">
        <v>2</v>
      </c>
      <c r="B330" s="10" t="s">
        <v>2</v>
      </c>
      <c r="C330" s="10" t="s">
        <v>2</v>
      </c>
      <c r="D330" s="11" t="str">
        <f>=IF(E330="","",IF(ISNUMBER(FIND("|",E330)),TRIM(LEFT(E330,FIND("|",E330)-1)),IF(ISNUMBER(MATCH(E330,Config!$C$1:$C$311,0)),E330,IFERROR(INDEX(Config!$C$1:$C$311,MATCH(E330,Config!$D$1:$D$311,0)),""))))</f>
        <v/>
      </c>
      <c r="E330" s="12" t="s">
        <v>2</v>
      </c>
      <c r="F330" s="13" t="s">
        <v>2</v>
      </c>
      <c r="G330" s="14" t="str">
        <f>=IF(C330="","",SUMIF($C$17:$C$502,C330,$F$17:$F$502))</f>
        <v/>
      </c>
      <c r="H330" s="14" t="str">
        <f>=IFERROR($B$14/$B$10,"")</f>
        <v/>
      </c>
      <c r="I330" s="15" t="str">
        <f>=IFERROR(G330/H330,"")</f>
        <v/>
      </c>
      <c r="J330" s="16" t="str">
        <f>=IF(F330="","",F330/3600)</f>
        <v/>
      </c>
      <c r="K330" s="11" t="str">
        <f>=IF(L330="","",IF(ISNUMBER(FIND("|",L330)),TRIM(LEFT(L330,FIND("|",L330)-1)),IF(ISNUMBER(MATCH(L330,Config!$F$1:$F$853,0)),L330,IFERROR(INDEX(Config!$F$1:$F$853,MATCH(L330,Config!$G$1:$G$853,0)),""))))</f>
        <v/>
      </c>
      <c r="L330" s="17" t="str">
        <f>=IFERROR(INDEX($L$17:L329,MATCH(C330,$C$17:C329,0)),"")</f>
        <v/>
      </c>
    </row>
    <row r="331" ht="18" customHeight="1" spans="1:12" x14ac:dyDescent="0.25">
      <c r="A331" s="10" t="s">
        <v>2</v>
      </c>
      <c r="B331" s="10" t="s">
        <v>2</v>
      </c>
      <c r="C331" s="10" t="s">
        <v>2</v>
      </c>
      <c r="D331" s="11" t="str">
        <f>=IF(E331="","",IF(ISNUMBER(FIND("|",E331)),TRIM(LEFT(E331,FIND("|",E331)-1)),IF(ISNUMBER(MATCH(E331,Config!$C$1:$C$311,0)),E331,IFERROR(INDEX(Config!$C$1:$C$311,MATCH(E331,Config!$D$1:$D$311,0)),""))))</f>
        <v/>
      </c>
      <c r="E331" s="12" t="s">
        <v>2</v>
      </c>
      <c r="F331" s="13" t="s">
        <v>2</v>
      </c>
      <c r="G331" s="14" t="str">
        <f>=IF(C331="","",SUMIF($C$17:$C$502,C331,$F$17:$F$502))</f>
        <v/>
      </c>
      <c r="H331" s="14" t="str">
        <f>=IFERROR($B$14/$B$10,"")</f>
        <v/>
      </c>
      <c r="I331" s="15" t="str">
        <f>=IFERROR(G331/H331,"")</f>
        <v/>
      </c>
      <c r="J331" s="16" t="str">
        <f>=IF(F331="","",F331/3600)</f>
        <v/>
      </c>
      <c r="K331" s="11" t="str">
        <f>=IF(L331="","",IF(ISNUMBER(FIND("|",L331)),TRIM(LEFT(L331,FIND("|",L331)-1)),IF(ISNUMBER(MATCH(L331,Config!$F$1:$F$853,0)),L331,IFERROR(INDEX(Config!$F$1:$F$853,MATCH(L331,Config!$G$1:$G$853,0)),""))))</f>
        <v/>
      </c>
      <c r="L331" s="17" t="str">
        <f>=IFERROR(INDEX($L$17:L330,MATCH(C331,$C$17:C330,0)),"")</f>
        <v/>
      </c>
    </row>
    <row r="332" ht="18" customHeight="1" spans="1:12" x14ac:dyDescent="0.25">
      <c r="A332" s="10" t="s">
        <v>2</v>
      </c>
      <c r="B332" s="10" t="s">
        <v>2</v>
      </c>
      <c r="C332" s="10" t="s">
        <v>2</v>
      </c>
      <c r="D332" s="11" t="str">
        <f>=IF(E332="","",IF(ISNUMBER(FIND("|",E332)),TRIM(LEFT(E332,FIND("|",E332)-1)),IF(ISNUMBER(MATCH(E332,Config!$C$1:$C$311,0)),E332,IFERROR(INDEX(Config!$C$1:$C$311,MATCH(E332,Config!$D$1:$D$311,0)),""))))</f>
        <v/>
      </c>
      <c r="E332" s="12" t="s">
        <v>2</v>
      </c>
      <c r="F332" s="13" t="s">
        <v>2</v>
      </c>
      <c r="G332" s="14" t="str">
        <f>=IF(C332="","",SUMIF($C$17:$C$502,C332,$F$17:$F$502))</f>
        <v/>
      </c>
      <c r="H332" s="14" t="str">
        <f>=IFERROR($B$14/$B$10,"")</f>
        <v/>
      </c>
      <c r="I332" s="15" t="str">
        <f>=IFERROR(G332/H332,"")</f>
        <v/>
      </c>
      <c r="J332" s="16" t="str">
        <f>=IF(F332="","",F332/3600)</f>
        <v/>
      </c>
      <c r="K332" s="11" t="str">
        <f>=IF(L332="","",IF(ISNUMBER(FIND("|",L332)),TRIM(LEFT(L332,FIND("|",L332)-1)),IF(ISNUMBER(MATCH(L332,Config!$F$1:$F$853,0)),L332,IFERROR(INDEX(Config!$F$1:$F$853,MATCH(L332,Config!$G$1:$G$853,0)),""))))</f>
        <v/>
      </c>
      <c r="L332" s="17" t="str">
        <f>=IFERROR(INDEX($L$17:L331,MATCH(C332,$C$17:C331,0)),"")</f>
        <v/>
      </c>
    </row>
    <row r="333" ht="18" customHeight="1" spans="1:12" x14ac:dyDescent="0.25">
      <c r="A333" s="10" t="s">
        <v>2</v>
      </c>
      <c r="B333" s="10" t="s">
        <v>2</v>
      </c>
      <c r="C333" s="10" t="s">
        <v>2</v>
      </c>
      <c r="D333" s="11" t="str">
        <f>=IF(E333="","",IF(ISNUMBER(FIND("|",E333)),TRIM(LEFT(E333,FIND("|",E333)-1)),IF(ISNUMBER(MATCH(E333,Config!$C$1:$C$311,0)),E333,IFERROR(INDEX(Config!$C$1:$C$311,MATCH(E333,Config!$D$1:$D$311,0)),""))))</f>
        <v/>
      </c>
      <c r="E333" s="12" t="s">
        <v>2</v>
      </c>
      <c r="F333" s="13" t="s">
        <v>2</v>
      </c>
      <c r="G333" s="14" t="str">
        <f>=IF(C333="","",SUMIF($C$17:$C$502,C333,$F$17:$F$502))</f>
        <v/>
      </c>
      <c r="H333" s="14" t="str">
        <f>=IFERROR($B$14/$B$10,"")</f>
        <v/>
      </c>
      <c r="I333" s="15" t="str">
        <f>=IFERROR(G333/H333,"")</f>
        <v/>
      </c>
      <c r="J333" s="16" t="str">
        <f>=IF(F333="","",F333/3600)</f>
        <v/>
      </c>
      <c r="K333" s="11" t="str">
        <f>=IF(L333="","",IF(ISNUMBER(FIND("|",L333)),TRIM(LEFT(L333,FIND("|",L333)-1)),IF(ISNUMBER(MATCH(L333,Config!$F$1:$F$853,0)),L333,IFERROR(INDEX(Config!$F$1:$F$853,MATCH(L333,Config!$G$1:$G$853,0)),""))))</f>
        <v/>
      </c>
      <c r="L333" s="17" t="str">
        <f>=IFERROR(INDEX($L$17:L332,MATCH(C333,$C$17:C332,0)),"")</f>
        <v/>
      </c>
    </row>
    <row r="334" ht="18" customHeight="1" spans="1:12" x14ac:dyDescent="0.25">
      <c r="A334" s="10" t="s">
        <v>2</v>
      </c>
      <c r="B334" s="10" t="s">
        <v>2</v>
      </c>
      <c r="C334" s="10" t="s">
        <v>2</v>
      </c>
      <c r="D334" s="11" t="str">
        <f>=IF(E334="","",IF(ISNUMBER(FIND("|",E334)),TRIM(LEFT(E334,FIND("|",E334)-1)),IF(ISNUMBER(MATCH(E334,Config!$C$1:$C$311,0)),E334,IFERROR(INDEX(Config!$C$1:$C$311,MATCH(E334,Config!$D$1:$D$311,0)),""))))</f>
        <v/>
      </c>
      <c r="E334" s="12" t="s">
        <v>2</v>
      </c>
      <c r="F334" s="13" t="s">
        <v>2</v>
      </c>
      <c r="G334" s="14" t="str">
        <f>=IF(C334="","",SUMIF($C$17:$C$502,C334,$F$17:$F$502))</f>
        <v/>
      </c>
      <c r="H334" s="14" t="str">
        <f>=IFERROR($B$14/$B$10,"")</f>
        <v/>
      </c>
      <c r="I334" s="15" t="str">
        <f>=IFERROR(G334/H334,"")</f>
        <v/>
      </c>
      <c r="J334" s="16" t="str">
        <f>=IF(F334="","",F334/3600)</f>
        <v/>
      </c>
      <c r="K334" s="11" t="str">
        <f>=IF(L334="","",IF(ISNUMBER(FIND("|",L334)),TRIM(LEFT(L334,FIND("|",L334)-1)),IF(ISNUMBER(MATCH(L334,Config!$F$1:$F$853,0)),L334,IFERROR(INDEX(Config!$F$1:$F$853,MATCH(L334,Config!$G$1:$G$853,0)),""))))</f>
        <v/>
      </c>
      <c r="L334" s="17" t="str">
        <f>=IFERROR(INDEX($L$17:L333,MATCH(C334,$C$17:C333,0)),"")</f>
        <v/>
      </c>
    </row>
    <row r="335" ht="18" customHeight="1" spans="1:12" x14ac:dyDescent="0.25">
      <c r="A335" s="10" t="s">
        <v>2</v>
      </c>
      <c r="B335" s="10" t="s">
        <v>2</v>
      </c>
      <c r="C335" s="10" t="s">
        <v>2</v>
      </c>
      <c r="D335" s="11" t="str">
        <f>=IF(E335="","",IF(ISNUMBER(FIND("|",E335)),TRIM(LEFT(E335,FIND("|",E335)-1)),IF(ISNUMBER(MATCH(E335,Config!$C$1:$C$311,0)),E335,IFERROR(INDEX(Config!$C$1:$C$311,MATCH(E335,Config!$D$1:$D$311,0)),""))))</f>
        <v/>
      </c>
      <c r="E335" s="12" t="s">
        <v>2</v>
      </c>
      <c r="F335" s="13" t="s">
        <v>2</v>
      </c>
      <c r="G335" s="14" t="str">
        <f>=IF(C335="","",SUMIF($C$17:$C$502,C335,$F$17:$F$502))</f>
        <v/>
      </c>
      <c r="H335" s="14" t="str">
        <f>=IFERROR($B$14/$B$10,"")</f>
        <v/>
      </c>
      <c r="I335" s="15" t="str">
        <f>=IFERROR(G335/H335,"")</f>
        <v/>
      </c>
      <c r="J335" s="16" t="str">
        <f>=IF(F335="","",F335/3600)</f>
        <v/>
      </c>
      <c r="K335" s="11" t="str">
        <f>=IF(L335="","",IF(ISNUMBER(FIND("|",L335)),TRIM(LEFT(L335,FIND("|",L335)-1)),IF(ISNUMBER(MATCH(L335,Config!$F$1:$F$853,0)),L335,IFERROR(INDEX(Config!$F$1:$F$853,MATCH(L335,Config!$G$1:$G$853,0)),""))))</f>
        <v/>
      </c>
      <c r="L335" s="17" t="str">
        <f>=IFERROR(INDEX($L$17:L334,MATCH(C335,$C$17:C334,0)),"")</f>
        <v/>
      </c>
    </row>
    <row r="336" ht="18" customHeight="1" spans="1:12" x14ac:dyDescent="0.25">
      <c r="A336" s="10" t="s">
        <v>2</v>
      </c>
      <c r="B336" s="10" t="s">
        <v>2</v>
      </c>
      <c r="C336" s="10" t="s">
        <v>2</v>
      </c>
      <c r="D336" s="11" t="str">
        <f>=IF(E336="","",IF(ISNUMBER(FIND("|",E336)),TRIM(LEFT(E336,FIND("|",E336)-1)),IF(ISNUMBER(MATCH(E336,Config!$C$1:$C$311,0)),E336,IFERROR(INDEX(Config!$C$1:$C$311,MATCH(E336,Config!$D$1:$D$311,0)),""))))</f>
        <v/>
      </c>
      <c r="E336" s="12" t="s">
        <v>2</v>
      </c>
      <c r="F336" s="13" t="s">
        <v>2</v>
      </c>
      <c r="G336" s="14" t="str">
        <f>=IF(C336="","",SUMIF($C$17:$C$502,C336,$F$17:$F$502))</f>
        <v/>
      </c>
      <c r="H336" s="14" t="str">
        <f>=IFERROR($B$14/$B$10,"")</f>
        <v/>
      </c>
      <c r="I336" s="15" t="str">
        <f>=IFERROR(G336/H336,"")</f>
        <v/>
      </c>
      <c r="J336" s="16" t="str">
        <f>=IF(F336="","",F336/3600)</f>
        <v/>
      </c>
      <c r="K336" s="11" t="str">
        <f>=IF(L336="","",IF(ISNUMBER(FIND("|",L336)),TRIM(LEFT(L336,FIND("|",L336)-1)),IF(ISNUMBER(MATCH(L336,Config!$F$1:$F$853,0)),L336,IFERROR(INDEX(Config!$F$1:$F$853,MATCH(L336,Config!$G$1:$G$853,0)),""))))</f>
        <v/>
      </c>
      <c r="L336" s="17" t="str">
        <f>=IFERROR(INDEX($L$17:L335,MATCH(C336,$C$17:C335,0)),"")</f>
        <v/>
      </c>
    </row>
    <row r="337" ht="18" customHeight="1" spans="1:12" x14ac:dyDescent="0.25">
      <c r="A337" s="10" t="s">
        <v>2</v>
      </c>
      <c r="B337" s="10" t="s">
        <v>2</v>
      </c>
      <c r="C337" s="10" t="s">
        <v>2</v>
      </c>
      <c r="D337" s="11" t="str">
        <f>=IF(E337="","",IF(ISNUMBER(FIND("|",E337)),TRIM(LEFT(E337,FIND("|",E337)-1)),IF(ISNUMBER(MATCH(E337,Config!$C$1:$C$311,0)),E337,IFERROR(INDEX(Config!$C$1:$C$311,MATCH(E337,Config!$D$1:$D$311,0)),""))))</f>
        <v/>
      </c>
      <c r="E337" s="12" t="s">
        <v>2</v>
      </c>
      <c r="F337" s="13" t="s">
        <v>2</v>
      </c>
      <c r="G337" s="14" t="str">
        <f>=IF(C337="","",SUMIF($C$17:$C$502,C337,$F$17:$F$502))</f>
        <v/>
      </c>
      <c r="H337" s="14" t="str">
        <f>=IFERROR($B$14/$B$10,"")</f>
        <v/>
      </c>
      <c r="I337" s="15" t="str">
        <f>=IFERROR(G337/H337,"")</f>
        <v/>
      </c>
      <c r="J337" s="16" t="str">
        <f>=IF(F337="","",F337/3600)</f>
        <v/>
      </c>
      <c r="K337" s="11" t="str">
        <f>=IF(L337="","",IF(ISNUMBER(FIND("|",L337)),TRIM(LEFT(L337,FIND("|",L337)-1)),IF(ISNUMBER(MATCH(L337,Config!$F$1:$F$853,0)),L337,IFERROR(INDEX(Config!$F$1:$F$853,MATCH(L337,Config!$G$1:$G$853,0)),""))))</f>
        <v/>
      </c>
      <c r="L337" s="17" t="str">
        <f>=IFERROR(INDEX($L$17:L336,MATCH(C337,$C$17:C336,0)),"")</f>
        <v/>
      </c>
    </row>
    <row r="338" ht="18" customHeight="1" spans="1:12" x14ac:dyDescent="0.25">
      <c r="A338" s="10" t="s">
        <v>2</v>
      </c>
      <c r="B338" s="10" t="s">
        <v>2</v>
      </c>
      <c r="C338" s="10" t="s">
        <v>2</v>
      </c>
      <c r="D338" s="11" t="str">
        <f>=IF(E338="","",IF(ISNUMBER(FIND("|",E338)),TRIM(LEFT(E338,FIND("|",E338)-1)),IF(ISNUMBER(MATCH(E338,Config!$C$1:$C$311,0)),E338,IFERROR(INDEX(Config!$C$1:$C$311,MATCH(E338,Config!$D$1:$D$311,0)),""))))</f>
        <v/>
      </c>
      <c r="E338" s="12" t="s">
        <v>2</v>
      </c>
      <c r="F338" s="13" t="s">
        <v>2</v>
      </c>
      <c r="G338" s="14" t="str">
        <f>=IF(C338="","",SUMIF($C$17:$C$502,C338,$F$17:$F$502))</f>
        <v/>
      </c>
      <c r="H338" s="14" t="str">
        <f>=IFERROR($B$14/$B$10,"")</f>
        <v/>
      </c>
      <c r="I338" s="15" t="str">
        <f>=IFERROR(G338/H338,"")</f>
        <v/>
      </c>
      <c r="J338" s="16" t="str">
        <f>=IF(F338="","",F338/3600)</f>
        <v/>
      </c>
      <c r="K338" s="11" t="str">
        <f>=IF(L338="","",IF(ISNUMBER(FIND("|",L338)),TRIM(LEFT(L338,FIND("|",L338)-1)),IF(ISNUMBER(MATCH(L338,Config!$F$1:$F$853,0)),L338,IFERROR(INDEX(Config!$F$1:$F$853,MATCH(L338,Config!$G$1:$G$853,0)),""))))</f>
        <v/>
      </c>
      <c r="L338" s="17" t="str">
        <f>=IFERROR(INDEX($L$17:L337,MATCH(C338,$C$17:C337,0)),"")</f>
        <v/>
      </c>
    </row>
    <row r="339" ht="18" customHeight="1" spans="1:12" x14ac:dyDescent="0.25">
      <c r="A339" s="10" t="s">
        <v>2</v>
      </c>
      <c r="B339" s="10" t="s">
        <v>2</v>
      </c>
      <c r="C339" s="10" t="s">
        <v>2</v>
      </c>
      <c r="D339" s="11" t="str">
        <f>=IF(E339="","",IF(ISNUMBER(FIND("|",E339)),TRIM(LEFT(E339,FIND("|",E339)-1)),IF(ISNUMBER(MATCH(E339,Config!$C$1:$C$311,0)),E339,IFERROR(INDEX(Config!$C$1:$C$311,MATCH(E339,Config!$D$1:$D$311,0)),""))))</f>
        <v/>
      </c>
      <c r="E339" s="12" t="s">
        <v>2</v>
      </c>
      <c r="F339" s="13" t="s">
        <v>2</v>
      </c>
      <c r="G339" s="14" t="str">
        <f>=IF(C339="","",SUMIF($C$17:$C$502,C339,$F$17:$F$502))</f>
        <v/>
      </c>
      <c r="H339" s="14" t="str">
        <f>=IFERROR($B$14/$B$10,"")</f>
        <v/>
      </c>
      <c r="I339" s="15" t="str">
        <f>=IFERROR(G339/H339,"")</f>
        <v/>
      </c>
      <c r="J339" s="16" t="str">
        <f>=IF(F339="","",F339/3600)</f>
        <v/>
      </c>
      <c r="K339" s="11" t="str">
        <f>=IF(L339="","",IF(ISNUMBER(FIND("|",L339)),TRIM(LEFT(L339,FIND("|",L339)-1)),IF(ISNUMBER(MATCH(L339,Config!$F$1:$F$853,0)),L339,IFERROR(INDEX(Config!$F$1:$F$853,MATCH(L339,Config!$G$1:$G$853,0)),""))))</f>
        <v/>
      </c>
      <c r="L339" s="17" t="str">
        <f>=IFERROR(INDEX($L$17:L338,MATCH(C339,$C$17:C338,0)),"")</f>
        <v/>
      </c>
    </row>
    <row r="340" ht="18" customHeight="1" spans="1:12" x14ac:dyDescent="0.25">
      <c r="A340" s="10" t="s">
        <v>2</v>
      </c>
      <c r="B340" s="10" t="s">
        <v>2</v>
      </c>
      <c r="C340" s="10" t="s">
        <v>2</v>
      </c>
      <c r="D340" s="11" t="str">
        <f>=IF(E340="","",IF(ISNUMBER(FIND("|",E340)),TRIM(LEFT(E340,FIND("|",E340)-1)),IF(ISNUMBER(MATCH(E340,Config!$C$1:$C$311,0)),E340,IFERROR(INDEX(Config!$C$1:$C$311,MATCH(E340,Config!$D$1:$D$311,0)),""))))</f>
        <v/>
      </c>
      <c r="E340" s="12" t="s">
        <v>2</v>
      </c>
      <c r="F340" s="13" t="s">
        <v>2</v>
      </c>
      <c r="G340" s="14" t="str">
        <f>=IF(C340="","",SUMIF($C$17:$C$502,C340,$F$17:$F$502))</f>
        <v/>
      </c>
      <c r="H340" s="14" t="str">
        <f>=IFERROR($B$14/$B$10,"")</f>
        <v/>
      </c>
      <c r="I340" s="15" t="str">
        <f>=IFERROR(G340/H340,"")</f>
        <v/>
      </c>
      <c r="J340" s="16" t="str">
        <f>=IF(F340="","",F340/3600)</f>
        <v/>
      </c>
      <c r="K340" s="11" t="str">
        <f>=IF(L340="","",IF(ISNUMBER(FIND("|",L340)),TRIM(LEFT(L340,FIND("|",L340)-1)),IF(ISNUMBER(MATCH(L340,Config!$F$1:$F$853,0)),L340,IFERROR(INDEX(Config!$F$1:$F$853,MATCH(L340,Config!$G$1:$G$853,0)),""))))</f>
        <v/>
      </c>
      <c r="L340" s="17" t="str">
        <f>=IFERROR(INDEX($L$17:L339,MATCH(C340,$C$17:C339,0)),"")</f>
        <v/>
      </c>
    </row>
    <row r="341" ht="18" customHeight="1" spans="1:12" x14ac:dyDescent="0.25">
      <c r="A341" s="10" t="s">
        <v>2</v>
      </c>
      <c r="B341" s="10" t="s">
        <v>2</v>
      </c>
      <c r="C341" s="10" t="s">
        <v>2</v>
      </c>
      <c r="D341" s="11" t="str">
        <f>=IF(E341="","",IF(ISNUMBER(FIND("|",E341)),TRIM(LEFT(E341,FIND("|",E341)-1)),IF(ISNUMBER(MATCH(E341,Config!$C$1:$C$311,0)),E341,IFERROR(INDEX(Config!$C$1:$C$311,MATCH(E341,Config!$D$1:$D$311,0)),""))))</f>
        <v/>
      </c>
      <c r="E341" s="12" t="s">
        <v>2</v>
      </c>
      <c r="F341" s="13" t="s">
        <v>2</v>
      </c>
      <c r="G341" s="14" t="str">
        <f>=IF(C341="","",SUMIF($C$17:$C$502,C341,$F$17:$F$502))</f>
        <v/>
      </c>
      <c r="H341" s="14" t="str">
        <f>=IFERROR($B$14/$B$10,"")</f>
        <v/>
      </c>
      <c r="I341" s="15" t="str">
        <f>=IFERROR(G341/H341,"")</f>
        <v/>
      </c>
      <c r="J341" s="16" t="str">
        <f>=IF(F341="","",F341/3600)</f>
        <v/>
      </c>
      <c r="K341" s="11" t="str">
        <f>=IF(L341="","",IF(ISNUMBER(FIND("|",L341)),TRIM(LEFT(L341,FIND("|",L341)-1)),IF(ISNUMBER(MATCH(L341,Config!$F$1:$F$853,0)),L341,IFERROR(INDEX(Config!$F$1:$F$853,MATCH(L341,Config!$G$1:$G$853,0)),""))))</f>
        <v/>
      </c>
      <c r="L341" s="17" t="str">
        <f>=IFERROR(INDEX($L$17:L340,MATCH(C341,$C$17:C340,0)),"")</f>
        <v/>
      </c>
    </row>
    <row r="342" ht="18" customHeight="1" spans="1:12" x14ac:dyDescent="0.25">
      <c r="A342" s="10" t="s">
        <v>2</v>
      </c>
      <c r="B342" s="10" t="s">
        <v>2</v>
      </c>
      <c r="C342" s="10" t="s">
        <v>2</v>
      </c>
      <c r="D342" s="11" t="str">
        <f>=IF(E342="","",IF(ISNUMBER(FIND("|",E342)),TRIM(LEFT(E342,FIND("|",E342)-1)),IF(ISNUMBER(MATCH(E342,Config!$C$1:$C$311,0)),E342,IFERROR(INDEX(Config!$C$1:$C$311,MATCH(E342,Config!$D$1:$D$311,0)),""))))</f>
        <v/>
      </c>
      <c r="E342" s="12" t="s">
        <v>2</v>
      </c>
      <c r="F342" s="13" t="s">
        <v>2</v>
      </c>
      <c r="G342" s="14" t="str">
        <f>=IF(C342="","",SUMIF($C$17:$C$502,C342,$F$17:$F$502))</f>
        <v/>
      </c>
      <c r="H342" s="14" t="str">
        <f>=IFERROR($B$14/$B$10,"")</f>
        <v/>
      </c>
      <c r="I342" s="15" t="str">
        <f>=IFERROR(G342/H342,"")</f>
        <v/>
      </c>
      <c r="J342" s="16" t="str">
        <f>=IF(F342="","",F342/3600)</f>
        <v/>
      </c>
      <c r="K342" s="11" t="str">
        <f>=IF(L342="","",IF(ISNUMBER(FIND("|",L342)),TRIM(LEFT(L342,FIND("|",L342)-1)),IF(ISNUMBER(MATCH(L342,Config!$F$1:$F$853,0)),L342,IFERROR(INDEX(Config!$F$1:$F$853,MATCH(L342,Config!$G$1:$G$853,0)),""))))</f>
        <v/>
      </c>
      <c r="L342" s="17" t="str">
        <f>=IFERROR(INDEX($L$17:L341,MATCH(C342,$C$17:C341,0)),"")</f>
        <v/>
      </c>
    </row>
    <row r="343" ht="18" customHeight="1" spans="1:12" x14ac:dyDescent="0.25">
      <c r="A343" s="10" t="s">
        <v>2</v>
      </c>
      <c r="B343" s="10" t="s">
        <v>2</v>
      </c>
      <c r="C343" s="10" t="s">
        <v>2</v>
      </c>
      <c r="D343" s="11" t="str">
        <f>=IF(E343="","",IF(ISNUMBER(FIND("|",E343)),TRIM(LEFT(E343,FIND("|",E343)-1)),IF(ISNUMBER(MATCH(E343,Config!$C$1:$C$311,0)),E343,IFERROR(INDEX(Config!$C$1:$C$311,MATCH(E343,Config!$D$1:$D$311,0)),""))))</f>
        <v/>
      </c>
      <c r="E343" s="12" t="s">
        <v>2</v>
      </c>
      <c r="F343" s="13" t="s">
        <v>2</v>
      </c>
      <c r="G343" s="14" t="str">
        <f>=IF(C343="","",SUMIF($C$17:$C$502,C343,$F$17:$F$502))</f>
        <v/>
      </c>
      <c r="H343" s="14" t="str">
        <f>=IFERROR($B$14/$B$10,"")</f>
        <v/>
      </c>
      <c r="I343" s="15" t="str">
        <f>=IFERROR(G343/H343,"")</f>
        <v/>
      </c>
      <c r="J343" s="16" t="str">
        <f>=IF(F343="","",F343/3600)</f>
        <v/>
      </c>
      <c r="K343" s="11" t="str">
        <f>=IF(L343="","",IF(ISNUMBER(FIND("|",L343)),TRIM(LEFT(L343,FIND("|",L343)-1)),IF(ISNUMBER(MATCH(L343,Config!$F$1:$F$853,0)),L343,IFERROR(INDEX(Config!$F$1:$F$853,MATCH(L343,Config!$G$1:$G$853,0)),""))))</f>
        <v/>
      </c>
      <c r="L343" s="17" t="str">
        <f>=IFERROR(INDEX($L$17:L342,MATCH(C343,$C$17:C342,0)),"")</f>
        <v/>
      </c>
    </row>
    <row r="344" ht="18" customHeight="1" spans="1:12" x14ac:dyDescent="0.25">
      <c r="A344" s="10" t="s">
        <v>2</v>
      </c>
      <c r="B344" s="10" t="s">
        <v>2</v>
      </c>
      <c r="C344" s="10" t="s">
        <v>2</v>
      </c>
      <c r="D344" s="11" t="str">
        <f>=IF(E344="","",IF(ISNUMBER(FIND("|",E344)),TRIM(LEFT(E344,FIND("|",E344)-1)),IF(ISNUMBER(MATCH(E344,Config!$C$1:$C$311,0)),E344,IFERROR(INDEX(Config!$C$1:$C$311,MATCH(E344,Config!$D$1:$D$311,0)),""))))</f>
        <v/>
      </c>
      <c r="E344" s="12" t="s">
        <v>2</v>
      </c>
      <c r="F344" s="13" t="s">
        <v>2</v>
      </c>
      <c r="G344" s="14" t="str">
        <f>=IF(C344="","",SUMIF($C$17:$C$502,C344,$F$17:$F$502))</f>
        <v/>
      </c>
      <c r="H344" s="14" t="str">
        <f>=IFERROR($B$14/$B$10,"")</f>
        <v/>
      </c>
      <c r="I344" s="15" t="str">
        <f>=IFERROR(G344/H344,"")</f>
        <v/>
      </c>
      <c r="J344" s="16" t="str">
        <f>=IF(F344="","",F344/3600)</f>
        <v/>
      </c>
      <c r="K344" s="11" t="str">
        <f>=IF(L344="","",IF(ISNUMBER(FIND("|",L344)),TRIM(LEFT(L344,FIND("|",L344)-1)),IF(ISNUMBER(MATCH(L344,Config!$F$1:$F$853,0)),L344,IFERROR(INDEX(Config!$F$1:$F$853,MATCH(L344,Config!$G$1:$G$853,0)),""))))</f>
        <v/>
      </c>
      <c r="L344" s="17" t="str">
        <f>=IFERROR(INDEX($L$17:L343,MATCH(C344,$C$17:C343,0)),"")</f>
        <v/>
      </c>
    </row>
    <row r="345" ht="18" customHeight="1" spans="1:12" x14ac:dyDescent="0.25">
      <c r="A345" s="10" t="s">
        <v>2</v>
      </c>
      <c r="B345" s="10" t="s">
        <v>2</v>
      </c>
      <c r="C345" s="10" t="s">
        <v>2</v>
      </c>
      <c r="D345" s="11" t="str">
        <f>=IF(E345="","",IF(ISNUMBER(FIND("|",E345)),TRIM(LEFT(E345,FIND("|",E345)-1)),IF(ISNUMBER(MATCH(E345,Config!$C$1:$C$311,0)),E345,IFERROR(INDEX(Config!$C$1:$C$311,MATCH(E345,Config!$D$1:$D$311,0)),""))))</f>
        <v/>
      </c>
      <c r="E345" s="12" t="s">
        <v>2</v>
      </c>
      <c r="F345" s="13" t="s">
        <v>2</v>
      </c>
      <c r="G345" s="14" t="str">
        <f>=IF(C345="","",SUMIF($C$17:$C$502,C345,$F$17:$F$502))</f>
        <v/>
      </c>
      <c r="H345" s="14" t="str">
        <f>=IFERROR($B$14/$B$10,"")</f>
        <v/>
      </c>
      <c r="I345" s="15" t="str">
        <f>=IFERROR(G345/H345,"")</f>
        <v/>
      </c>
      <c r="J345" s="16" t="str">
        <f>=IF(F345="","",F345/3600)</f>
        <v/>
      </c>
      <c r="K345" s="11" t="str">
        <f>=IF(L345="","",IF(ISNUMBER(FIND("|",L345)),TRIM(LEFT(L345,FIND("|",L345)-1)),IF(ISNUMBER(MATCH(L345,Config!$F$1:$F$853,0)),L345,IFERROR(INDEX(Config!$F$1:$F$853,MATCH(L345,Config!$G$1:$G$853,0)),""))))</f>
        <v/>
      </c>
      <c r="L345" s="17" t="str">
        <f>=IFERROR(INDEX($L$17:L344,MATCH(C345,$C$17:C344,0)),"")</f>
        <v/>
      </c>
    </row>
    <row r="346" ht="18" customHeight="1" spans="1:12" x14ac:dyDescent="0.25">
      <c r="A346" s="10" t="s">
        <v>2</v>
      </c>
      <c r="B346" s="10" t="s">
        <v>2</v>
      </c>
      <c r="C346" s="10" t="s">
        <v>2</v>
      </c>
      <c r="D346" s="11" t="str">
        <f>=IF(E346="","",IF(ISNUMBER(FIND("|",E346)),TRIM(LEFT(E346,FIND("|",E346)-1)),IF(ISNUMBER(MATCH(E346,Config!$C$1:$C$311,0)),E346,IFERROR(INDEX(Config!$C$1:$C$311,MATCH(E346,Config!$D$1:$D$311,0)),""))))</f>
        <v/>
      </c>
      <c r="E346" s="12" t="s">
        <v>2</v>
      </c>
      <c r="F346" s="13" t="s">
        <v>2</v>
      </c>
      <c r="G346" s="14" t="str">
        <f>=IF(C346="","",SUMIF($C$17:$C$502,C346,$F$17:$F$502))</f>
        <v/>
      </c>
      <c r="H346" s="14" t="str">
        <f>=IFERROR($B$14/$B$10,"")</f>
        <v/>
      </c>
      <c r="I346" s="15" t="str">
        <f>=IFERROR(G346/H346,"")</f>
        <v/>
      </c>
      <c r="J346" s="16" t="str">
        <f>=IF(F346="","",F346/3600)</f>
        <v/>
      </c>
      <c r="K346" s="11" t="str">
        <f>=IF(L346="","",IF(ISNUMBER(FIND("|",L346)),TRIM(LEFT(L346,FIND("|",L346)-1)),IF(ISNUMBER(MATCH(L346,Config!$F$1:$F$853,0)),L346,IFERROR(INDEX(Config!$F$1:$F$853,MATCH(L346,Config!$G$1:$G$853,0)),""))))</f>
        <v/>
      </c>
      <c r="L346" s="17" t="str">
        <f>=IFERROR(INDEX($L$17:L345,MATCH(C346,$C$17:C345,0)),"")</f>
        <v/>
      </c>
    </row>
    <row r="347" ht="18" customHeight="1" spans="1:12" x14ac:dyDescent="0.25">
      <c r="A347" s="10" t="s">
        <v>2</v>
      </c>
      <c r="B347" s="10" t="s">
        <v>2</v>
      </c>
      <c r="C347" s="10" t="s">
        <v>2</v>
      </c>
      <c r="D347" s="11" t="str">
        <f>=IF(E347="","",IF(ISNUMBER(FIND("|",E347)),TRIM(LEFT(E347,FIND("|",E347)-1)),IF(ISNUMBER(MATCH(E347,Config!$C$1:$C$311,0)),E347,IFERROR(INDEX(Config!$C$1:$C$311,MATCH(E347,Config!$D$1:$D$311,0)),""))))</f>
        <v/>
      </c>
      <c r="E347" s="12" t="s">
        <v>2</v>
      </c>
      <c r="F347" s="13" t="s">
        <v>2</v>
      </c>
      <c r="G347" s="14" t="str">
        <f>=IF(C347="","",SUMIF($C$17:$C$502,C347,$F$17:$F$502))</f>
        <v/>
      </c>
      <c r="H347" s="14" t="str">
        <f>=IFERROR($B$14/$B$10,"")</f>
        <v/>
      </c>
      <c r="I347" s="15" t="str">
        <f>=IFERROR(G347/H347,"")</f>
        <v/>
      </c>
      <c r="J347" s="16" t="str">
        <f>=IF(F347="","",F347/3600)</f>
        <v/>
      </c>
      <c r="K347" s="11" t="str">
        <f>=IF(L347="","",IF(ISNUMBER(FIND("|",L347)),TRIM(LEFT(L347,FIND("|",L347)-1)),IF(ISNUMBER(MATCH(L347,Config!$F$1:$F$853,0)),L347,IFERROR(INDEX(Config!$F$1:$F$853,MATCH(L347,Config!$G$1:$G$853,0)),""))))</f>
        <v/>
      </c>
      <c r="L347" s="17" t="str">
        <f>=IFERROR(INDEX($L$17:L346,MATCH(C347,$C$17:C346,0)),"")</f>
        <v/>
      </c>
    </row>
    <row r="348" ht="18" customHeight="1" spans="1:12" x14ac:dyDescent="0.25">
      <c r="A348" s="10" t="s">
        <v>2</v>
      </c>
      <c r="B348" s="10" t="s">
        <v>2</v>
      </c>
      <c r="C348" s="10" t="s">
        <v>2</v>
      </c>
      <c r="D348" s="11" t="str">
        <f>=IF(E348="","",IF(ISNUMBER(FIND("|",E348)),TRIM(LEFT(E348,FIND("|",E348)-1)),IF(ISNUMBER(MATCH(E348,Config!$C$1:$C$311,0)),E348,IFERROR(INDEX(Config!$C$1:$C$311,MATCH(E348,Config!$D$1:$D$311,0)),""))))</f>
        <v/>
      </c>
      <c r="E348" s="12" t="s">
        <v>2</v>
      </c>
      <c r="F348" s="13" t="s">
        <v>2</v>
      </c>
      <c r="G348" s="14" t="str">
        <f>=IF(C348="","",SUMIF($C$17:$C$502,C348,$F$17:$F$502))</f>
        <v/>
      </c>
      <c r="H348" s="14" t="str">
        <f>=IFERROR($B$14/$B$10,"")</f>
        <v/>
      </c>
      <c r="I348" s="15" t="str">
        <f>=IFERROR(G348/H348,"")</f>
        <v/>
      </c>
      <c r="J348" s="16" t="str">
        <f>=IF(F348="","",F348/3600)</f>
        <v/>
      </c>
      <c r="K348" s="11" t="str">
        <f>=IF(L348="","",IF(ISNUMBER(FIND("|",L348)),TRIM(LEFT(L348,FIND("|",L348)-1)),IF(ISNUMBER(MATCH(L348,Config!$F$1:$F$853,0)),L348,IFERROR(INDEX(Config!$F$1:$F$853,MATCH(L348,Config!$G$1:$G$853,0)),""))))</f>
        <v/>
      </c>
      <c r="L348" s="17" t="str">
        <f>=IFERROR(INDEX($L$17:L347,MATCH(C348,$C$17:C347,0)),"")</f>
        <v/>
      </c>
    </row>
    <row r="349" ht="18" customHeight="1" spans="1:12" x14ac:dyDescent="0.25">
      <c r="A349" s="10" t="s">
        <v>2</v>
      </c>
      <c r="B349" s="10" t="s">
        <v>2</v>
      </c>
      <c r="C349" s="10" t="s">
        <v>2</v>
      </c>
      <c r="D349" s="11" t="str">
        <f>=IF(E349="","",IF(ISNUMBER(FIND("|",E349)),TRIM(LEFT(E349,FIND("|",E349)-1)),IF(ISNUMBER(MATCH(E349,Config!$C$1:$C$311,0)),E349,IFERROR(INDEX(Config!$C$1:$C$311,MATCH(E349,Config!$D$1:$D$311,0)),""))))</f>
        <v/>
      </c>
      <c r="E349" s="12" t="s">
        <v>2</v>
      </c>
      <c r="F349" s="13" t="s">
        <v>2</v>
      </c>
      <c r="G349" s="14" t="str">
        <f>=IF(C349="","",SUMIF($C$17:$C$502,C349,$F$17:$F$502))</f>
        <v/>
      </c>
      <c r="H349" s="14" t="str">
        <f>=IFERROR($B$14/$B$10,"")</f>
        <v/>
      </c>
      <c r="I349" s="15" t="str">
        <f>=IFERROR(G349/H349,"")</f>
        <v/>
      </c>
      <c r="J349" s="16" t="str">
        <f>=IF(F349="","",F349/3600)</f>
        <v/>
      </c>
      <c r="K349" s="11" t="str">
        <f>=IF(L349="","",IF(ISNUMBER(FIND("|",L349)),TRIM(LEFT(L349,FIND("|",L349)-1)),IF(ISNUMBER(MATCH(L349,Config!$F$1:$F$853,0)),L349,IFERROR(INDEX(Config!$F$1:$F$853,MATCH(L349,Config!$G$1:$G$853,0)),""))))</f>
        <v/>
      </c>
      <c r="L349" s="17" t="str">
        <f>=IFERROR(INDEX($L$17:L348,MATCH(C349,$C$17:C348,0)),"")</f>
        <v/>
      </c>
    </row>
    <row r="350" ht="18" customHeight="1" spans="1:12" x14ac:dyDescent="0.25">
      <c r="A350" s="10" t="s">
        <v>2</v>
      </c>
      <c r="B350" s="10" t="s">
        <v>2</v>
      </c>
      <c r="C350" s="10" t="s">
        <v>2</v>
      </c>
      <c r="D350" s="11" t="str">
        <f>=IF(E350="","",IF(ISNUMBER(FIND("|",E350)),TRIM(LEFT(E350,FIND("|",E350)-1)),IF(ISNUMBER(MATCH(E350,Config!$C$1:$C$311,0)),E350,IFERROR(INDEX(Config!$C$1:$C$311,MATCH(E350,Config!$D$1:$D$311,0)),""))))</f>
        <v/>
      </c>
      <c r="E350" s="12" t="s">
        <v>2</v>
      </c>
      <c r="F350" s="13" t="s">
        <v>2</v>
      </c>
      <c r="G350" s="14" t="str">
        <f>=IF(C350="","",SUMIF($C$17:$C$502,C350,$F$17:$F$502))</f>
        <v/>
      </c>
      <c r="H350" s="14" t="str">
        <f>=IFERROR($B$14/$B$10,"")</f>
        <v/>
      </c>
      <c r="I350" s="15" t="str">
        <f>=IFERROR(G350/H350,"")</f>
        <v/>
      </c>
      <c r="J350" s="16" t="str">
        <f>=IF(F350="","",F350/3600)</f>
        <v/>
      </c>
      <c r="K350" s="11" t="str">
        <f>=IF(L350="","",IF(ISNUMBER(FIND("|",L350)),TRIM(LEFT(L350,FIND("|",L350)-1)),IF(ISNUMBER(MATCH(L350,Config!$F$1:$F$853,0)),L350,IFERROR(INDEX(Config!$F$1:$F$853,MATCH(L350,Config!$G$1:$G$853,0)),""))))</f>
        <v/>
      </c>
      <c r="L350" s="17" t="str">
        <f>=IFERROR(INDEX($L$17:L349,MATCH(C350,$C$17:C349,0)),"")</f>
        <v/>
      </c>
    </row>
    <row r="351" ht="18" customHeight="1" spans="1:12" x14ac:dyDescent="0.25">
      <c r="A351" s="10" t="s">
        <v>2</v>
      </c>
      <c r="B351" s="10" t="s">
        <v>2</v>
      </c>
      <c r="C351" s="10" t="s">
        <v>2</v>
      </c>
      <c r="D351" s="11" t="str">
        <f>=IF(E351="","",IF(ISNUMBER(FIND("|",E351)),TRIM(LEFT(E351,FIND("|",E351)-1)),IF(ISNUMBER(MATCH(E351,Config!$C$1:$C$311,0)),E351,IFERROR(INDEX(Config!$C$1:$C$311,MATCH(E351,Config!$D$1:$D$311,0)),""))))</f>
        <v/>
      </c>
      <c r="E351" s="12" t="s">
        <v>2</v>
      </c>
      <c r="F351" s="13" t="s">
        <v>2</v>
      </c>
      <c r="G351" s="14" t="str">
        <f>=IF(C351="","",SUMIF($C$17:$C$502,C351,$F$17:$F$502))</f>
        <v/>
      </c>
      <c r="H351" s="14" t="str">
        <f>=IFERROR($B$14/$B$10,"")</f>
        <v/>
      </c>
      <c r="I351" s="15" t="str">
        <f>=IFERROR(G351/H351,"")</f>
        <v/>
      </c>
      <c r="J351" s="16" t="str">
        <f>=IF(F351="","",F351/3600)</f>
        <v/>
      </c>
      <c r="K351" s="11" t="str">
        <f>=IF(L351="","",IF(ISNUMBER(FIND("|",L351)),TRIM(LEFT(L351,FIND("|",L351)-1)),IF(ISNUMBER(MATCH(L351,Config!$F$1:$F$853,0)),L351,IFERROR(INDEX(Config!$F$1:$F$853,MATCH(L351,Config!$G$1:$G$853,0)),""))))</f>
        <v/>
      </c>
      <c r="L351" s="17" t="str">
        <f>=IFERROR(INDEX($L$17:L350,MATCH(C351,$C$17:C350,0)),"")</f>
        <v/>
      </c>
    </row>
    <row r="352" ht="18" customHeight="1" spans="1:12" x14ac:dyDescent="0.25">
      <c r="A352" s="10" t="s">
        <v>2</v>
      </c>
      <c r="B352" s="10" t="s">
        <v>2</v>
      </c>
      <c r="C352" s="10" t="s">
        <v>2</v>
      </c>
      <c r="D352" s="11" t="str">
        <f>=IF(E352="","",IF(ISNUMBER(FIND("|",E352)),TRIM(LEFT(E352,FIND("|",E352)-1)),IF(ISNUMBER(MATCH(E352,Config!$C$1:$C$311,0)),E352,IFERROR(INDEX(Config!$C$1:$C$311,MATCH(E352,Config!$D$1:$D$311,0)),""))))</f>
        <v/>
      </c>
      <c r="E352" s="12" t="s">
        <v>2</v>
      </c>
      <c r="F352" s="13" t="s">
        <v>2</v>
      </c>
      <c r="G352" s="14" t="str">
        <f>=IF(C352="","",SUMIF($C$17:$C$502,C352,$F$17:$F$502))</f>
        <v/>
      </c>
      <c r="H352" s="14" t="str">
        <f>=IFERROR($B$14/$B$10,"")</f>
        <v/>
      </c>
      <c r="I352" s="15" t="str">
        <f>=IFERROR(G352/H352,"")</f>
        <v/>
      </c>
      <c r="J352" s="16" t="str">
        <f>=IF(F352="","",F352/3600)</f>
        <v/>
      </c>
      <c r="K352" s="11" t="str">
        <f>=IF(L352="","",IF(ISNUMBER(FIND("|",L352)),TRIM(LEFT(L352,FIND("|",L352)-1)),IF(ISNUMBER(MATCH(L352,Config!$F$1:$F$853,0)),L352,IFERROR(INDEX(Config!$F$1:$F$853,MATCH(L352,Config!$G$1:$G$853,0)),""))))</f>
        <v/>
      </c>
      <c r="L352" s="17" t="str">
        <f>=IFERROR(INDEX($L$17:L351,MATCH(C352,$C$17:C351,0)),"")</f>
        <v/>
      </c>
    </row>
    <row r="353" ht="18" customHeight="1" spans="1:12" x14ac:dyDescent="0.25">
      <c r="A353" s="10" t="s">
        <v>2</v>
      </c>
      <c r="B353" s="10" t="s">
        <v>2</v>
      </c>
      <c r="C353" s="10" t="s">
        <v>2</v>
      </c>
      <c r="D353" s="11" t="str">
        <f>=IF(E353="","",IF(ISNUMBER(FIND("|",E353)),TRIM(LEFT(E353,FIND("|",E353)-1)),IF(ISNUMBER(MATCH(E353,Config!$C$1:$C$311,0)),E353,IFERROR(INDEX(Config!$C$1:$C$311,MATCH(E353,Config!$D$1:$D$311,0)),""))))</f>
        <v/>
      </c>
      <c r="E353" s="12" t="s">
        <v>2</v>
      </c>
      <c r="F353" s="13" t="s">
        <v>2</v>
      </c>
      <c r="G353" s="14" t="str">
        <f>=IF(C353="","",SUMIF($C$17:$C$502,C353,$F$17:$F$502))</f>
        <v/>
      </c>
      <c r="H353" s="14" t="str">
        <f>=IFERROR($B$14/$B$10,"")</f>
        <v/>
      </c>
      <c r="I353" s="15" t="str">
        <f>=IFERROR(G353/H353,"")</f>
        <v/>
      </c>
      <c r="J353" s="16" t="str">
        <f>=IF(F353="","",F353/3600)</f>
        <v/>
      </c>
      <c r="K353" s="11" t="str">
        <f>=IF(L353="","",IF(ISNUMBER(FIND("|",L353)),TRIM(LEFT(L353,FIND("|",L353)-1)),IF(ISNUMBER(MATCH(L353,Config!$F$1:$F$853,0)),L353,IFERROR(INDEX(Config!$F$1:$F$853,MATCH(L353,Config!$G$1:$G$853,0)),""))))</f>
        <v/>
      </c>
      <c r="L353" s="17" t="str">
        <f>=IFERROR(INDEX($L$17:L352,MATCH(C353,$C$17:C352,0)),"")</f>
        <v/>
      </c>
    </row>
    <row r="354" ht="18" customHeight="1" spans="1:12" x14ac:dyDescent="0.25">
      <c r="A354" s="10" t="s">
        <v>2</v>
      </c>
      <c r="B354" s="10" t="s">
        <v>2</v>
      </c>
      <c r="C354" s="10" t="s">
        <v>2</v>
      </c>
      <c r="D354" s="11" t="str">
        <f>=IF(E354="","",IF(ISNUMBER(FIND("|",E354)),TRIM(LEFT(E354,FIND("|",E354)-1)),IF(ISNUMBER(MATCH(E354,Config!$C$1:$C$311,0)),E354,IFERROR(INDEX(Config!$C$1:$C$311,MATCH(E354,Config!$D$1:$D$311,0)),""))))</f>
        <v/>
      </c>
      <c r="E354" s="12" t="s">
        <v>2</v>
      </c>
      <c r="F354" s="13" t="s">
        <v>2</v>
      </c>
      <c r="G354" s="14" t="str">
        <f>=IF(C354="","",SUMIF($C$17:$C$502,C354,$F$17:$F$502))</f>
        <v/>
      </c>
      <c r="H354" s="14" t="str">
        <f>=IFERROR($B$14/$B$10,"")</f>
        <v/>
      </c>
      <c r="I354" s="15" t="str">
        <f>=IFERROR(G354/H354,"")</f>
        <v/>
      </c>
      <c r="J354" s="16" t="str">
        <f>=IF(F354="","",F354/3600)</f>
        <v/>
      </c>
      <c r="K354" s="11" t="str">
        <f>=IF(L354="","",IF(ISNUMBER(FIND("|",L354)),TRIM(LEFT(L354,FIND("|",L354)-1)),IF(ISNUMBER(MATCH(L354,Config!$F$1:$F$853,0)),L354,IFERROR(INDEX(Config!$F$1:$F$853,MATCH(L354,Config!$G$1:$G$853,0)),""))))</f>
        <v/>
      </c>
      <c r="L354" s="17" t="str">
        <f>=IFERROR(INDEX($L$17:L353,MATCH(C354,$C$17:C353,0)),"")</f>
        <v/>
      </c>
    </row>
    <row r="355" ht="18" customHeight="1" spans="1:12" x14ac:dyDescent="0.25">
      <c r="A355" s="10" t="s">
        <v>2</v>
      </c>
      <c r="B355" s="10" t="s">
        <v>2</v>
      </c>
      <c r="C355" s="10" t="s">
        <v>2</v>
      </c>
      <c r="D355" s="11" t="str">
        <f>=IF(E355="","",IF(ISNUMBER(FIND("|",E355)),TRIM(LEFT(E355,FIND("|",E355)-1)),IF(ISNUMBER(MATCH(E355,Config!$C$1:$C$311,0)),E355,IFERROR(INDEX(Config!$C$1:$C$311,MATCH(E355,Config!$D$1:$D$311,0)),""))))</f>
        <v/>
      </c>
      <c r="E355" s="12" t="s">
        <v>2</v>
      </c>
      <c r="F355" s="13" t="s">
        <v>2</v>
      </c>
      <c r="G355" s="14" t="str">
        <f>=IF(C355="","",SUMIF($C$17:$C$502,C355,$F$17:$F$502))</f>
        <v/>
      </c>
      <c r="H355" s="14" t="str">
        <f>=IFERROR($B$14/$B$10,"")</f>
        <v/>
      </c>
      <c r="I355" s="15" t="str">
        <f>=IFERROR(G355/H355,"")</f>
        <v/>
      </c>
      <c r="J355" s="16" t="str">
        <f>=IF(F355="","",F355/3600)</f>
        <v/>
      </c>
      <c r="K355" s="11" t="str">
        <f>=IF(L355="","",IF(ISNUMBER(FIND("|",L355)),TRIM(LEFT(L355,FIND("|",L355)-1)),IF(ISNUMBER(MATCH(L355,Config!$F$1:$F$853,0)),L355,IFERROR(INDEX(Config!$F$1:$F$853,MATCH(L355,Config!$G$1:$G$853,0)),""))))</f>
        <v/>
      </c>
      <c r="L355" s="17" t="str">
        <f>=IFERROR(INDEX($L$17:L354,MATCH(C355,$C$17:C354,0)),"")</f>
        <v/>
      </c>
    </row>
    <row r="356" ht="18" customHeight="1" spans="1:12" x14ac:dyDescent="0.25">
      <c r="A356" s="10" t="s">
        <v>2</v>
      </c>
      <c r="B356" s="10" t="s">
        <v>2</v>
      </c>
      <c r="C356" s="10" t="s">
        <v>2</v>
      </c>
      <c r="D356" s="11" t="str">
        <f>=IF(E356="","",IF(ISNUMBER(FIND("|",E356)),TRIM(LEFT(E356,FIND("|",E356)-1)),IF(ISNUMBER(MATCH(E356,Config!$C$1:$C$311,0)),E356,IFERROR(INDEX(Config!$C$1:$C$311,MATCH(E356,Config!$D$1:$D$311,0)),""))))</f>
        <v/>
      </c>
      <c r="E356" s="12" t="s">
        <v>2</v>
      </c>
      <c r="F356" s="13" t="s">
        <v>2</v>
      </c>
      <c r="G356" s="14" t="str">
        <f>=IF(C356="","",SUMIF($C$17:$C$502,C356,$F$17:$F$502))</f>
        <v/>
      </c>
      <c r="H356" s="14" t="str">
        <f>=IFERROR($B$14/$B$10,"")</f>
        <v/>
      </c>
      <c r="I356" s="15" t="str">
        <f>=IFERROR(G356/H356,"")</f>
        <v/>
      </c>
      <c r="J356" s="16" t="str">
        <f>=IF(F356="","",F356/3600)</f>
        <v/>
      </c>
      <c r="K356" s="11" t="str">
        <f>=IF(L356="","",IF(ISNUMBER(FIND("|",L356)),TRIM(LEFT(L356,FIND("|",L356)-1)),IF(ISNUMBER(MATCH(L356,Config!$F$1:$F$853,0)),L356,IFERROR(INDEX(Config!$F$1:$F$853,MATCH(L356,Config!$G$1:$G$853,0)),""))))</f>
        <v/>
      </c>
      <c r="L356" s="17" t="str">
        <f>=IFERROR(INDEX($L$17:L355,MATCH(C356,$C$17:C355,0)),"")</f>
        <v/>
      </c>
    </row>
    <row r="357" ht="18" customHeight="1" spans="1:12" x14ac:dyDescent="0.25">
      <c r="A357" s="10" t="s">
        <v>2</v>
      </c>
      <c r="B357" s="10" t="s">
        <v>2</v>
      </c>
      <c r="C357" s="10" t="s">
        <v>2</v>
      </c>
      <c r="D357" s="11" t="str">
        <f>=IF(E357="","",IF(ISNUMBER(FIND("|",E357)),TRIM(LEFT(E357,FIND("|",E357)-1)),IF(ISNUMBER(MATCH(E357,Config!$C$1:$C$311,0)),E357,IFERROR(INDEX(Config!$C$1:$C$311,MATCH(E357,Config!$D$1:$D$311,0)),""))))</f>
        <v/>
      </c>
      <c r="E357" s="12" t="s">
        <v>2</v>
      </c>
      <c r="F357" s="13" t="s">
        <v>2</v>
      </c>
      <c r="G357" s="14" t="str">
        <f>=IF(C357="","",SUMIF($C$17:$C$502,C357,$F$17:$F$502))</f>
        <v/>
      </c>
      <c r="H357" s="14" t="str">
        <f>=IFERROR($B$14/$B$10,"")</f>
        <v/>
      </c>
      <c r="I357" s="15" t="str">
        <f>=IFERROR(G357/H357,"")</f>
        <v/>
      </c>
      <c r="J357" s="16" t="str">
        <f>=IF(F357="","",F357/3600)</f>
        <v/>
      </c>
      <c r="K357" s="11" t="str">
        <f>=IF(L357="","",IF(ISNUMBER(FIND("|",L357)),TRIM(LEFT(L357,FIND("|",L357)-1)),IF(ISNUMBER(MATCH(L357,Config!$F$1:$F$853,0)),L357,IFERROR(INDEX(Config!$F$1:$F$853,MATCH(L357,Config!$G$1:$G$853,0)),""))))</f>
        <v/>
      </c>
      <c r="L357" s="17" t="str">
        <f>=IFERROR(INDEX($L$17:L356,MATCH(C357,$C$17:C356,0)),"")</f>
        <v/>
      </c>
    </row>
    <row r="358" ht="18" customHeight="1" spans="1:12" x14ac:dyDescent="0.25">
      <c r="A358" s="10" t="s">
        <v>2</v>
      </c>
      <c r="B358" s="10" t="s">
        <v>2</v>
      </c>
      <c r="C358" s="10" t="s">
        <v>2</v>
      </c>
      <c r="D358" s="11" t="str">
        <f>=IF(E358="","",IF(ISNUMBER(FIND("|",E358)),TRIM(LEFT(E358,FIND("|",E358)-1)),IF(ISNUMBER(MATCH(E358,Config!$C$1:$C$311,0)),E358,IFERROR(INDEX(Config!$C$1:$C$311,MATCH(E358,Config!$D$1:$D$311,0)),""))))</f>
        <v/>
      </c>
      <c r="E358" s="12" t="s">
        <v>2</v>
      </c>
      <c r="F358" s="13" t="s">
        <v>2</v>
      </c>
      <c r="G358" s="14" t="str">
        <f>=IF(C358="","",SUMIF($C$17:$C$502,C358,$F$17:$F$502))</f>
        <v/>
      </c>
      <c r="H358" s="14" t="str">
        <f>=IFERROR($B$14/$B$10,"")</f>
        <v/>
      </c>
      <c r="I358" s="15" t="str">
        <f>=IFERROR(G358/H358,"")</f>
        <v/>
      </c>
      <c r="J358" s="16" t="str">
        <f>=IF(F358="","",F358/3600)</f>
        <v/>
      </c>
      <c r="K358" s="11" t="str">
        <f>=IF(L358="","",IF(ISNUMBER(FIND("|",L358)),TRIM(LEFT(L358,FIND("|",L358)-1)),IF(ISNUMBER(MATCH(L358,Config!$F$1:$F$853,0)),L358,IFERROR(INDEX(Config!$F$1:$F$853,MATCH(L358,Config!$G$1:$G$853,0)),""))))</f>
        <v/>
      </c>
      <c r="L358" s="17" t="str">
        <f>=IFERROR(INDEX($L$17:L357,MATCH(C358,$C$17:C357,0)),"")</f>
        <v/>
      </c>
    </row>
    <row r="359" ht="18" customHeight="1" spans="1:12" x14ac:dyDescent="0.25">
      <c r="A359" s="10" t="s">
        <v>2</v>
      </c>
      <c r="B359" s="10" t="s">
        <v>2</v>
      </c>
      <c r="C359" s="10" t="s">
        <v>2</v>
      </c>
      <c r="D359" s="11" t="str">
        <f>=IF(E359="","",IF(ISNUMBER(FIND("|",E359)),TRIM(LEFT(E359,FIND("|",E359)-1)),IF(ISNUMBER(MATCH(E359,Config!$C$1:$C$311,0)),E359,IFERROR(INDEX(Config!$C$1:$C$311,MATCH(E359,Config!$D$1:$D$311,0)),""))))</f>
        <v/>
      </c>
      <c r="E359" s="12" t="s">
        <v>2</v>
      </c>
      <c r="F359" s="13" t="s">
        <v>2</v>
      </c>
      <c r="G359" s="14" t="str">
        <f>=IF(C359="","",SUMIF($C$17:$C$502,C359,$F$17:$F$502))</f>
        <v/>
      </c>
      <c r="H359" s="14" t="str">
        <f>=IFERROR($B$14/$B$10,"")</f>
        <v/>
      </c>
      <c r="I359" s="15" t="str">
        <f>=IFERROR(G359/H359,"")</f>
        <v/>
      </c>
      <c r="J359" s="16" t="str">
        <f>=IF(F359="","",F359/3600)</f>
        <v/>
      </c>
      <c r="K359" s="11" t="str">
        <f>=IF(L359="","",IF(ISNUMBER(FIND("|",L359)),TRIM(LEFT(L359,FIND("|",L359)-1)),IF(ISNUMBER(MATCH(L359,Config!$F$1:$F$853,0)),L359,IFERROR(INDEX(Config!$F$1:$F$853,MATCH(L359,Config!$G$1:$G$853,0)),""))))</f>
        <v/>
      </c>
      <c r="L359" s="17" t="str">
        <f>=IFERROR(INDEX($L$17:L358,MATCH(C359,$C$17:C358,0)),"")</f>
        <v/>
      </c>
    </row>
    <row r="360" ht="18" customHeight="1" spans="1:12" x14ac:dyDescent="0.25">
      <c r="A360" s="10" t="s">
        <v>2</v>
      </c>
      <c r="B360" s="10" t="s">
        <v>2</v>
      </c>
      <c r="C360" s="10" t="s">
        <v>2</v>
      </c>
      <c r="D360" s="11" t="str">
        <f>=IF(E360="","",IF(ISNUMBER(FIND("|",E360)),TRIM(LEFT(E360,FIND("|",E360)-1)),IF(ISNUMBER(MATCH(E360,Config!$C$1:$C$311,0)),E360,IFERROR(INDEX(Config!$C$1:$C$311,MATCH(E360,Config!$D$1:$D$311,0)),""))))</f>
        <v/>
      </c>
      <c r="E360" s="12" t="s">
        <v>2</v>
      </c>
      <c r="F360" s="13" t="s">
        <v>2</v>
      </c>
      <c r="G360" s="14" t="str">
        <f>=IF(C360="","",SUMIF($C$17:$C$502,C360,$F$17:$F$502))</f>
        <v/>
      </c>
      <c r="H360" s="14" t="str">
        <f>=IFERROR($B$14/$B$10,"")</f>
        <v/>
      </c>
      <c r="I360" s="15" t="str">
        <f>=IFERROR(G360/H360,"")</f>
        <v/>
      </c>
      <c r="J360" s="16" t="str">
        <f>=IF(F360="","",F360/3600)</f>
        <v/>
      </c>
      <c r="K360" s="11" t="str">
        <f>=IF(L360="","",IF(ISNUMBER(FIND("|",L360)),TRIM(LEFT(L360,FIND("|",L360)-1)),IF(ISNUMBER(MATCH(L360,Config!$F$1:$F$853,0)),L360,IFERROR(INDEX(Config!$F$1:$F$853,MATCH(L360,Config!$G$1:$G$853,0)),""))))</f>
        <v/>
      </c>
      <c r="L360" s="17" t="str">
        <f>=IFERROR(INDEX($L$17:L359,MATCH(C360,$C$17:C359,0)),"")</f>
        <v/>
      </c>
    </row>
    <row r="361" ht="18" customHeight="1" spans="1:12" x14ac:dyDescent="0.25">
      <c r="A361" s="10" t="s">
        <v>2</v>
      </c>
      <c r="B361" s="10" t="s">
        <v>2</v>
      </c>
      <c r="C361" s="10" t="s">
        <v>2</v>
      </c>
      <c r="D361" s="11" t="str">
        <f>=IF(E361="","",IF(ISNUMBER(FIND("|",E361)),TRIM(LEFT(E361,FIND("|",E361)-1)),IF(ISNUMBER(MATCH(E361,Config!$C$1:$C$311,0)),E361,IFERROR(INDEX(Config!$C$1:$C$311,MATCH(E361,Config!$D$1:$D$311,0)),""))))</f>
        <v/>
      </c>
      <c r="E361" s="12" t="s">
        <v>2</v>
      </c>
      <c r="F361" s="13" t="s">
        <v>2</v>
      </c>
      <c r="G361" s="14" t="str">
        <f>=IF(C361="","",SUMIF($C$17:$C$502,C361,$F$17:$F$502))</f>
        <v/>
      </c>
      <c r="H361" s="14" t="str">
        <f>=IFERROR($B$14/$B$10,"")</f>
        <v/>
      </c>
      <c r="I361" s="15" t="str">
        <f>=IFERROR(G361/H361,"")</f>
        <v/>
      </c>
      <c r="J361" s="16" t="str">
        <f>=IF(F361="","",F361/3600)</f>
        <v/>
      </c>
      <c r="K361" s="11" t="str">
        <f>=IF(L361="","",IF(ISNUMBER(FIND("|",L361)),TRIM(LEFT(L361,FIND("|",L361)-1)),IF(ISNUMBER(MATCH(L361,Config!$F$1:$F$853,0)),L361,IFERROR(INDEX(Config!$F$1:$F$853,MATCH(L361,Config!$G$1:$G$853,0)),""))))</f>
        <v/>
      </c>
      <c r="L361" s="17" t="str">
        <f>=IFERROR(INDEX($L$17:L360,MATCH(C361,$C$17:C360,0)),"")</f>
        <v/>
      </c>
    </row>
    <row r="362" ht="18" customHeight="1" spans="1:12" x14ac:dyDescent="0.25">
      <c r="A362" s="10" t="s">
        <v>2</v>
      </c>
      <c r="B362" s="10" t="s">
        <v>2</v>
      </c>
      <c r="C362" s="10" t="s">
        <v>2</v>
      </c>
      <c r="D362" s="11" t="str">
        <f>=IF(E362="","",IF(ISNUMBER(FIND("|",E362)),TRIM(LEFT(E362,FIND("|",E362)-1)),IF(ISNUMBER(MATCH(E362,Config!$C$1:$C$311,0)),E362,IFERROR(INDEX(Config!$C$1:$C$311,MATCH(E362,Config!$D$1:$D$311,0)),""))))</f>
        <v/>
      </c>
      <c r="E362" s="12" t="s">
        <v>2</v>
      </c>
      <c r="F362" s="13" t="s">
        <v>2</v>
      </c>
      <c r="G362" s="14" t="str">
        <f>=IF(C362="","",SUMIF($C$17:$C$502,C362,$F$17:$F$502))</f>
        <v/>
      </c>
      <c r="H362" s="14" t="str">
        <f>=IFERROR($B$14/$B$10,"")</f>
        <v/>
      </c>
      <c r="I362" s="15" t="str">
        <f>=IFERROR(G362/H362,"")</f>
        <v/>
      </c>
      <c r="J362" s="16" t="str">
        <f>=IF(F362="","",F362/3600)</f>
        <v/>
      </c>
      <c r="K362" s="11" t="str">
        <f>=IF(L362="","",IF(ISNUMBER(FIND("|",L362)),TRIM(LEFT(L362,FIND("|",L362)-1)),IF(ISNUMBER(MATCH(L362,Config!$F$1:$F$853,0)),L362,IFERROR(INDEX(Config!$F$1:$F$853,MATCH(L362,Config!$G$1:$G$853,0)),""))))</f>
        <v/>
      </c>
      <c r="L362" s="17" t="str">
        <f>=IFERROR(INDEX($L$17:L361,MATCH(C362,$C$17:C361,0)),"")</f>
        <v/>
      </c>
    </row>
    <row r="363" ht="18" customHeight="1" spans="1:12" x14ac:dyDescent="0.25">
      <c r="A363" s="10" t="s">
        <v>2</v>
      </c>
      <c r="B363" s="10" t="s">
        <v>2</v>
      </c>
      <c r="C363" s="10" t="s">
        <v>2</v>
      </c>
      <c r="D363" s="11" t="str">
        <f>=IF(E363="","",IF(ISNUMBER(FIND("|",E363)),TRIM(LEFT(E363,FIND("|",E363)-1)),IF(ISNUMBER(MATCH(E363,Config!$C$1:$C$311,0)),E363,IFERROR(INDEX(Config!$C$1:$C$311,MATCH(E363,Config!$D$1:$D$311,0)),""))))</f>
        <v/>
      </c>
      <c r="E363" s="12" t="s">
        <v>2</v>
      </c>
      <c r="F363" s="13" t="s">
        <v>2</v>
      </c>
      <c r="G363" s="14" t="str">
        <f>=IF(C363="","",SUMIF($C$17:$C$502,C363,$F$17:$F$502))</f>
        <v/>
      </c>
      <c r="H363" s="14" t="str">
        <f>=IFERROR($B$14/$B$10,"")</f>
        <v/>
      </c>
      <c r="I363" s="15" t="str">
        <f>=IFERROR(G363/H363,"")</f>
        <v/>
      </c>
      <c r="J363" s="16" t="str">
        <f>=IF(F363="","",F363/3600)</f>
        <v/>
      </c>
      <c r="K363" s="11" t="str">
        <f>=IF(L363="","",IF(ISNUMBER(FIND("|",L363)),TRIM(LEFT(L363,FIND("|",L363)-1)),IF(ISNUMBER(MATCH(L363,Config!$F$1:$F$853,0)),L363,IFERROR(INDEX(Config!$F$1:$F$853,MATCH(L363,Config!$G$1:$G$853,0)),""))))</f>
        <v/>
      </c>
      <c r="L363" s="17" t="str">
        <f>=IFERROR(INDEX($L$17:L362,MATCH(C363,$C$17:C362,0)),"")</f>
        <v/>
      </c>
    </row>
    <row r="364" ht="18" customHeight="1" spans="1:12" x14ac:dyDescent="0.25">
      <c r="A364" s="10" t="s">
        <v>2</v>
      </c>
      <c r="B364" s="10" t="s">
        <v>2</v>
      </c>
      <c r="C364" s="10" t="s">
        <v>2</v>
      </c>
      <c r="D364" s="11" t="str">
        <f>=IF(E364="","",IF(ISNUMBER(FIND("|",E364)),TRIM(LEFT(E364,FIND("|",E364)-1)),IF(ISNUMBER(MATCH(E364,Config!$C$1:$C$311,0)),E364,IFERROR(INDEX(Config!$C$1:$C$311,MATCH(E364,Config!$D$1:$D$311,0)),""))))</f>
        <v/>
      </c>
      <c r="E364" s="12" t="s">
        <v>2</v>
      </c>
      <c r="F364" s="13" t="s">
        <v>2</v>
      </c>
      <c r="G364" s="14" t="str">
        <f>=IF(C364="","",SUMIF($C$17:$C$502,C364,$F$17:$F$502))</f>
        <v/>
      </c>
      <c r="H364" s="14" t="str">
        <f>=IFERROR($B$14/$B$10,"")</f>
        <v/>
      </c>
      <c r="I364" s="15" t="str">
        <f>=IFERROR(G364/H364,"")</f>
        <v/>
      </c>
      <c r="J364" s="16" t="str">
        <f>=IF(F364="","",F364/3600)</f>
        <v/>
      </c>
      <c r="K364" s="11" t="str">
        <f>=IF(L364="","",IF(ISNUMBER(FIND("|",L364)),TRIM(LEFT(L364,FIND("|",L364)-1)),IF(ISNUMBER(MATCH(L364,Config!$F$1:$F$853,0)),L364,IFERROR(INDEX(Config!$F$1:$F$853,MATCH(L364,Config!$G$1:$G$853,0)),""))))</f>
        <v/>
      </c>
      <c r="L364" s="17" t="str">
        <f>=IFERROR(INDEX($L$17:L363,MATCH(C364,$C$17:C363,0)),"")</f>
        <v/>
      </c>
    </row>
    <row r="365" ht="18" customHeight="1" spans="1:12" x14ac:dyDescent="0.25">
      <c r="A365" s="10" t="s">
        <v>2</v>
      </c>
      <c r="B365" s="10" t="s">
        <v>2</v>
      </c>
      <c r="C365" s="10" t="s">
        <v>2</v>
      </c>
      <c r="D365" s="11" t="str">
        <f>=IF(E365="","",IF(ISNUMBER(FIND("|",E365)),TRIM(LEFT(E365,FIND("|",E365)-1)),IF(ISNUMBER(MATCH(E365,Config!$C$1:$C$311,0)),E365,IFERROR(INDEX(Config!$C$1:$C$311,MATCH(E365,Config!$D$1:$D$311,0)),""))))</f>
        <v/>
      </c>
      <c r="E365" s="12" t="s">
        <v>2</v>
      </c>
      <c r="F365" s="13" t="s">
        <v>2</v>
      </c>
      <c r="G365" s="14" t="str">
        <f>=IF(C365="","",SUMIF($C$17:$C$502,C365,$F$17:$F$502))</f>
        <v/>
      </c>
      <c r="H365" s="14" t="str">
        <f>=IFERROR($B$14/$B$10,"")</f>
        <v/>
      </c>
      <c r="I365" s="15" t="str">
        <f>=IFERROR(G365/H365,"")</f>
        <v/>
      </c>
      <c r="J365" s="16" t="str">
        <f>=IF(F365="","",F365/3600)</f>
        <v/>
      </c>
      <c r="K365" s="11" t="str">
        <f>=IF(L365="","",IF(ISNUMBER(FIND("|",L365)),TRIM(LEFT(L365,FIND("|",L365)-1)),IF(ISNUMBER(MATCH(L365,Config!$F$1:$F$853,0)),L365,IFERROR(INDEX(Config!$F$1:$F$853,MATCH(L365,Config!$G$1:$G$853,0)),""))))</f>
        <v/>
      </c>
      <c r="L365" s="17" t="str">
        <f>=IFERROR(INDEX($L$17:L364,MATCH(C365,$C$17:C364,0)),"")</f>
        <v/>
      </c>
    </row>
    <row r="366" ht="18" customHeight="1" spans="1:12" x14ac:dyDescent="0.25">
      <c r="A366" s="10" t="s">
        <v>2</v>
      </c>
      <c r="B366" s="10" t="s">
        <v>2</v>
      </c>
      <c r="C366" s="10" t="s">
        <v>2</v>
      </c>
      <c r="D366" s="11" t="str">
        <f>=IF(E366="","",IF(ISNUMBER(FIND("|",E366)),TRIM(LEFT(E366,FIND("|",E366)-1)),IF(ISNUMBER(MATCH(E366,Config!$C$1:$C$311,0)),E366,IFERROR(INDEX(Config!$C$1:$C$311,MATCH(E366,Config!$D$1:$D$311,0)),""))))</f>
        <v/>
      </c>
      <c r="E366" s="12" t="s">
        <v>2</v>
      </c>
      <c r="F366" s="13" t="s">
        <v>2</v>
      </c>
      <c r="G366" s="14" t="str">
        <f>=IF(C366="","",SUMIF($C$17:$C$502,C366,$F$17:$F$502))</f>
        <v/>
      </c>
      <c r="H366" s="14" t="str">
        <f>=IFERROR($B$14/$B$10,"")</f>
        <v/>
      </c>
      <c r="I366" s="15" t="str">
        <f>=IFERROR(G366/H366,"")</f>
        <v/>
      </c>
      <c r="J366" s="16" t="str">
        <f>=IF(F366="","",F366/3600)</f>
        <v/>
      </c>
      <c r="K366" s="11" t="str">
        <f>=IF(L366="","",IF(ISNUMBER(FIND("|",L366)),TRIM(LEFT(L366,FIND("|",L366)-1)),IF(ISNUMBER(MATCH(L366,Config!$F$1:$F$853,0)),L366,IFERROR(INDEX(Config!$F$1:$F$853,MATCH(L366,Config!$G$1:$G$853,0)),""))))</f>
        <v/>
      </c>
      <c r="L366" s="17" t="str">
        <f>=IFERROR(INDEX($L$17:L365,MATCH(C366,$C$17:C365,0)),"")</f>
        <v/>
      </c>
    </row>
    <row r="367" ht="18" customHeight="1" spans="1:12" x14ac:dyDescent="0.25">
      <c r="A367" s="10" t="s">
        <v>2</v>
      </c>
      <c r="B367" s="10" t="s">
        <v>2</v>
      </c>
      <c r="C367" s="10" t="s">
        <v>2</v>
      </c>
      <c r="D367" s="11" t="str">
        <f>=IF(E367="","",IF(ISNUMBER(FIND("|",E367)),TRIM(LEFT(E367,FIND("|",E367)-1)),IF(ISNUMBER(MATCH(E367,Config!$C$1:$C$311,0)),E367,IFERROR(INDEX(Config!$C$1:$C$311,MATCH(E367,Config!$D$1:$D$311,0)),""))))</f>
        <v/>
      </c>
      <c r="E367" s="12" t="s">
        <v>2</v>
      </c>
      <c r="F367" s="13" t="s">
        <v>2</v>
      </c>
      <c r="G367" s="14" t="str">
        <f>=IF(C367="","",SUMIF($C$17:$C$502,C367,$F$17:$F$502))</f>
        <v/>
      </c>
      <c r="H367" s="14" t="str">
        <f>=IFERROR($B$14/$B$10,"")</f>
        <v/>
      </c>
      <c r="I367" s="15" t="str">
        <f>=IFERROR(G367/H367,"")</f>
        <v/>
      </c>
      <c r="J367" s="16" t="str">
        <f>=IF(F367="","",F367/3600)</f>
        <v/>
      </c>
      <c r="K367" s="11" t="str">
        <f>=IF(L367="","",IF(ISNUMBER(FIND("|",L367)),TRIM(LEFT(L367,FIND("|",L367)-1)),IF(ISNUMBER(MATCH(L367,Config!$F$1:$F$853,0)),L367,IFERROR(INDEX(Config!$F$1:$F$853,MATCH(L367,Config!$G$1:$G$853,0)),""))))</f>
        <v/>
      </c>
      <c r="L367" s="17" t="str">
        <f>=IFERROR(INDEX($L$17:L366,MATCH(C367,$C$17:C366,0)),"")</f>
        <v/>
      </c>
    </row>
    <row r="368" ht="18" customHeight="1" spans="1:12" x14ac:dyDescent="0.25">
      <c r="A368" s="10" t="s">
        <v>2</v>
      </c>
      <c r="B368" s="10" t="s">
        <v>2</v>
      </c>
      <c r="C368" s="10" t="s">
        <v>2</v>
      </c>
      <c r="D368" s="11" t="str">
        <f>=IF(E368="","",IF(ISNUMBER(FIND("|",E368)),TRIM(LEFT(E368,FIND("|",E368)-1)),IF(ISNUMBER(MATCH(E368,Config!$C$1:$C$311,0)),E368,IFERROR(INDEX(Config!$C$1:$C$311,MATCH(E368,Config!$D$1:$D$311,0)),""))))</f>
        <v/>
      </c>
      <c r="E368" s="12" t="s">
        <v>2</v>
      </c>
      <c r="F368" s="13" t="s">
        <v>2</v>
      </c>
      <c r="G368" s="14" t="str">
        <f>=IF(C368="","",SUMIF($C$17:$C$502,C368,$F$17:$F$502))</f>
        <v/>
      </c>
      <c r="H368" s="14" t="str">
        <f>=IFERROR($B$14/$B$10,"")</f>
        <v/>
      </c>
      <c r="I368" s="15" t="str">
        <f>=IFERROR(G368/H368,"")</f>
        <v/>
      </c>
      <c r="J368" s="16" t="str">
        <f>=IF(F368="","",F368/3600)</f>
        <v/>
      </c>
      <c r="K368" s="11" t="str">
        <f>=IF(L368="","",IF(ISNUMBER(FIND("|",L368)),TRIM(LEFT(L368,FIND("|",L368)-1)),IF(ISNUMBER(MATCH(L368,Config!$F$1:$F$853,0)),L368,IFERROR(INDEX(Config!$F$1:$F$853,MATCH(L368,Config!$G$1:$G$853,0)),""))))</f>
        <v/>
      </c>
      <c r="L368" s="17" t="str">
        <f>=IFERROR(INDEX($L$17:L367,MATCH(C368,$C$17:C367,0)),"")</f>
        <v/>
      </c>
    </row>
    <row r="369" ht="18" customHeight="1" spans="1:12" x14ac:dyDescent="0.25">
      <c r="A369" s="10" t="s">
        <v>2</v>
      </c>
      <c r="B369" s="10" t="s">
        <v>2</v>
      </c>
      <c r="C369" s="10" t="s">
        <v>2</v>
      </c>
      <c r="D369" s="11" t="str">
        <f>=IF(E369="","",IF(ISNUMBER(FIND("|",E369)),TRIM(LEFT(E369,FIND("|",E369)-1)),IF(ISNUMBER(MATCH(E369,Config!$C$1:$C$311,0)),E369,IFERROR(INDEX(Config!$C$1:$C$311,MATCH(E369,Config!$D$1:$D$311,0)),""))))</f>
        <v/>
      </c>
      <c r="E369" s="12" t="s">
        <v>2</v>
      </c>
      <c r="F369" s="13" t="s">
        <v>2</v>
      </c>
      <c r="G369" s="14" t="str">
        <f>=IF(C369="","",SUMIF($C$17:$C$502,C369,$F$17:$F$502))</f>
        <v/>
      </c>
      <c r="H369" s="14" t="str">
        <f>=IFERROR($B$14/$B$10,"")</f>
        <v/>
      </c>
      <c r="I369" s="15" t="str">
        <f>=IFERROR(G369/H369,"")</f>
        <v/>
      </c>
      <c r="J369" s="16" t="str">
        <f>=IF(F369="","",F369/3600)</f>
        <v/>
      </c>
      <c r="K369" s="11" t="str">
        <f>=IF(L369="","",IF(ISNUMBER(FIND("|",L369)),TRIM(LEFT(L369,FIND("|",L369)-1)),IF(ISNUMBER(MATCH(L369,Config!$F$1:$F$853,0)),L369,IFERROR(INDEX(Config!$F$1:$F$853,MATCH(L369,Config!$G$1:$G$853,0)),""))))</f>
        <v/>
      </c>
      <c r="L369" s="17" t="str">
        <f>=IFERROR(INDEX($L$17:L368,MATCH(C369,$C$17:C368,0)),"")</f>
        <v/>
      </c>
    </row>
    <row r="370" ht="18" customHeight="1" spans="1:12" x14ac:dyDescent="0.25">
      <c r="A370" s="10" t="s">
        <v>2</v>
      </c>
      <c r="B370" s="10" t="s">
        <v>2</v>
      </c>
      <c r="C370" s="10" t="s">
        <v>2</v>
      </c>
      <c r="D370" s="11" t="str">
        <f>=IF(E370="","",IF(ISNUMBER(FIND("|",E370)),TRIM(LEFT(E370,FIND("|",E370)-1)),IF(ISNUMBER(MATCH(E370,Config!$C$1:$C$311,0)),E370,IFERROR(INDEX(Config!$C$1:$C$311,MATCH(E370,Config!$D$1:$D$311,0)),""))))</f>
        <v/>
      </c>
      <c r="E370" s="12" t="s">
        <v>2</v>
      </c>
      <c r="F370" s="13" t="s">
        <v>2</v>
      </c>
      <c r="G370" s="14" t="str">
        <f>=IF(C370="","",SUMIF($C$17:$C$502,C370,$F$17:$F$502))</f>
        <v/>
      </c>
      <c r="H370" s="14" t="str">
        <f>=IFERROR($B$14/$B$10,"")</f>
        <v/>
      </c>
      <c r="I370" s="15" t="str">
        <f>=IFERROR(G370/H370,"")</f>
        <v/>
      </c>
      <c r="J370" s="16" t="str">
        <f>=IF(F370="","",F370/3600)</f>
        <v/>
      </c>
      <c r="K370" s="11" t="str">
        <f>=IF(L370="","",IF(ISNUMBER(FIND("|",L370)),TRIM(LEFT(L370,FIND("|",L370)-1)),IF(ISNUMBER(MATCH(L370,Config!$F$1:$F$853,0)),L370,IFERROR(INDEX(Config!$F$1:$F$853,MATCH(L370,Config!$G$1:$G$853,0)),""))))</f>
        <v/>
      </c>
      <c r="L370" s="17" t="str">
        <f>=IFERROR(INDEX($L$17:L369,MATCH(C370,$C$17:C369,0)),"")</f>
        <v/>
      </c>
    </row>
    <row r="371" ht="18" customHeight="1" spans="1:12" x14ac:dyDescent="0.25">
      <c r="A371" s="10" t="s">
        <v>2</v>
      </c>
      <c r="B371" s="10" t="s">
        <v>2</v>
      </c>
      <c r="C371" s="10" t="s">
        <v>2</v>
      </c>
      <c r="D371" s="11" t="str">
        <f>=IF(E371="","",IF(ISNUMBER(FIND("|",E371)),TRIM(LEFT(E371,FIND("|",E371)-1)),IF(ISNUMBER(MATCH(E371,Config!$C$1:$C$311,0)),E371,IFERROR(INDEX(Config!$C$1:$C$311,MATCH(E371,Config!$D$1:$D$311,0)),""))))</f>
        <v/>
      </c>
      <c r="E371" s="12" t="s">
        <v>2</v>
      </c>
      <c r="F371" s="13" t="s">
        <v>2</v>
      </c>
      <c r="G371" s="14" t="str">
        <f>=IF(C371="","",SUMIF($C$17:$C$502,C371,$F$17:$F$502))</f>
        <v/>
      </c>
      <c r="H371" s="14" t="str">
        <f>=IFERROR($B$14/$B$10,"")</f>
        <v/>
      </c>
      <c r="I371" s="15" t="str">
        <f>=IFERROR(G371/H371,"")</f>
        <v/>
      </c>
      <c r="J371" s="16" t="str">
        <f>=IF(F371="","",F371/3600)</f>
        <v/>
      </c>
      <c r="K371" s="11" t="str">
        <f>=IF(L371="","",IF(ISNUMBER(FIND("|",L371)),TRIM(LEFT(L371,FIND("|",L371)-1)),IF(ISNUMBER(MATCH(L371,Config!$F$1:$F$853,0)),L371,IFERROR(INDEX(Config!$F$1:$F$853,MATCH(L371,Config!$G$1:$G$853,0)),""))))</f>
        <v/>
      </c>
      <c r="L371" s="17" t="str">
        <f>=IFERROR(INDEX($L$17:L370,MATCH(C371,$C$17:C370,0)),"")</f>
        <v/>
      </c>
    </row>
    <row r="372" ht="18" customHeight="1" spans="1:12" x14ac:dyDescent="0.25">
      <c r="A372" s="10" t="s">
        <v>2</v>
      </c>
      <c r="B372" s="10" t="s">
        <v>2</v>
      </c>
      <c r="C372" s="10" t="s">
        <v>2</v>
      </c>
      <c r="D372" s="11" t="str">
        <f>=IF(E372="","",IF(ISNUMBER(FIND("|",E372)),TRIM(LEFT(E372,FIND("|",E372)-1)),IF(ISNUMBER(MATCH(E372,Config!$C$1:$C$311,0)),E372,IFERROR(INDEX(Config!$C$1:$C$311,MATCH(E372,Config!$D$1:$D$311,0)),""))))</f>
        <v/>
      </c>
      <c r="E372" s="12" t="s">
        <v>2</v>
      </c>
      <c r="F372" s="13" t="s">
        <v>2</v>
      </c>
      <c r="G372" s="14" t="str">
        <f>=IF(C372="","",SUMIF($C$17:$C$502,C372,$F$17:$F$502))</f>
        <v/>
      </c>
      <c r="H372" s="14" t="str">
        <f>=IFERROR($B$14/$B$10,"")</f>
        <v/>
      </c>
      <c r="I372" s="15" t="str">
        <f>=IFERROR(G372/H372,"")</f>
        <v/>
      </c>
      <c r="J372" s="16" t="str">
        <f>=IF(F372="","",F372/3600)</f>
        <v/>
      </c>
      <c r="K372" s="11" t="str">
        <f>=IF(L372="","",IF(ISNUMBER(FIND("|",L372)),TRIM(LEFT(L372,FIND("|",L372)-1)),IF(ISNUMBER(MATCH(L372,Config!$F$1:$F$853,0)),L372,IFERROR(INDEX(Config!$F$1:$F$853,MATCH(L372,Config!$G$1:$G$853,0)),""))))</f>
        <v/>
      </c>
      <c r="L372" s="17" t="str">
        <f>=IFERROR(INDEX($L$17:L371,MATCH(C372,$C$17:C371,0)),"")</f>
        <v/>
      </c>
    </row>
    <row r="373" ht="18" customHeight="1" spans="1:12" x14ac:dyDescent="0.25">
      <c r="A373" s="10" t="s">
        <v>2</v>
      </c>
      <c r="B373" s="10" t="s">
        <v>2</v>
      </c>
      <c r="C373" s="10" t="s">
        <v>2</v>
      </c>
      <c r="D373" s="11" t="str">
        <f>=IF(E373="","",IF(ISNUMBER(FIND("|",E373)),TRIM(LEFT(E373,FIND("|",E373)-1)),IF(ISNUMBER(MATCH(E373,Config!$C$1:$C$311,0)),E373,IFERROR(INDEX(Config!$C$1:$C$311,MATCH(E373,Config!$D$1:$D$311,0)),""))))</f>
        <v/>
      </c>
      <c r="E373" s="12" t="s">
        <v>2</v>
      </c>
      <c r="F373" s="13" t="s">
        <v>2</v>
      </c>
      <c r="G373" s="14" t="str">
        <f>=IF(C373="","",SUMIF($C$17:$C$502,C373,$F$17:$F$502))</f>
        <v/>
      </c>
      <c r="H373" s="14" t="str">
        <f>=IFERROR($B$14/$B$10,"")</f>
        <v/>
      </c>
      <c r="I373" s="15" t="str">
        <f>=IFERROR(G373/H373,"")</f>
        <v/>
      </c>
      <c r="J373" s="16" t="str">
        <f>=IF(F373="","",F373/3600)</f>
        <v/>
      </c>
      <c r="K373" s="11" t="str">
        <f>=IF(L373="","",IF(ISNUMBER(FIND("|",L373)),TRIM(LEFT(L373,FIND("|",L373)-1)),IF(ISNUMBER(MATCH(L373,Config!$F$1:$F$853,0)),L373,IFERROR(INDEX(Config!$F$1:$F$853,MATCH(L373,Config!$G$1:$G$853,0)),""))))</f>
        <v/>
      </c>
      <c r="L373" s="17" t="str">
        <f>=IFERROR(INDEX($L$17:L372,MATCH(C373,$C$17:C372,0)),"")</f>
        <v/>
      </c>
    </row>
    <row r="374" ht="18" customHeight="1" spans="1:12" x14ac:dyDescent="0.25">
      <c r="A374" s="10" t="s">
        <v>2</v>
      </c>
      <c r="B374" s="10" t="s">
        <v>2</v>
      </c>
      <c r="C374" s="10" t="s">
        <v>2</v>
      </c>
      <c r="D374" s="11" t="str">
        <f>=IF(E374="","",IF(ISNUMBER(FIND("|",E374)),TRIM(LEFT(E374,FIND("|",E374)-1)),IF(ISNUMBER(MATCH(E374,Config!$C$1:$C$311,0)),E374,IFERROR(INDEX(Config!$C$1:$C$311,MATCH(E374,Config!$D$1:$D$311,0)),""))))</f>
        <v/>
      </c>
      <c r="E374" s="12" t="s">
        <v>2</v>
      </c>
      <c r="F374" s="13" t="s">
        <v>2</v>
      </c>
      <c r="G374" s="14" t="str">
        <f>=IF(C374="","",SUMIF($C$17:$C$502,C374,$F$17:$F$502))</f>
        <v/>
      </c>
      <c r="H374" s="14" t="str">
        <f>=IFERROR($B$14/$B$10,"")</f>
        <v/>
      </c>
      <c r="I374" s="15" t="str">
        <f>=IFERROR(G374/H374,"")</f>
        <v/>
      </c>
      <c r="J374" s="16" t="str">
        <f>=IF(F374="","",F374/3600)</f>
        <v/>
      </c>
      <c r="K374" s="11" t="str">
        <f>=IF(L374="","",IF(ISNUMBER(FIND("|",L374)),TRIM(LEFT(L374,FIND("|",L374)-1)),IF(ISNUMBER(MATCH(L374,Config!$F$1:$F$853,0)),L374,IFERROR(INDEX(Config!$F$1:$F$853,MATCH(L374,Config!$G$1:$G$853,0)),""))))</f>
        <v/>
      </c>
      <c r="L374" s="17" t="str">
        <f>=IFERROR(INDEX($L$17:L373,MATCH(C374,$C$17:C373,0)),"")</f>
        <v/>
      </c>
    </row>
    <row r="375" ht="18" customHeight="1" spans="1:12" x14ac:dyDescent="0.25">
      <c r="A375" s="10" t="s">
        <v>2</v>
      </c>
      <c r="B375" s="10" t="s">
        <v>2</v>
      </c>
      <c r="C375" s="10" t="s">
        <v>2</v>
      </c>
      <c r="D375" s="11" t="str">
        <f>=IF(E375="","",IF(ISNUMBER(FIND("|",E375)),TRIM(LEFT(E375,FIND("|",E375)-1)),IF(ISNUMBER(MATCH(E375,Config!$C$1:$C$311,0)),E375,IFERROR(INDEX(Config!$C$1:$C$311,MATCH(E375,Config!$D$1:$D$311,0)),""))))</f>
        <v/>
      </c>
      <c r="E375" s="12" t="s">
        <v>2</v>
      </c>
      <c r="F375" s="13" t="s">
        <v>2</v>
      </c>
      <c r="G375" s="14" t="str">
        <f>=IF(C375="","",SUMIF($C$17:$C$502,C375,$F$17:$F$502))</f>
        <v/>
      </c>
      <c r="H375" s="14" t="str">
        <f>=IFERROR($B$14/$B$10,"")</f>
        <v/>
      </c>
      <c r="I375" s="15" t="str">
        <f>=IFERROR(G375/H375,"")</f>
        <v/>
      </c>
      <c r="J375" s="16" t="str">
        <f>=IF(F375="","",F375/3600)</f>
        <v/>
      </c>
      <c r="K375" s="11" t="str">
        <f>=IF(L375="","",IF(ISNUMBER(FIND("|",L375)),TRIM(LEFT(L375,FIND("|",L375)-1)),IF(ISNUMBER(MATCH(L375,Config!$F$1:$F$853,0)),L375,IFERROR(INDEX(Config!$F$1:$F$853,MATCH(L375,Config!$G$1:$G$853,0)),""))))</f>
        <v/>
      </c>
      <c r="L375" s="17" t="str">
        <f>=IFERROR(INDEX($L$17:L374,MATCH(C375,$C$17:C374,0)),"")</f>
        <v/>
      </c>
    </row>
    <row r="376" ht="18" customHeight="1" spans="1:12" x14ac:dyDescent="0.25">
      <c r="A376" s="10" t="s">
        <v>2</v>
      </c>
      <c r="B376" s="10" t="s">
        <v>2</v>
      </c>
      <c r="C376" s="10" t="s">
        <v>2</v>
      </c>
      <c r="D376" s="11" t="str">
        <f>=IF(E376="","",IF(ISNUMBER(FIND("|",E376)),TRIM(LEFT(E376,FIND("|",E376)-1)),IF(ISNUMBER(MATCH(E376,Config!$C$1:$C$311,0)),E376,IFERROR(INDEX(Config!$C$1:$C$311,MATCH(E376,Config!$D$1:$D$311,0)),""))))</f>
        <v/>
      </c>
      <c r="E376" s="12" t="s">
        <v>2</v>
      </c>
      <c r="F376" s="13" t="s">
        <v>2</v>
      </c>
      <c r="G376" s="14" t="str">
        <f>=IF(C376="","",SUMIF($C$17:$C$502,C376,$F$17:$F$502))</f>
        <v/>
      </c>
      <c r="H376" s="14" t="str">
        <f>=IFERROR($B$14/$B$10,"")</f>
        <v/>
      </c>
      <c r="I376" s="15" t="str">
        <f>=IFERROR(G376/H376,"")</f>
        <v/>
      </c>
      <c r="J376" s="16" t="str">
        <f>=IF(F376="","",F376/3600)</f>
        <v/>
      </c>
      <c r="K376" s="11" t="str">
        <f>=IF(L376="","",IF(ISNUMBER(FIND("|",L376)),TRIM(LEFT(L376,FIND("|",L376)-1)),IF(ISNUMBER(MATCH(L376,Config!$F$1:$F$853,0)),L376,IFERROR(INDEX(Config!$F$1:$F$853,MATCH(L376,Config!$G$1:$G$853,0)),""))))</f>
        <v/>
      </c>
      <c r="L376" s="17" t="str">
        <f>=IFERROR(INDEX($L$17:L375,MATCH(C376,$C$17:C375,0)),"")</f>
        <v/>
      </c>
    </row>
    <row r="377" ht="18" customHeight="1" spans="1:12" x14ac:dyDescent="0.25">
      <c r="A377" s="10" t="s">
        <v>2</v>
      </c>
      <c r="B377" s="10" t="s">
        <v>2</v>
      </c>
      <c r="C377" s="10" t="s">
        <v>2</v>
      </c>
      <c r="D377" s="11" t="str">
        <f>=IF(E377="","",IF(ISNUMBER(FIND("|",E377)),TRIM(LEFT(E377,FIND("|",E377)-1)),IF(ISNUMBER(MATCH(E377,Config!$C$1:$C$311,0)),E377,IFERROR(INDEX(Config!$C$1:$C$311,MATCH(E377,Config!$D$1:$D$311,0)),""))))</f>
        <v/>
      </c>
      <c r="E377" s="12" t="s">
        <v>2</v>
      </c>
      <c r="F377" s="13" t="s">
        <v>2</v>
      </c>
      <c r="G377" s="14" t="str">
        <f>=IF(C377="","",SUMIF($C$17:$C$502,C377,$F$17:$F$502))</f>
        <v/>
      </c>
      <c r="H377" s="14" t="str">
        <f>=IFERROR($B$14/$B$10,"")</f>
        <v/>
      </c>
      <c r="I377" s="15" t="str">
        <f>=IFERROR(G377/H377,"")</f>
        <v/>
      </c>
      <c r="J377" s="16" t="str">
        <f>=IF(F377="","",F377/3600)</f>
        <v/>
      </c>
      <c r="K377" s="11" t="str">
        <f>=IF(L377="","",IF(ISNUMBER(FIND("|",L377)),TRIM(LEFT(L377,FIND("|",L377)-1)),IF(ISNUMBER(MATCH(L377,Config!$F$1:$F$853,0)),L377,IFERROR(INDEX(Config!$F$1:$F$853,MATCH(L377,Config!$G$1:$G$853,0)),""))))</f>
        <v/>
      </c>
      <c r="L377" s="17" t="str">
        <f>=IFERROR(INDEX($L$17:L376,MATCH(C377,$C$17:C376,0)),"")</f>
        <v/>
      </c>
    </row>
    <row r="378" ht="18" customHeight="1" spans="1:12" x14ac:dyDescent="0.25">
      <c r="A378" s="10" t="s">
        <v>2</v>
      </c>
      <c r="B378" s="10" t="s">
        <v>2</v>
      </c>
      <c r="C378" s="10" t="s">
        <v>2</v>
      </c>
      <c r="D378" s="11" t="str">
        <f>=IF(E378="","",IF(ISNUMBER(FIND("|",E378)),TRIM(LEFT(E378,FIND("|",E378)-1)),IF(ISNUMBER(MATCH(E378,Config!$C$1:$C$311,0)),E378,IFERROR(INDEX(Config!$C$1:$C$311,MATCH(E378,Config!$D$1:$D$311,0)),""))))</f>
        <v/>
      </c>
      <c r="E378" s="12" t="s">
        <v>2</v>
      </c>
      <c r="F378" s="13" t="s">
        <v>2</v>
      </c>
      <c r="G378" s="14" t="str">
        <f>=IF(C378="","",SUMIF($C$17:$C$502,C378,$F$17:$F$502))</f>
        <v/>
      </c>
      <c r="H378" s="14" t="str">
        <f>=IFERROR($B$14/$B$10,"")</f>
        <v/>
      </c>
      <c r="I378" s="15" t="str">
        <f>=IFERROR(G378/H378,"")</f>
        <v/>
      </c>
      <c r="J378" s="16" t="str">
        <f>=IF(F378="","",F378/3600)</f>
        <v/>
      </c>
      <c r="K378" s="11" t="str">
        <f>=IF(L378="","",IF(ISNUMBER(FIND("|",L378)),TRIM(LEFT(L378,FIND("|",L378)-1)),IF(ISNUMBER(MATCH(L378,Config!$F$1:$F$853,0)),L378,IFERROR(INDEX(Config!$F$1:$F$853,MATCH(L378,Config!$G$1:$G$853,0)),""))))</f>
        <v/>
      </c>
      <c r="L378" s="17" t="str">
        <f>=IFERROR(INDEX($L$17:L377,MATCH(C378,$C$17:C377,0)),"")</f>
        <v/>
      </c>
    </row>
    <row r="379" ht="18" customHeight="1" spans="1:12" x14ac:dyDescent="0.25">
      <c r="A379" s="10" t="s">
        <v>2</v>
      </c>
      <c r="B379" s="10" t="s">
        <v>2</v>
      </c>
      <c r="C379" s="10" t="s">
        <v>2</v>
      </c>
      <c r="D379" s="11" t="str">
        <f>=IF(E379="","",IF(ISNUMBER(FIND("|",E379)),TRIM(LEFT(E379,FIND("|",E379)-1)),IF(ISNUMBER(MATCH(E379,Config!$C$1:$C$311,0)),E379,IFERROR(INDEX(Config!$C$1:$C$311,MATCH(E379,Config!$D$1:$D$311,0)),""))))</f>
        <v/>
      </c>
      <c r="E379" s="12" t="s">
        <v>2</v>
      </c>
      <c r="F379" s="13" t="s">
        <v>2</v>
      </c>
      <c r="G379" s="14" t="str">
        <f>=IF(C379="","",SUMIF($C$17:$C$502,C379,$F$17:$F$502))</f>
        <v/>
      </c>
      <c r="H379" s="14" t="str">
        <f>=IFERROR($B$14/$B$10,"")</f>
        <v/>
      </c>
      <c r="I379" s="15" t="str">
        <f>=IFERROR(G379/H379,"")</f>
        <v/>
      </c>
      <c r="J379" s="16" t="str">
        <f>=IF(F379="","",F379/3600)</f>
        <v/>
      </c>
      <c r="K379" s="11" t="str">
        <f>=IF(L379="","",IF(ISNUMBER(FIND("|",L379)),TRIM(LEFT(L379,FIND("|",L379)-1)),IF(ISNUMBER(MATCH(L379,Config!$F$1:$F$853,0)),L379,IFERROR(INDEX(Config!$F$1:$F$853,MATCH(L379,Config!$G$1:$G$853,0)),""))))</f>
        <v/>
      </c>
      <c r="L379" s="17" t="str">
        <f>=IFERROR(INDEX($L$17:L378,MATCH(C379,$C$17:C378,0)),"")</f>
        <v/>
      </c>
    </row>
    <row r="380" ht="18" customHeight="1" spans="1:12" x14ac:dyDescent="0.25">
      <c r="A380" s="10" t="s">
        <v>2</v>
      </c>
      <c r="B380" s="10" t="s">
        <v>2</v>
      </c>
      <c r="C380" s="10" t="s">
        <v>2</v>
      </c>
      <c r="D380" s="11" t="str">
        <f>=IF(E380="","",IF(ISNUMBER(FIND("|",E380)),TRIM(LEFT(E380,FIND("|",E380)-1)),IF(ISNUMBER(MATCH(E380,Config!$C$1:$C$311,0)),E380,IFERROR(INDEX(Config!$C$1:$C$311,MATCH(E380,Config!$D$1:$D$311,0)),""))))</f>
        <v/>
      </c>
      <c r="E380" s="12" t="s">
        <v>2</v>
      </c>
      <c r="F380" s="13" t="s">
        <v>2</v>
      </c>
      <c r="G380" s="14" t="str">
        <f>=IF(C380="","",SUMIF($C$17:$C$502,C380,$F$17:$F$502))</f>
        <v/>
      </c>
      <c r="H380" s="14" t="str">
        <f>=IFERROR($B$14/$B$10,"")</f>
        <v/>
      </c>
      <c r="I380" s="15" t="str">
        <f>=IFERROR(G380/H380,"")</f>
        <v/>
      </c>
      <c r="J380" s="16" t="str">
        <f>=IF(F380="","",F380/3600)</f>
        <v/>
      </c>
      <c r="K380" s="11" t="str">
        <f>=IF(L380="","",IF(ISNUMBER(FIND("|",L380)),TRIM(LEFT(L380,FIND("|",L380)-1)),IF(ISNUMBER(MATCH(L380,Config!$F$1:$F$853,0)),L380,IFERROR(INDEX(Config!$F$1:$F$853,MATCH(L380,Config!$G$1:$G$853,0)),""))))</f>
        <v/>
      </c>
      <c r="L380" s="17" t="str">
        <f>=IFERROR(INDEX($L$17:L379,MATCH(C380,$C$17:C379,0)),"")</f>
        <v/>
      </c>
    </row>
    <row r="381" ht="18" customHeight="1" spans="1:12" x14ac:dyDescent="0.25">
      <c r="A381" s="10" t="s">
        <v>2</v>
      </c>
      <c r="B381" s="10" t="s">
        <v>2</v>
      </c>
      <c r="C381" s="10" t="s">
        <v>2</v>
      </c>
      <c r="D381" s="11" t="str">
        <f>=IF(E381="","",IF(ISNUMBER(FIND("|",E381)),TRIM(LEFT(E381,FIND("|",E381)-1)),IF(ISNUMBER(MATCH(E381,Config!$C$1:$C$311,0)),E381,IFERROR(INDEX(Config!$C$1:$C$311,MATCH(E381,Config!$D$1:$D$311,0)),""))))</f>
        <v/>
      </c>
      <c r="E381" s="12" t="s">
        <v>2</v>
      </c>
      <c r="F381" s="13" t="s">
        <v>2</v>
      </c>
      <c r="G381" s="14" t="str">
        <f>=IF(C381="","",SUMIF($C$17:$C$502,C381,$F$17:$F$502))</f>
        <v/>
      </c>
      <c r="H381" s="14" t="str">
        <f>=IFERROR($B$14/$B$10,"")</f>
        <v/>
      </c>
      <c r="I381" s="15" t="str">
        <f>=IFERROR(G381/H381,"")</f>
        <v/>
      </c>
      <c r="J381" s="16" t="str">
        <f>=IF(F381="","",F381/3600)</f>
        <v/>
      </c>
      <c r="K381" s="11" t="str">
        <f>=IF(L381="","",IF(ISNUMBER(FIND("|",L381)),TRIM(LEFT(L381,FIND("|",L381)-1)),IF(ISNUMBER(MATCH(L381,Config!$F$1:$F$853,0)),L381,IFERROR(INDEX(Config!$F$1:$F$853,MATCH(L381,Config!$G$1:$G$853,0)),""))))</f>
        <v/>
      </c>
      <c r="L381" s="17" t="str">
        <f>=IFERROR(INDEX($L$17:L380,MATCH(C381,$C$17:C380,0)),"")</f>
        <v/>
      </c>
    </row>
    <row r="382" ht="18" customHeight="1" spans="1:12" x14ac:dyDescent="0.25">
      <c r="A382" s="10" t="s">
        <v>2</v>
      </c>
      <c r="B382" s="10" t="s">
        <v>2</v>
      </c>
      <c r="C382" s="10" t="s">
        <v>2</v>
      </c>
      <c r="D382" s="11" t="str">
        <f>=IF(E382="","",IF(ISNUMBER(FIND("|",E382)),TRIM(LEFT(E382,FIND("|",E382)-1)),IF(ISNUMBER(MATCH(E382,Config!$C$1:$C$311,0)),E382,IFERROR(INDEX(Config!$C$1:$C$311,MATCH(E382,Config!$D$1:$D$311,0)),""))))</f>
        <v/>
      </c>
      <c r="E382" s="12" t="s">
        <v>2</v>
      </c>
      <c r="F382" s="13" t="s">
        <v>2</v>
      </c>
      <c r="G382" s="14" t="str">
        <f>=IF(C382="","",SUMIF($C$17:$C$502,C382,$F$17:$F$502))</f>
        <v/>
      </c>
      <c r="H382" s="14" t="str">
        <f>=IFERROR($B$14/$B$10,"")</f>
        <v/>
      </c>
      <c r="I382" s="15" t="str">
        <f>=IFERROR(G382/H382,"")</f>
        <v/>
      </c>
      <c r="J382" s="16" t="str">
        <f>=IF(F382="","",F382/3600)</f>
        <v/>
      </c>
      <c r="K382" s="11" t="str">
        <f>=IF(L382="","",IF(ISNUMBER(FIND("|",L382)),TRIM(LEFT(L382,FIND("|",L382)-1)),IF(ISNUMBER(MATCH(L382,Config!$F$1:$F$853,0)),L382,IFERROR(INDEX(Config!$F$1:$F$853,MATCH(L382,Config!$G$1:$G$853,0)),""))))</f>
        <v/>
      </c>
      <c r="L382" s="17" t="str">
        <f>=IFERROR(INDEX($L$17:L381,MATCH(C382,$C$17:C381,0)),"")</f>
        <v/>
      </c>
    </row>
    <row r="383" ht="18" customHeight="1" spans="1:12" x14ac:dyDescent="0.25">
      <c r="A383" s="10" t="s">
        <v>2</v>
      </c>
      <c r="B383" s="10" t="s">
        <v>2</v>
      </c>
      <c r="C383" s="10" t="s">
        <v>2</v>
      </c>
      <c r="D383" s="11" t="str">
        <f>=IF(E383="","",IF(ISNUMBER(FIND("|",E383)),TRIM(LEFT(E383,FIND("|",E383)-1)),IF(ISNUMBER(MATCH(E383,Config!$C$1:$C$311,0)),E383,IFERROR(INDEX(Config!$C$1:$C$311,MATCH(E383,Config!$D$1:$D$311,0)),""))))</f>
        <v/>
      </c>
      <c r="E383" s="12" t="s">
        <v>2</v>
      </c>
      <c r="F383" s="13" t="s">
        <v>2</v>
      </c>
      <c r="G383" s="14" t="str">
        <f>=IF(C383="","",SUMIF($C$17:$C$502,C383,$F$17:$F$502))</f>
        <v/>
      </c>
      <c r="H383" s="14" t="str">
        <f>=IFERROR($B$14/$B$10,"")</f>
        <v/>
      </c>
      <c r="I383" s="15" t="str">
        <f>=IFERROR(G383/H383,"")</f>
        <v/>
      </c>
      <c r="J383" s="16" t="str">
        <f>=IF(F383="","",F383/3600)</f>
        <v/>
      </c>
      <c r="K383" s="11" t="str">
        <f>=IF(L383="","",IF(ISNUMBER(FIND("|",L383)),TRIM(LEFT(L383,FIND("|",L383)-1)),IF(ISNUMBER(MATCH(L383,Config!$F$1:$F$853,0)),L383,IFERROR(INDEX(Config!$F$1:$F$853,MATCH(L383,Config!$G$1:$G$853,0)),""))))</f>
        <v/>
      </c>
      <c r="L383" s="17" t="str">
        <f>=IFERROR(INDEX($L$17:L382,MATCH(C383,$C$17:C382,0)),"")</f>
        <v/>
      </c>
    </row>
    <row r="384" ht="18" customHeight="1" spans="1:12" x14ac:dyDescent="0.25">
      <c r="A384" s="10" t="s">
        <v>2</v>
      </c>
      <c r="B384" s="10" t="s">
        <v>2</v>
      </c>
      <c r="C384" s="10" t="s">
        <v>2</v>
      </c>
      <c r="D384" s="11" t="str">
        <f>=IF(E384="","",IF(ISNUMBER(FIND("|",E384)),TRIM(LEFT(E384,FIND("|",E384)-1)),IF(ISNUMBER(MATCH(E384,Config!$C$1:$C$311,0)),E384,IFERROR(INDEX(Config!$C$1:$C$311,MATCH(E384,Config!$D$1:$D$311,0)),""))))</f>
        <v/>
      </c>
      <c r="E384" s="12" t="s">
        <v>2</v>
      </c>
      <c r="F384" s="13" t="s">
        <v>2</v>
      </c>
      <c r="G384" s="14" t="str">
        <f>=IF(C384="","",SUMIF($C$17:$C$502,C384,$F$17:$F$502))</f>
        <v/>
      </c>
      <c r="H384" s="14" t="str">
        <f>=IFERROR($B$14/$B$10,"")</f>
        <v/>
      </c>
      <c r="I384" s="15" t="str">
        <f>=IFERROR(G384/H384,"")</f>
        <v/>
      </c>
      <c r="J384" s="16" t="str">
        <f>=IF(F384="","",F384/3600)</f>
        <v/>
      </c>
      <c r="K384" s="11" t="str">
        <f>=IF(L384="","",IF(ISNUMBER(FIND("|",L384)),TRIM(LEFT(L384,FIND("|",L384)-1)),IF(ISNUMBER(MATCH(L384,Config!$F$1:$F$853,0)),L384,IFERROR(INDEX(Config!$F$1:$F$853,MATCH(L384,Config!$G$1:$G$853,0)),""))))</f>
        <v/>
      </c>
      <c r="L384" s="17" t="str">
        <f>=IFERROR(INDEX($L$17:L383,MATCH(C384,$C$17:C383,0)),"")</f>
        <v/>
      </c>
    </row>
    <row r="385" ht="18" customHeight="1" spans="1:12" x14ac:dyDescent="0.25">
      <c r="A385" s="10" t="s">
        <v>2</v>
      </c>
      <c r="B385" s="10" t="s">
        <v>2</v>
      </c>
      <c r="C385" s="10" t="s">
        <v>2</v>
      </c>
      <c r="D385" s="11" t="str">
        <f>=IF(E385="","",IF(ISNUMBER(FIND("|",E385)),TRIM(LEFT(E385,FIND("|",E385)-1)),IF(ISNUMBER(MATCH(E385,Config!$C$1:$C$311,0)),E385,IFERROR(INDEX(Config!$C$1:$C$311,MATCH(E385,Config!$D$1:$D$311,0)),""))))</f>
        <v/>
      </c>
      <c r="E385" s="12" t="s">
        <v>2</v>
      </c>
      <c r="F385" s="13" t="s">
        <v>2</v>
      </c>
      <c r="G385" s="14" t="str">
        <f>=IF(C385="","",SUMIF($C$17:$C$502,C385,$F$17:$F$502))</f>
        <v/>
      </c>
      <c r="H385" s="14" t="str">
        <f>=IFERROR($B$14/$B$10,"")</f>
        <v/>
      </c>
      <c r="I385" s="15" t="str">
        <f>=IFERROR(G385/H385,"")</f>
        <v/>
      </c>
      <c r="J385" s="16" t="str">
        <f>=IF(F385="","",F385/3600)</f>
        <v/>
      </c>
      <c r="K385" s="11" t="str">
        <f>=IF(L385="","",IF(ISNUMBER(FIND("|",L385)),TRIM(LEFT(L385,FIND("|",L385)-1)),IF(ISNUMBER(MATCH(L385,Config!$F$1:$F$853,0)),L385,IFERROR(INDEX(Config!$F$1:$F$853,MATCH(L385,Config!$G$1:$G$853,0)),""))))</f>
        <v/>
      </c>
      <c r="L385" s="17" t="str">
        <f>=IFERROR(INDEX($L$17:L384,MATCH(C385,$C$17:C384,0)),"")</f>
        <v/>
      </c>
    </row>
    <row r="386" ht="18" customHeight="1" spans="1:12" x14ac:dyDescent="0.25">
      <c r="A386" s="10" t="s">
        <v>2</v>
      </c>
      <c r="B386" s="10" t="s">
        <v>2</v>
      </c>
      <c r="C386" s="10" t="s">
        <v>2</v>
      </c>
      <c r="D386" s="11" t="str">
        <f>=IF(E386="","",IF(ISNUMBER(FIND("|",E386)),TRIM(LEFT(E386,FIND("|",E386)-1)),IF(ISNUMBER(MATCH(E386,Config!$C$1:$C$311,0)),E386,IFERROR(INDEX(Config!$C$1:$C$311,MATCH(E386,Config!$D$1:$D$311,0)),""))))</f>
        <v/>
      </c>
      <c r="E386" s="12" t="s">
        <v>2</v>
      </c>
      <c r="F386" s="13" t="s">
        <v>2</v>
      </c>
      <c r="G386" s="14" t="str">
        <f>=IF(C386="","",SUMIF($C$17:$C$502,C386,$F$17:$F$502))</f>
        <v/>
      </c>
      <c r="H386" s="14" t="str">
        <f>=IFERROR($B$14/$B$10,"")</f>
        <v/>
      </c>
      <c r="I386" s="15" t="str">
        <f>=IFERROR(G386/H386,"")</f>
        <v/>
      </c>
      <c r="J386" s="16" t="str">
        <f>=IF(F386="","",F386/3600)</f>
        <v/>
      </c>
      <c r="K386" s="11" t="str">
        <f>=IF(L386="","",IF(ISNUMBER(FIND("|",L386)),TRIM(LEFT(L386,FIND("|",L386)-1)),IF(ISNUMBER(MATCH(L386,Config!$F$1:$F$853,0)),L386,IFERROR(INDEX(Config!$F$1:$F$853,MATCH(L386,Config!$G$1:$G$853,0)),""))))</f>
        <v/>
      </c>
      <c r="L386" s="17" t="str">
        <f>=IFERROR(INDEX($L$17:L385,MATCH(C386,$C$17:C385,0)),"")</f>
        <v/>
      </c>
    </row>
    <row r="387" ht="18" customHeight="1" spans="1:12" x14ac:dyDescent="0.25">
      <c r="A387" s="10" t="s">
        <v>2</v>
      </c>
      <c r="B387" s="10" t="s">
        <v>2</v>
      </c>
      <c r="C387" s="10" t="s">
        <v>2</v>
      </c>
      <c r="D387" s="11" t="str">
        <f>=IF(E387="","",IF(ISNUMBER(FIND("|",E387)),TRIM(LEFT(E387,FIND("|",E387)-1)),IF(ISNUMBER(MATCH(E387,Config!$C$1:$C$311,0)),E387,IFERROR(INDEX(Config!$C$1:$C$311,MATCH(E387,Config!$D$1:$D$311,0)),""))))</f>
        <v/>
      </c>
      <c r="E387" s="12" t="s">
        <v>2</v>
      </c>
      <c r="F387" s="13" t="s">
        <v>2</v>
      </c>
      <c r="G387" s="14" t="str">
        <f>=IF(C387="","",SUMIF($C$17:$C$502,C387,$F$17:$F$502))</f>
        <v/>
      </c>
      <c r="H387" s="14" t="str">
        <f>=IFERROR($B$14/$B$10,"")</f>
        <v/>
      </c>
      <c r="I387" s="15" t="str">
        <f>=IFERROR(G387/H387,"")</f>
        <v/>
      </c>
      <c r="J387" s="16" t="str">
        <f>=IF(F387="","",F387/3600)</f>
        <v/>
      </c>
      <c r="K387" s="11" t="str">
        <f>=IF(L387="","",IF(ISNUMBER(FIND("|",L387)),TRIM(LEFT(L387,FIND("|",L387)-1)),IF(ISNUMBER(MATCH(L387,Config!$F$1:$F$853,0)),L387,IFERROR(INDEX(Config!$F$1:$F$853,MATCH(L387,Config!$G$1:$G$853,0)),""))))</f>
        <v/>
      </c>
      <c r="L387" s="17" t="str">
        <f>=IFERROR(INDEX($L$17:L386,MATCH(C387,$C$17:C386,0)),"")</f>
        <v/>
      </c>
    </row>
    <row r="388" ht="18" customHeight="1" spans="1:12" x14ac:dyDescent="0.25">
      <c r="A388" s="10" t="s">
        <v>2</v>
      </c>
      <c r="B388" s="10" t="s">
        <v>2</v>
      </c>
      <c r="C388" s="10" t="s">
        <v>2</v>
      </c>
      <c r="D388" s="11" t="str">
        <f>=IF(E388="","",IF(ISNUMBER(FIND("|",E388)),TRIM(LEFT(E388,FIND("|",E388)-1)),IF(ISNUMBER(MATCH(E388,Config!$C$1:$C$311,0)),E388,IFERROR(INDEX(Config!$C$1:$C$311,MATCH(E388,Config!$D$1:$D$311,0)),""))))</f>
        <v/>
      </c>
      <c r="E388" s="12" t="s">
        <v>2</v>
      </c>
      <c r="F388" s="13" t="s">
        <v>2</v>
      </c>
      <c r="G388" s="14" t="str">
        <f>=IF(C388="","",SUMIF($C$17:$C$502,C388,$F$17:$F$502))</f>
        <v/>
      </c>
      <c r="H388" s="14" t="str">
        <f>=IFERROR($B$14/$B$10,"")</f>
        <v/>
      </c>
      <c r="I388" s="15" t="str">
        <f>=IFERROR(G388/H388,"")</f>
        <v/>
      </c>
      <c r="J388" s="16" t="str">
        <f>=IF(F388="","",F388/3600)</f>
        <v/>
      </c>
      <c r="K388" s="11" t="str">
        <f>=IF(L388="","",IF(ISNUMBER(FIND("|",L388)),TRIM(LEFT(L388,FIND("|",L388)-1)),IF(ISNUMBER(MATCH(L388,Config!$F$1:$F$853,0)),L388,IFERROR(INDEX(Config!$F$1:$F$853,MATCH(L388,Config!$G$1:$G$853,0)),""))))</f>
        <v/>
      </c>
      <c r="L388" s="17" t="str">
        <f>=IFERROR(INDEX($L$17:L387,MATCH(C388,$C$17:C387,0)),"")</f>
        <v/>
      </c>
    </row>
    <row r="389" ht="18" customHeight="1" spans="1:12" x14ac:dyDescent="0.25">
      <c r="A389" s="10" t="s">
        <v>2</v>
      </c>
      <c r="B389" s="10" t="s">
        <v>2</v>
      </c>
      <c r="C389" s="10" t="s">
        <v>2</v>
      </c>
      <c r="D389" s="11" t="str">
        <f>=IF(E389="","",IF(ISNUMBER(FIND("|",E389)),TRIM(LEFT(E389,FIND("|",E389)-1)),IF(ISNUMBER(MATCH(E389,Config!$C$1:$C$311,0)),E389,IFERROR(INDEX(Config!$C$1:$C$311,MATCH(E389,Config!$D$1:$D$311,0)),""))))</f>
        <v/>
      </c>
      <c r="E389" s="12" t="s">
        <v>2</v>
      </c>
      <c r="F389" s="13" t="s">
        <v>2</v>
      </c>
      <c r="G389" s="14" t="str">
        <f>=IF(C389="","",SUMIF($C$17:$C$502,C389,$F$17:$F$502))</f>
        <v/>
      </c>
      <c r="H389" s="14" t="str">
        <f>=IFERROR($B$14/$B$10,"")</f>
        <v/>
      </c>
      <c r="I389" s="15" t="str">
        <f>=IFERROR(G389/H389,"")</f>
        <v/>
      </c>
      <c r="J389" s="16" t="str">
        <f>=IF(F389="","",F389/3600)</f>
        <v/>
      </c>
      <c r="K389" s="11" t="str">
        <f>=IF(L389="","",IF(ISNUMBER(FIND("|",L389)),TRIM(LEFT(L389,FIND("|",L389)-1)),IF(ISNUMBER(MATCH(L389,Config!$F$1:$F$853,0)),L389,IFERROR(INDEX(Config!$F$1:$F$853,MATCH(L389,Config!$G$1:$G$853,0)),""))))</f>
        <v/>
      </c>
      <c r="L389" s="17" t="str">
        <f>=IFERROR(INDEX($L$17:L388,MATCH(C389,$C$17:C388,0)),"")</f>
        <v/>
      </c>
    </row>
    <row r="390" ht="18" customHeight="1" spans="1:12" x14ac:dyDescent="0.25">
      <c r="A390" s="10" t="s">
        <v>2</v>
      </c>
      <c r="B390" s="10" t="s">
        <v>2</v>
      </c>
      <c r="C390" s="10" t="s">
        <v>2</v>
      </c>
      <c r="D390" s="11" t="str">
        <f>=IF(E390="","",IF(ISNUMBER(FIND("|",E390)),TRIM(LEFT(E390,FIND("|",E390)-1)),IF(ISNUMBER(MATCH(E390,Config!$C$1:$C$311,0)),E390,IFERROR(INDEX(Config!$C$1:$C$311,MATCH(E390,Config!$D$1:$D$311,0)),""))))</f>
        <v/>
      </c>
      <c r="E390" s="12" t="s">
        <v>2</v>
      </c>
      <c r="F390" s="13" t="s">
        <v>2</v>
      </c>
      <c r="G390" s="14" t="str">
        <f>=IF(C390="","",SUMIF($C$17:$C$502,C390,$F$17:$F$502))</f>
        <v/>
      </c>
      <c r="H390" s="14" t="str">
        <f>=IFERROR($B$14/$B$10,"")</f>
        <v/>
      </c>
      <c r="I390" s="15" t="str">
        <f>=IFERROR(G390/H390,"")</f>
        <v/>
      </c>
      <c r="J390" s="16" t="str">
        <f>=IF(F390="","",F390/3600)</f>
        <v/>
      </c>
      <c r="K390" s="11" t="str">
        <f>=IF(L390="","",IF(ISNUMBER(FIND("|",L390)),TRIM(LEFT(L390,FIND("|",L390)-1)),IF(ISNUMBER(MATCH(L390,Config!$F$1:$F$853,0)),L390,IFERROR(INDEX(Config!$F$1:$F$853,MATCH(L390,Config!$G$1:$G$853,0)),""))))</f>
        <v/>
      </c>
      <c r="L390" s="17" t="str">
        <f>=IFERROR(INDEX($L$17:L389,MATCH(C390,$C$17:C389,0)),"")</f>
        <v/>
      </c>
    </row>
    <row r="391" ht="18" customHeight="1" spans="1:12" x14ac:dyDescent="0.25">
      <c r="A391" s="10" t="s">
        <v>2</v>
      </c>
      <c r="B391" s="10" t="s">
        <v>2</v>
      </c>
      <c r="C391" s="10" t="s">
        <v>2</v>
      </c>
      <c r="D391" s="11" t="str">
        <f>=IF(E391="","",IF(ISNUMBER(FIND("|",E391)),TRIM(LEFT(E391,FIND("|",E391)-1)),IF(ISNUMBER(MATCH(E391,Config!$C$1:$C$311,0)),E391,IFERROR(INDEX(Config!$C$1:$C$311,MATCH(E391,Config!$D$1:$D$311,0)),""))))</f>
        <v/>
      </c>
      <c r="E391" s="12" t="s">
        <v>2</v>
      </c>
      <c r="F391" s="13" t="s">
        <v>2</v>
      </c>
      <c r="G391" s="14" t="str">
        <f>=IF(C391="","",SUMIF($C$17:$C$502,C391,$F$17:$F$502))</f>
        <v/>
      </c>
      <c r="H391" s="14" t="str">
        <f>=IFERROR($B$14/$B$10,"")</f>
        <v/>
      </c>
      <c r="I391" s="15" t="str">
        <f>=IFERROR(G391/H391,"")</f>
        <v/>
      </c>
      <c r="J391" s="16" t="str">
        <f>=IF(F391="","",F391/3600)</f>
        <v/>
      </c>
      <c r="K391" s="11" t="str">
        <f>=IF(L391="","",IF(ISNUMBER(FIND("|",L391)),TRIM(LEFT(L391,FIND("|",L391)-1)),IF(ISNUMBER(MATCH(L391,Config!$F$1:$F$853,0)),L391,IFERROR(INDEX(Config!$F$1:$F$853,MATCH(L391,Config!$G$1:$G$853,0)),""))))</f>
        <v/>
      </c>
      <c r="L391" s="17" t="str">
        <f>=IFERROR(INDEX($L$17:L390,MATCH(C391,$C$17:C390,0)),"")</f>
        <v/>
      </c>
    </row>
    <row r="392" ht="18" customHeight="1" spans="1:12" x14ac:dyDescent="0.25">
      <c r="A392" s="10" t="s">
        <v>2</v>
      </c>
      <c r="B392" s="10" t="s">
        <v>2</v>
      </c>
      <c r="C392" s="10" t="s">
        <v>2</v>
      </c>
      <c r="D392" s="11" t="str">
        <f>=IF(E392="","",IF(ISNUMBER(FIND("|",E392)),TRIM(LEFT(E392,FIND("|",E392)-1)),IF(ISNUMBER(MATCH(E392,Config!$C$1:$C$311,0)),E392,IFERROR(INDEX(Config!$C$1:$C$311,MATCH(E392,Config!$D$1:$D$311,0)),""))))</f>
        <v/>
      </c>
      <c r="E392" s="12" t="s">
        <v>2</v>
      </c>
      <c r="F392" s="13" t="s">
        <v>2</v>
      </c>
      <c r="G392" s="14" t="str">
        <f>=IF(C392="","",SUMIF($C$17:$C$502,C392,$F$17:$F$502))</f>
        <v/>
      </c>
      <c r="H392" s="14" t="str">
        <f>=IFERROR($B$14/$B$10,"")</f>
        <v/>
      </c>
      <c r="I392" s="15" t="str">
        <f>=IFERROR(G392/H392,"")</f>
        <v/>
      </c>
      <c r="J392" s="16" t="str">
        <f>=IF(F392="","",F392/3600)</f>
        <v/>
      </c>
      <c r="K392" s="11" t="str">
        <f>=IF(L392="","",IF(ISNUMBER(FIND("|",L392)),TRIM(LEFT(L392,FIND("|",L392)-1)),IF(ISNUMBER(MATCH(L392,Config!$F$1:$F$853,0)),L392,IFERROR(INDEX(Config!$F$1:$F$853,MATCH(L392,Config!$G$1:$G$853,0)),""))))</f>
        <v/>
      </c>
      <c r="L392" s="17" t="str">
        <f>=IFERROR(INDEX($L$17:L391,MATCH(C392,$C$17:C391,0)),"")</f>
        <v/>
      </c>
    </row>
    <row r="393" ht="18" customHeight="1" spans="1:12" x14ac:dyDescent="0.25">
      <c r="A393" s="10" t="s">
        <v>2</v>
      </c>
      <c r="B393" s="10" t="s">
        <v>2</v>
      </c>
      <c r="C393" s="10" t="s">
        <v>2</v>
      </c>
      <c r="D393" s="11" t="str">
        <f>=IF(E393="","",IF(ISNUMBER(FIND("|",E393)),TRIM(LEFT(E393,FIND("|",E393)-1)),IF(ISNUMBER(MATCH(E393,Config!$C$1:$C$311,0)),E393,IFERROR(INDEX(Config!$C$1:$C$311,MATCH(E393,Config!$D$1:$D$311,0)),""))))</f>
        <v/>
      </c>
      <c r="E393" s="12" t="s">
        <v>2</v>
      </c>
      <c r="F393" s="13" t="s">
        <v>2</v>
      </c>
      <c r="G393" s="14" t="str">
        <f>=IF(C393="","",SUMIF($C$17:$C$502,C393,$F$17:$F$502))</f>
        <v/>
      </c>
      <c r="H393" s="14" t="str">
        <f>=IFERROR($B$14/$B$10,"")</f>
        <v/>
      </c>
      <c r="I393" s="15" t="str">
        <f>=IFERROR(G393/H393,"")</f>
        <v/>
      </c>
      <c r="J393" s="16" t="str">
        <f>=IF(F393="","",F393/3600)</f>
        <v/>
      </c>
      <c r="K393" s="11" t="str">
        <f>=IF(L393="","",IF(ISNUMBER(FIND("|",L393)),TRIM(LEFT(L393,FIND("|",L393)-1)),IF(ISNUMBER(MATCH(L393,Config!$F$1:$F$853,0)),L393,IFERROR(INDEX(Config!$F$1:$F$853,MATCH(L393,Config!$G$1:$G$853,0)),""))))</f>
        <v/>
      </c>
      <c r="L393" s="17" t="str">
        <f>=IFERROR(INDEX($L$17:L392,MATCH(C393,$C$17:C392,0)),"")</f>
        <v/>
      </c>
    </row>
    <row r="394" ht="18" customHeight="1" spans="1:12" x14ac:dyDescent="0.25">
      <c r="A394" s="10" t="s">
        <v>2</v>
      </c>
      <c r="B394" s="10" t="s">
        <v>2</v>
      </c>
      <c r="C394" s="10" t="s">
        <v>2</v>
      </c>
      <c r="D394" s="11" t="str">
        <f>=IF(E394="","",IF(ISNUMBER(FIND("|",E394)),TRIM(LEFT(E394,FIND("|",E394)-1)),IF(ISNUMBER(MATCH(E394,Config!$C$1:$C$311,0)),E394,IFERROR(INDEX(Config!$C$1:$C$311,MATCH(E394,Config!$D$1:$D$311,0)),""))))</f>
        <v/>
      </c>
      <c r="E394" s="12" t="s">
        <v>2</v>
      </c>
      <c r="F394" s="13" t="s">
        <v>2</v>
      </c>
      <c r="G394" s="14" t="str">
        <f>=IF(C394="","",SUMIF($C$17:$C$502,C394,$F$17:$F$502))</f>
        <v/>
      </c>
      <c r="H394" s="14" t="str">
        <f>=IFERROR($B$14/$B$10,"")</f>
        <v/>
      </c>
      <c r="I394" s="15" t="str">
        <f>=IFERROR(G394/H394,"")</f>
        <v/>
      </c>
      <c r="J394" s="16" t="str">
        <f>=IF(F394="","",F394/3600)</f>
        <v/>
      </c>
      <c r="K394" s="11" t="str">
        <f>=IF(L394="","",IF(ISNUMBER(FIND("|",L394)),TRIM(LEFT(L394,FIND("|",L394)-1)),IF(ISNUMBER(MATCH(L394,Config!$F$1:$F$853,0)),L394,IFERROR(INDEX(Config!$F$1:$F$853,MATCH(L394,Config!$G$1:$G$853,0)),""))))</f>
        <v/>
      </c>
      <c r="L394" s="17" t="str">
        <f>=IFERROR(INDEX($L$17:L393,MATCH(C394,$C$17:C393,0)),"")</f>
        <v/>
      </c>
    </row>
    <row r="395" ht="18" customHeight="1" spans="1:12" x14ac:dyDescent="0.25">
      <c r="A395" s="10" t="s">
        <v>2</v>
      </c>
      <c r="B395" s="10" t="s">
        <v>2</v>
      </c>
      <c r="C395" s="10" t="s">
        <v>2</v>
      </c>
      <c r="D395" s="11" t="str">
        <f>=IF(E395="","",IF(ISNUMBER(FIND("|",E395)),TRIM(LEFT(E395,FIND("|",E395)-1)),IF(ISNUMBER(MATCH(E395,Config!$C$1:$C$311,0)),E395,IFERROR(INDEX(Config!$C$1:$C$311,MATCH(E395,Config!$D$1:$D$311,0)),""))))</f>
        <v/>
      </c>
      <c r="E395" s="12" t="s">
        <v>2</v>
      </c>
      <c r="F395" s="13" t="s">
        <v>2</v>
      </c>
      <c r="G395" s="14" t="str">
        <f>=IF(C395="","",SUMIF($C$17:$C$502,C395,$F$17:$F$502))</f>
        <v/>
      </c>
      <c r="H395" s="14" t="str">
        <f>=IFERROR($B$14/$B$10,"")</f>
        <v/>
      </c>
      <c r="I395" s="15" t="str">
        <f>=IFERROR(G395/H395,"")</f>
        <v/>
      </c>
      <c r="J395" s="16" t="str">
        <f>=IF(F395="","",F395/3600)</f>
        <v/>
      </c>
      <c r="K395" s="11" t="str">
        <f>=IF(L395="","",IF(ISNUMBER(FIND("|",L395)),TRIM(LEFT(L395,FIND("|",L395)-1)),IF(ISNUMBER(MATCH(L395,Config!$F$1:$F$853,0)),L395,IFERROR(INDEX(Config!$F$1:$F$853,MATCH(L395,Config!$G$1:$G$853,0)),""))))</f>
        <v/>
      </c>
      <c r="L395" s="17" t="str">
        <f>=IFERROR(INDEX($L$17:L394,MATCH(C395,$C$17:C394,0)),"")</f>
        <v/>
      </c>
    </row>
    <row r="396" ht="18" customHeight="1" spans="1:12" x14ac:dyDescent="0.25">
      <c r="A396" s="10" t="s">
        <v>2</v>
      </c>
      <c r="B396" s="10" t="s">
        <v>2</v>
      </c>
      <c r="C396" s="10" t="s">
        <v>2</v>
      </c>
      <c r="D396" s="11" t="str">
        <f>=IF(E396="","",IF(ISNUMBER(FIND("|",E396)),TRIM(LEFT(E396,FIND("|",E396)-1)),IF(ISNUMBER(MATCH(E396,Config!$C$1:$C$311,0)),E396,IFERROR(INDEX(Config!$C$1:$C$311,MATCH(E396,Config!$D$1:$D$311,0)),""))))</f>
        <v/>
      </c>
      <c r="E396" s="12" t="s">
        <v>2</v>
      </c>
      <c r="F396" s="13" t="s">
        <v>2</v>
      </c>
      <c r="G396" s="14" t="str">
        <f>=IF(C396="","",SUMIF($C$17:$C$502,C396,$F$17:$F$502))</f>
        <v/>
      </c>
      <c r="H396" s="14" t="str">
        <f>=IFERROR($B$14/$B$10,"")</f>
        <v/>
      </c>
      <c r="I396" s="15" t="str">
        <f>=IFERROR(G396/H396,"")</f>
        <v/>
      </c>
      <c r="J396" s="16" t="str">
        <f>=IF(F396="","",F396/3600)</f>
        <v/>
      </c>
      <c r="K396" s="11" t="str">
        <f>=IF(L396="","",IF(ISNUMBER(FIND("|",L396)),TRIM(LEFT(L396,FIND("|",L396)-1)),IF(ISNUMBER(MATCH(L396,Config!$F$1:$F$853,0)),L396,IFERROR(INDEX(Config!$F$1:$F$853,MATCH(L396,Config!$G$1:$G$853,0)),""))))</f>
        <v/>
      </c>
      <c r="L396" s="17" t="str">
        <f>=IFERROR(INDEX($L$17:L395,MATCH(C396,$C$17:C395,0)),"")</f>
        <v/>
      </c>
    </row>
    <row r="397" ht="18" customHeight="1" spans="1:12" x14ac:dyDescent="0.25">
      <c r="A397" s="10" t="s">
        <v>2</v>
      </c>
      <c r="B397" s="10" t="s">
        <v>2</v>
      </c>
      <c r="C397" s="10" t="s">
        <v>2</v>
      </c>
      <c r="D397" s="11" t="str">
        <f>=IF(E397="","",IF(ISNUMBER(FIND("|",E397)),TRIM(LEFT(E397,FIND("|",E397)-1)),IF(ISNUMBER(MATCH(E397,Config!$C$1:$C$311,0)),E397,IFERROR(INDEX(Config!$C$1:$C$311,MATCH(E397,Config!$D$1:$D$311,0)),""))))</f>
        <v/>
      </c>
      <c r="E397" s="12" t="s">
        <v>2</v>
      </c>
      <c r="F397" s="13" t="s">
        <v>2</v>
      </c>
      <c r="G397" s="14" t="str">
        <f>=IF(C397="","",SUMIF($C$17:$C$502,C397,$F$17:$F$502))</f>
        <v/>
      </c>
      <c r="H397" s="14" t="str">
        <f>=IFERROR($B$14/$B$10,"")</f>
        <v/>
      </c>
      <c r="I397" s="15" t="str">
        <f>=IFERROR(G397/H397,"")</f>
        <v/>
      </c>
      <c r="J397" s="16" t="str">
        <f>=IF(F397="","",F397/3600)</f>
        <v/>
      </c>
      <c r="K397" s="11" t="str">
        <f>=IF(L397="","",IF(ISNUMBER(FIND("|",L397)),TRIM(LEFT(L397,FIND("|",L397)-1)),IF(ISNUMBER(MATCH(L397,Config!$F$1:$F$853,0)),L397,IFERROR(INDEX(Config!$F$1:$F$853,MATCH(L397,Config!$G$1:$G$853,0)),""))))</f>
        <v/>
      </c>
      <c r="L397" s="17" t="str">
        <f>=IFERROR(INDEX($L$17:L396,MATCH(C397,$C$17:C396,0)),"")</f>
        <v/>
      </c>
    </row>
    <row r="398" ht="18" customHeight="1" spans="1:12" x14ac:dyDescent="0.25">
      <c r="A398" s="10" t="s">
        <v>2</v>
      </c>
      <c r="B398" s="10" t="s">
        <v>2</v>
      </c>
      <c r="C398" s="10" t="s">
        <v>2</v>
      </c>
      <c r="D398" s="11" t="str">
        <f>=IF(E398="","",IF(ISNUMBER(FIND("|",E398)),TRIM(LEFT(E398,FIND("|",E398)-1)),IF(ISNUMBER(MATCH(E398,Config!$C$1:$C$311,0)),E398,IFERROR(INDEX(Config!$C$1:$C$311,MATCH(E398,Config!$D$1:$D$311,0)),""))))</f>
        <v/>
      </c>
      <c r="E398" s="12" t="s">
        <v>2</v>
      </c>
      <c r="F398" s="13" t="s">
        <v>2</v>
      </c>
      <c r="G398" s="14" t="str">
        <f>=IF(C398="","",SUMIF($C$17:$C$502,C398,$F$17:$F$502))</f>
        <v/>
      </c>
      <c r="H398" s="14" t="str">
        <f>=IFERROR($B$14/$B$10,"")</f>
        <v/>
      </c>
      <c r="I398" s="15" t="str">
        <f>=IFERROR(G398/H398,"")</f>
        <v/>
      </c>
      <c r="J398" s="16" t="str">
        <f>=IF(F398="","",F398/3600)</f>
        <v/>
      </c>
      <c r="K398" s="11" t="str">
        <f>=IF(L398="","",IF(ISNUMBER(FIND("|",L398)),TRIM(LEFT(L398,FIND("|",L398)-1)),IF(ISNUMBER(MATCH(L398,Config!$F$1:$F$853,0)),L398,IFERROR(INDEX(Config!$F$1:$F$853,MATCH(L398,Config!$G$1:$G$853,0)),""))))</f>
        <v/>
      </c>
      <c r="L398" s="17" t="str">
        <f>=IFERROR(INDEX($L$17:L397,MATCH(C398,$C$17:C397,0)),"")</f>
        <v/>
      </c>
    </row>
    <row r="399" ht="18" customHeight="1" spans="1:12" x14ac:dyDescent="0.25">
      <c r="A399" s="10" t="s">
        <v>2</v>
      </c>
      <c r="B399" s="10" t="s">
        <v>2</v>
      </c>
      <c r="C399" s="10" t="s">
        <v>2</v>
      </c>
      <c r="D399" s="11" t="str">
        <f>=IF(E399="","",IF(ISNUMBER(FIND("|",E399)),TRIM(LEFT(E399,FIND("|",E399)-1)),IF(ISNUMBER(MATCH(E399,Config!$C$1:$C$311,0)),E399,IFERROR(INDEX(Config!$C$1:$C$311,MATCH(E399,Config!$D$1:$D$311,0)),""))))</f>
        <v/>
      </c>
      <c r="E399" s="12" t="s">
        <v>2</v>
      </c>
      <c r="F399" s="13" t="s">
        <v>2</v>
      </c>
      <c r="G399" s="14" t="str">
        <f>=IF(C399="","",SUMIF($C$17:$C$502,C399,$F$17:$F$502))</f>
        <v/>
      </c>
      <c r="H399" s="14" t="str">
        <f>=IFERROR($B$14/$B$10,"")</f>
        <v/>
      </c>
      <c r="I399" s="15" t="str">
        <f>=IFERROR(G399/H399,"")</f>
        <v/>
      </c>
      <c r="J399" s="16" t="str">
        <f>=IF(F399="","",F399/3600)</f>
        <v/>
      </c>
      <c r="K399" s="11" t="str">
        <f>=IF(L399="","",IF(ISNUMBER(FIND("|",L399)),TRIM(LEFT(L399,FIND("|",L399)-1)),IF(ISNUMBER(MATCH(L399,Config!$F$1:$F$853,0)),L399,IFERROR(INDEX(Config!$F$1:$F$853,MATCH(L399,Config!$G$1:$G$853,0)),""))))</f>
        <v/>
      </c>
      <c r="L399" s="17" t="str">
        <f>=IFERROR(INDEX($L$17:L398,MATCH(C399,$C$17:C398,0)),"")</f>
        <v/>
      </c>
    </row>
    <row r="400" ht="18" customHeight="1" spans="1:12" x14ac:dyDescent="0.25">
      <c r="A400" s="10" t="s">
        <v>2</v>
      </c>
      <c r="B400" s="10" t="s">
        <v>2</v>
      </c>
      <c r="C400" s="10" t="s">
        <v>2</v>
      </c>
      <c r="D400" s="11" t="str">
        <f>=IF(E400="","",IF(ISNUMBER(FIND("|",E400)),TRIM(LEFT(E400,FIND("|",E400)-1)),IF(ISNUMBER(MATCH(E400,Config!$C$1:$C$311,0)),E400,IFERROR(INDEX(Config!$C$1:$C$311,MATCH(E400,Config!$D$1:$D$311,0)),""))))</f>
        <v/>
      </c>
      <c r="E400" s="12" t="s">
        <v>2</v>
      </c>
      <c r="F400" s="13" t="s">
        <v>2</v>
      </c>
      <c r="G400" s="14" t="str">
        <f>=IF(C400="","",SUMIF($C$17:$C$502,C400,$F$17:$F$502))</f>
        <v/>
      </c>
      <c r="H400" s="14" t="str">
        <f>=IFERROR($B$14/$B$10,"")</f>
        <v/>
      </c>
      <c r="I400" s="15" t="str">
        <f>=IFERROR(G400/H400,"")</f>
        <v/>
      </c>
      <c r="J400" s="16" t="str">
        <f>=IF(F400="","",F400/3600)</f>
        <v/>
      </c>
      <c r="K400" s="11" t="str">
        <f>=IF(L400="","",IF(ISNUMBER(FIND("|",L400)),TRIM(LEFT(L400,FIND("|",L400)-1)),IF(ISNUMBER(MATCH(L400,Config!$F$1:$F$853,0)),L400,IFERROR(INDEX(Config!$F$1:$F$853,MATCH(L400,Config!$G$1:$G$853,0)),""))))</f>
        <v/>
      </c>
      <c r="L400" s="17" t="str">
        <f>=IFERROR(INDEX($L$17:L399,MATCH(C400,$C$17:C399,0)),"")</f>
        <v/>
      </c>
    </row>
    <row r="401" ht="18" customHeight="1" spans="1:12" x14ac:dyDescent="0.25">
      <c r="A401" s="10" t="s">
        <v>2</v>
      </c>
      <c r="B401" s="10" t="s">
        <v>2</v>
      </c>
      <c r="C401" s="10" t="s">
        <v>2</v>
      </c>
      <c r="D401" s="11" t="str">
        <f>=IF(E401="","",IF(ISNUMBER(FIND("|",E401)),TRIM(LEFT(E401,FIND("|",E401)-1)),IF(ISNUMBER(MATCH(E401,Config!$C$1:$C$311,0)),E401,IFERROR(INDEX(Config!$C$1:$C$311,MATCH(E401,Config!$D$1:$D$311,0)),""))))</f>
        <v/>
      </c>
      <c r="E401" s="12" t="s">
        <v>2</v>
      </c>
      <c r="F401" s="13" t="s">
        <v>2</v>
      </c>
      <c r="G401" s="14" t="str">
        <f>=IF(C401="","",SUMIF($C$17:$C$502,C401,$F$17:$F$502))</f>
        <v/>
      </c>
      <c r="H401" s="14" t="str">
        <f>=IFERROR($B$14/$B$10,"")</f>
        <v/>
      </c>
      <c r="I401" s="15" t="str">
        <f>=IFERROR(G401/H401,"")</f>
        <v/>
      </c>
      <c r="J401" s="16" t="str">
        <f>=IF(F401="","",F401/3600)</f>
        <v/>
      </c>
      <c r="K401" s="11" t="str">
        <f>=IF(L401="","",IF(ISNUMBER(FIND("|",L401)),TRIM(LEFT(L401,FIND("|",L401)-1)),IF(ISNUMBER(MATCH(L401,Config!$F$1:$F$853,0)),L401,IFERROR(INDEX(Config!$F$1:$F$853,MATCH(L401,Config!$G$1:$G$853,0)),""))))</f>
        <v/>
      </c>
      <c r="L401" s="17" t="str">
        <f>=IFERROR(INDEX($L$17:L400,MATCH(C401,$C$17:C400,0)),"")</f>
        <v/>
      </c>
    </row>
    <row r="402" ht="18" customHeight="1" spans="1:12" x14ac:dyDescent="0.25">
      <c r="A402" s="10" t="s">
        <v>2</v>
      </c>
      <c r="B402" s="10" t="s">
        <v>2</v>
      </c>
      <c r="C402" s="10" t="s">
        <v>2</v>
      </c>
      <c r="D402" s="11" t="str">
        <f>=IF(E402="","",IF(ISNUMBER(FIND("|",E402)),TRIM(LEFT(E402,FIND("|",E402)-1)),IF(ISNUMBER(MATCH(E402,Config!$C$1:$C$311,0)),E402,IFERROR(INDEX(Config!$C$1:$C$311,MATCH(E402,Config!$D$1:$D$311,0)),""))))</f>
        <v/>
      </c>
      <c r="E402" s="12" t="s">
        <v>2</v>
      </c>
      <c r="F402" s="13" t="s">
        <v>2</v>
      </c>
      <c r="G402" s="14" t="str">
        <f>=IF(C402="","",SUMIF($C$17:$C$502,C402,$F$17:$F$502))</f>
        <v/>
      </c>
      <c r="H402" s="14" t="str">
        <f>=IFERROR($B$14/$B$10,"")</f>
        <v/>
      </c>
      <c r="I402" s="15" t="str">
        <f>=IFERROR(G402/H402,"")</f>
        <v/>
      </c>
      <c r="J402" s="16" t="str">
        <f>=IF(F402="","",F402/3600)</f>
        <v/>
      </c>
      <c r="K402" s="11" t="str">
        <f>=IF(L402="","",IF(ISNUMBER(FIND("|",L402)),TRIM(LEFT(L402,FIND("|",L402)-1)),IF(ISNUMBER(MATCH(L402,Config!$F$1:$F$853,0)),L402,IFERROR(INDEX(Config!$F$1:$F$853,MATCH(L402,Config!$G$1:$G$853,0)),""))))</f>
        <v/>
      </c>
      <c r="L402" s="17" t="str">
        <f>=IFERROR(INDEX($L$17:L401,MATCH(C402,$C$17:C401,0)),"")</f>
        <v/>
      </c>
    </row>
    <row r="403" ht="18" customHeight="1" spans="1:12" x14ac:dyDescent="0.25">
      <c r="A403" s="10" t="s">
        <v>2</v>
      </c>
      <c r="B403" s="10" t="s">
        <v>2</v>
      </c>
      <c r="C403" s="10" t="s">
        <v>2</v>
      </c>
      <c r="D403" s="11" t="str">
        <f>=IF(E403="","",IF(ISNUMBER(FIND("|",E403)),TRIM(LEFT(E403,FIND("|",E403)-1)),IF(ISNUMBER(MATCH(E403,Config!$C$1:$C$311,0)),E403,IFERROR(INDEX(Config!$C$1:$C$311,MATCH(E403,Config!$D$1:$D$311,0)),""))))</f>
        <v/>
      </c>
      <c r="E403" s="12" t="s">
        <v>2</v>
      </c>
      <c r="F403" s="13" t="s">
        <v>2</v>
      </c>
      <c r="G403" s="14" t="str">
        <f>=IF(C403="","",SUMIF($C$17:$C$502,C403,$F$17:$F$502))</f>
        <v/>
      </c>
      <c r="H403" s="14" t="str">
        <f>=IFERROR($B$14/$B$10,"")</f>
        <v/>
      </c>
      <c r="I403" s="15" t="str">
        <f>=IFERROR(G403/H403,"")</f>
        <v/>
      </c>
      <c r="J403" s="16" t="str">
        <f>=IF(F403="","",F403/3600)</f>
        <v/>
      </c>
      <c r="K403" s="11" t="str">
        <f>=IF(L403="","",IF(ISNUMBER(FIND("|",L403)),TRIM(LEFT(L403,FIND("|",L403)-1)),IF(ISNUMBER(MATCH(L403,Config!$F$1:$F$853,0)),L403,IFERROR(INDEX(Config!$F$1:$F$853,MATCH(L403,Config!$G$1:$G$853,0)),""))))</f>
        <v/>
      </c>
      <c r="L403" s="17" t="str">
        <f>=IFERROR(INDEX($L$17:L402,MATCH(C403,$C$17:C402,0)),"")</f>
        <v/>
      </c>
    </row>
    <row r="404" ht="18" customHeight="1" spans="1:12" x14ac:dyDescent="0.25">
      <c r="A404" s="10" t="s">
        <v>2</v>
      </c>
      <c r="B404" s="10" t="s">
        <v>2</v>
      </c>
      <c r="C404" s="10" t="s">
        <v>2</v>
      </c>
      <c r="D404" s="11" t="str">
        <f>=IF(E404="","",IF(ISNUMBER(FIND("|",E404)),TRIM(LEFT(E404,FIND("|",E404)-1)),IF(ISNUMBER(MATCH(E404,Config!$C$1:$C$311,0)),E404,IFERROR(INDEX(Config!$C$1:$C$311,MATCH(E404,Config!$D$1:$D$311,0)),""))))</f>
        <v/>
      </c>
      <c r="E404" s="12" t="s">
        <v>2</v>
      </c>
      <c r="F404" s="13" t="s">
        <v>2</v>
      </c>
      <c r="G404" s="14" t="str">
        <f>=IF(C404="","",SUMIF($C$17:$C$502,C404,$F$17:$F$502))</f>
        <v/>
      </c>
      <c r="H404" s="14" t="str">
        <f>=IFERROR($B$14/$B$10,"")</f>
        <v/>
      </c>
      <c r="I404" s="15" t="str">
        <f>=IFERROR(G404/H404,"")</f>
        <v/>
      </c>
      <c r="J404" s="16" t="str">
        <f>=IF(F404="","",F404/3600)</f>
        <v/>
      </c>
      <c r="K404" s="11" t="str">
        <f>=IF(L404="","",IF(ISNUMBER(FIND("|",L404)),TRIM(LEFT(L404,FIND("|",L404)-1)),IF(ISNUMBER(MATCH(L404,Config!$F$1:$F$853,0)),L404,IFERROR(INDEX(Config!$F$1:$F$853,MATCH(L404,Config!$G$1:$G$853,0)),""))))</f>
        <v/>
      </c>
      <c r="L404" s="17" t="str">
        <f>=IFERROR(INDEX($L$17:L403,MATCH(C404,$C$17:C403,0)),"")</f>
        <v/>
      </c>
    </row>
    <row r="405" ht="18" customHeight="1" spans="1:12" x14ac:dyDescent="0.25">
      <c r="A405" s="10" t="s">
        <v>2</v>
      </c>
      <c r="B405" s="10" t="s">
        <v>2</v>
      </c>
      <c r="C405" s="10" t="s">
        <v>2</v>
      </c>
      <c r="D405" s="11" t="str">
        <f>=IF(E405="","",IF(ISNUMBER(FIND("|",E405)),TRIM(LEFT(E405,FIND("|",E405)-1)),IF(ISNUMBER(MATCH(E405,Config!$C$1:$C$311,0)),E405,IFERROR(INDEX(Config!$C$1:$C$311,MATCH(E405,Config!$D$1:$D$311,0)),""))))</f>
        <v/>
      </c>
      <c r="E405" s="12" t="s">
        <v>2</v>
      </c>
      <c r="F405" s="13" t="s">
        <v>2</v>
      </c>
      <c r="G405" s="14" t="str">
        <f>=IF(C405="","",SUMIF($C$17:$C$502,C405,$F$17:$F$502))</f>
        <v/>
      </c>
      <c r="H405" s="14" t="str">
        <f>=IFERROR($B$14/$B$10,"")</f>
        <v/>
      </c>
      <c r="I405" s="15" t="str">
        <f>=IFERROR(G405/H405,"")</f>
        <v/>
      </c>
      <c r="J405" s="16" t="str">
        <f>=IF(F405="","",F405/3600)</f>
        <v/>
      </c>
      <c r="K405" s="11" t="str">
        <f>=IF(L405="","",IF(ISNUMBER(FIND("|",L405)),TRIM(LEFT(L405,FIND("|",L405)-1)),IF(ISNUMBER(MATCH(L405,Config!$F$1:$F$853,0)),L405,IFERROR(INDEX(Config!$F$1:$F$853,MATCH(L405,Config!$G$1:$G$853,0)),""))))</f>
        <v/>
      </c>
      <c r="L405" s="17" t="str">
        <f>=IFERROR(INDEX($L$17:L404,MATCH(C405,$C$17:C404,0)),"")</f>
        <v/>
      </c>
    </row>
    <row r="406" ht="18" customHeight="1" spans="1:12" x14ac:dyDescent="0.25">
      <c r="A406" s="10" t="s">
        <v>2</v>
      </c>
      <c r="B406" s="10" t="s">
        <v>2</v>
      </c>
      <c r="C406" s="10" t="s">
        <v>2</v>
      </c>
      <c r="D406" s="11" t="str">
        <f>=IF(E406="","",IF(ISNUMBER(FIND("|",E406)),TRIM(LEFT(E406,FIND("|",E406)-1)),IF(ISNUMBER(MATCH(E406,Config!$C$1:$C$311,0)),E406,IFERROR(INDEX(Config!$C$1:$C$311,MATCH(E406,Config!$D$1:$D$311,0)),""))))</f>
        <v/>
      </c>
      <c r="E406" s="12" t="s">
        <v>2</v>
      </c>
      <c r="F406" s="13" t="s">
        <v>2</v>
      </c>
      <c r="G406" s="14" t="str">
        <f>=IF(C406="","",SUMIF($C$17:$C$502,C406,$F$17:$F$502))</f>
        <v/>
      </c>
      <c r="H406" s="14" t="str">
        <f>=IFERROR($B$14/$B$10,"")</f>
        <v/>
      </c>
      <c r="I406" s="15" t="str">
        <f>=IFERROR(G406/H406,"")</f>
        <v/>
      </c>
      <c r="J406" s="16" t="str">
        <f>=IF(F406="","",F406/3600)</f>
        <v/>
      </c>
      <c r="K406" s="11" t="str">
        <f>=IF(L406="","",IF(ISNUMBER(FIND("|",L406)),TRIM(LEFT(L406,FIND("|",L406)-1)),IF(ISNUMBER(MATCH(L406,Config!$F$1:$F$853,0)),L406,IFERROR(INDEX(Config!$F$1:$F$853,MATCH(L406,Config!$G$1:$G$853,0)),""))))</f>
        <v/>
      </c>
      <c r="L406" s="17" t="str">
        <f>=IFERROR(INDEX($L$17:L405,MATCH(C406,$C$17:C405,0)),"")</f>
        <v/>
      </c>
    </row>
    <row r="407" ht="18" customHeight="1" spans="1:12" x14ac:dyDescent="0.25">
      <c r="A407" s="10" t="s">
        <v>2</v>
      </c>
      <c r="B407" s="10" t="s">
        <v>2</v>
      </c>
      <c r="C407" s="10" t="s">
        <v>2</v>
      </c>
      <c r="D407" s="11" t="str">
        <f>=IF(E407="","",IF(ISNUMBER(FIND("|",E407)),TRIM(LEFT(E407,FIND("|",E407)-1)),IF(ISNUMBER(MATCH(E407,Config!$C$1:$C$311,0)),E407,IFERROR(INDEX(Config!$C$1:$C$311,MATCH(E407,Config!$D$1:$D$311,0)),""))))</f>
        <v/>
      </c>
      <c r="E407" s="12" t="s">
        <v>2</v>
      </c>
      <c r="F407" s="13" t="s">
        <v>2</v>
      </c>
      <c r="G407" s="14" t="str">
        <f>=IF(C407="","",SUMIF($C$17:$C$502,C407,$F$17:$F$502))</f>
        <v/>
      </c>
      <c r="H407" s="14" t="str">
        <f>=IFERROR($B$14/$B$10,"")</f>
        <v/>
      </c>
      <c r="I407" s="15" t="str">
        <f>=IFERROR(G407/H407,"")</f>
        <v/>
      </c>
      <c r="J407" s="16" t="str">
        <f>=IF(F407="","",F407/3600)</f>
        <v/>
      </c>
      <c r="K407" s="11" t="str">
        <f>=IF(L407="","",IF(ISNUMBER(FIND("|",L407)),TRIM(LEFT(L407,FIND("|",L407)-1)),IF(ISNUMBER(MATCH(L407,Config!$F$1:$F$853,0)),L407,IFERROR(INDEX(Config!$F$1:$F$853,MATCH(L407,Config!$G$1:$G$853,0)),""))))</f>
        <v/>
      </c>
      <c r="L407" s="17" t="str">
        <f>=IFERROR(INDEX($L$17:L406,MATCH(C407,$C$17:C406,0)),"")</f>
        <v/>
      </c>
    </row>
    <row r="408" ht="18" customHeight="1" spans="1:12" x14ac:dyDescent="0.25">
      <c r="A408" s="10" t="s">
        <v>2</v>
      </c>
      <c r="B408" s="10" t="s">
        <v>2</v>
      </c>
      <c r="C408" s="10" t="s">
        <v>2</v>
      </c>
      <c r="D408" s="11" t="str">
        <f>=IF(E408="","",IF(ISNUMBER(FIND("|",E408)),TRIM(LEFT(E408,FIND("|",E408)-1)),IF(ISNUMBER(MATCH(E408,Config!$C$1:$C$311,0)),E408,IFERROR(INDEX(Config!$C$1:$C$311,MATCH(E408,Config!$D$1:$D$311,0)),""))))</f>
        <v/>
      </c>
      <c r="E408" s="12" t="s">
        <v>2</v>
      </c>
      <c r="F408" s="13" t="s">
        <v>2</v>
      </c>
      <c r="G408" s="14" t="str">
        <f>=IF(C408="","",SUMIF($C$17:$C$502,C408,$F$17:$F$502))</f>
        <v/>
      </c>
      <c r="H408" s="14" t="str">
        <f>=IFERROR($B$14/$B$10,"")</f>
        <v/>
      </c>
      <c r="I408" s="15" t="str">
        <f>=IFERROR(G408/H408,"")</f>
        <v/>
      </c>
      <c r="J408" s="16" t="str">
        <f>=IF(F408="","",F408/3600)</f>
        <v/>
      </c>
      <c r="K408" s="11" t="str">
        <f>=IF(L408="","",IF(ISNUMBER(FIND("|",L408)),TRIM(LEFT(L408,FIND("|",L408)-1)),IF(ISNUMBER(MATCH(L408,Config!$F$1:$F$853,0)),L408,IFERROR(INDEX(Config!$F$1:$F$853,MATCH(L408,Config!$G$1:$G$853,0)),""))))</f>
        <v/>
      </c>
      <c r="L408" s="17" t="str">
        <f>=IFERROR(INDEX($L$17:L407,MATCH(C408,$C$17:C407,0)),"")</f>
        <v/>
      </c>
    </row>
    <row r="409" ht="18" customHeight="1" spans="1:12" x14ac:dyDescent="0.25">
      <c r="A409" s="10" t="s">
        <v>2</v>
      </c>
      <c r="B409" s="10" t="s">
        <v>2</v>
      </c>
      <c r="C409" s="10" t="s">
        <v>2</v>
      </c>
      <c r="D409" s="11" t="str">
        <f>=IF(E409="","",IF(ISNUMBER(FIND("|",E409)),TRIM(LEFT(E409,FIND("|",E409)-1)),IF(ISNUMBER(MATCH(E409,Config!$C$1:$C$311,0)),E409,IFERROR(INDEX(Config!$C$1:$C$311,MATCH(E409,Config!$D$1:$D$311,0)),""))))</f>
        <v/>
      </c>
      <c r="E409" s="12" t="s">
        <v>2</v>
      </c>
      <c r="F409" s="13" t="s">
        <v>2</v>
      </c>
      <c r="G409" s="14" t="str">
        <f>=IF(C409="","",SUMIF($C$17:$C$502,C409,$F$17:$F$502))</f>
        <v/>
      </c>
      <c r="H409" s="14" t="str">
        <f>=IFERROR($B$14/$B$10,"")</f>
        <v/>
      </c>
      <c r="I409" s="15" t="str">
        <f>=IFERROR(G409/H409,"")</f>
        <v/>
      </c>
      <c r="J409" s="16" t="str">
        <f>=IF(F409="","",F409/3600)</f>
        <v/>
      </c>
      <c r="K409" s="11" t="str">
        <f>=IF(L409="","",IF(ISNUMBER(FIND("|",L409)),TRIM(LEFT(L409,FIND("|",L409)-1)),IF(ISNUMBER(MATCH(L409,Config!$F$1:$F$853,0)),L409,IFERROR(INDEX(Config!$F$1:$F$853,MATCH(L409,Config!$G$1:$G$853,0)),""))))</f>
        <v/>
      </c>
      <c r="L409" s="17" t="str">
        <f>=IFERROR(INDEX($L$17:L408,MATCH(C409,$C$17:C408,0)),"")</f>
        <v/>
      </c>
    </row>
    <row r="410" ht="18" customHeight="1" spans="1:12" x14ac:dyDescent="0.25">
      <c r="A410" s="10" t="s">
        <v>2</v>
      </c>
      <c r="B410" s="10" t="s">
        <v>2</v>
      </c>
      <c r="C410" s="10" t="s">
        <v>2</v>
      </c>
      <c r="D410" s="11" t="str">
        <f>=IF(E410="","",IF(ISNUMBER(FIND("|",E410)),TRIM(LEFT(E410,FIND("|",E410)-1)),IF(ISNUMBER(MATCH(E410,Config!$C$1:$C$311,0)),E410,IFERROR(INDEX(Config!$C$1:$C$311,MATCH(E410,Config!$D$1:$D$311,0)),""))))</f>
        <v/>
      </c>
      <c r="E410" s="12" t="s">
        <v>2</v>
      </c>
      <c r="F410" s="13" t="s">
        <v>2</v>
      </c>
      <c r="G410" s="14" t="str">
        <f>=IF(C410="","",SUMIF($C$17:$C$502,C410,$F$17:$F$502))</f>
        <v/>
      </c>
      <c r="H410" s="14" t="str">
        <f>=IFERROR($B$14/$B$10,"")</f>
        <v/>
      </c>
      <c r="I410" s="15" t="str">
        <f>=IFERROR(G410/H410,"")</f>
        <v/>
      </c>
      <c r="J410" s="16" t="str">
        <f>=IF(F410="","",F410/3600)</f>
        <v/>
      </c>
      <c r="K410" s="11" t="str">
        <f>=IF(L410="","",IF(ISNUMBER(FIND("|",L410)),TRIM(LEFT(L410,FIND("|",L410)-1)),IF(ISNUMBER(MATCH(L410,Config!$F$1:$F$853,0)),L410,IFERROR(INDEX(Config!$F$1:$F$853,MATCH(L410,Config!$G$1:$G$853,0)),""))))</f>
        <v/>
      </c>
      <c r="L410" s="17" t="str">
        <f>=IFERROR(INDEX($L$17:L409,MATCH(C410,$C$17:C409,0)),"")</f>
        <v/>
      </c>
    </row>
    <row r="411" ht="18" customHeight="1" spans="1:12" x14ac:dyDescent="0.25">
      <c r="A411" s="10" t="s">
        <v>2</v>
      </c>
      <c r="B411" s="10" t="s">
        <v>2</v>
      </c>
      <c r="C411" s="10" t="s">
        <v>2</v>
      </c>
      <c r="D411" s="11" t="str">
        <f>=IF(E411="","",IF(ISNUMBER(FIND("|",E411)),TRIM(LEFT(E411,FIND("|",E411)-1)),IF(ISNUMBER(MATCH(E411,Config!$C$1:$C$311,0)),E411,IFERROR(INDEX(Config!$C$1:$C$311,MATCH(E411,Config!$D$1:$D$311,0)),""))))</f>
        <v/>
      </c>
      <c r="E411" s="12" t="s">
        <v>2</v>
      </c>
      <c r="F411" s="13" t="s">
        <v>2</v>
      </c>
      <c r="G411" s="14" t="str">
        <f>=IF(C411="","",SUMIF($C$17:$C$502,C411,$F$17:$F$502))</f>
        <v/>
      </c>
      <c r="H411" s="14" t="str">
        <f>=IFERROR($B$14/$B$10,"")</f>
        <v/>
      </c>
      <c r="I411" s="15" t="str">
        <f>=IFERROR(G411/H411,"")</f>
        <v/>
      </c>
      <c r="J411" s="16" t="str">
        <f>=IF(F411="","",F411/3600)</f>
        <v/>
      </c>
      <c r="K411" s="11" t="str">
        <f>=IF(L411="","",IF(ISNUMBER(FIND("|",L411)),TRIM(LEFT(L411,FIND("|",L411)-1)),IF(ISNUMBER(MATCH(L411,Config!$F$1:$F$853,0)),L411,IFERROR(INDEX(Config!$F$1:$F$853,MATCH(L411,Config!$G$1:$G$853,0)),""))))</f>
        <v/>
      </c>
      <c r="L411" s="17" t="str">
        <f>=IFERROR(INDEX($L$17:L410,MATCH(C411,$C$17:C410,0)),"")</f>
        <v/>
      </c>
    </row>
    <row r="412" ht="18" customHeight="1" spans="1:12" x14ac:dyDescent="0.25">
      <c r="A412" s="10" t="s">
        <v>2</v>
      </c>
      <c r="B412" s="10" t="s">
        <v>2</v>
      </c>
      <c r="C412" s="10" t="s">
        <v>2</v>
      </c>
      <c r="D412" s="11" t="str">
        <f>=IF(E412="","",IF(ISNUMBER(FIND("|",E412)),TRIM(LEFT(E412,FIND("|",E412)-1)),IF(ISNUMBER(MATCH(E412,Config!$C$1:$C$311,0)),E412,IFERROR(INDEX(Config!$C$1:$C$311,MATCH(E412,Config!$D$1:$D$311,0)),""))))</f>
        <v/>
      </c>
      <c r="E412" s="12" t="s">
        <v>2</v>
      </c>
      <c r="F412" s="13" t="s">
        <v>2</v>
      </c>
      <c r="G412" s="14" t="str">
        <f>=IF(C412="","",SUMIF($C$17:$C$502,C412,$F$17:$F$502))</f>
        <v/>
      </c>
      <c r="H412" s="14" t="str">
        <f>=IFERROR($B$14/$B$10,"")</f>
        <v/>
      </c>
      <c r="I412" s="15" t="str">
        <f>=IFERROR(G412/H412,"")</f>
        <v/>
      </c>
      <c r="J412" s="16" t="str">
        <f>=IF(F412="","",F412/3600)</f>
        <v/>
      </c>
      <c r="K412" s="11" t="str">
        <f>=IF(L412="","",IF(ISNUMBER(FIND("|",L412)),TRIM(LEFT(L412,FIND("|",L412)-1)),IF(ISNUMBER(MATCH(L412,Config!$F$1:$F$853,0)),L412,IFERROR(INDEX(Config!$F$1:$F$853,MATCH(L412,Config!$G$1:$G$853,0)),""))))</f>
        <v/>
      </c>
      <c r="L412" s="17" t="str">
        <f>=IFERROR(INDEX($L$17:L411,MATCH(C412,$C$17:C411,0)),"")</f>
        <v/>
      </c>
    </row>
    <row r="413" ht="18" customHeight="1" spans="1:12" x14ac:dyDescent="0.25">
      <c r="A413" s="10" t="s">
        <v>2</v>
      </c>
      <c r="B413" s="10" t="s">
        <v>2</v>
      </c>
      <c r="C413" s="10" t="s">
        <v>2</v>
      </c>
      <c r="D413" s="11" t="str">
        <f>=IF(E413="","",IF(ISNUMBER(FIND("|",E413)),TRIM(LEFT(E413,FIND("|",E413)-1)),IF(ISNUMBER(MATCH(E413,Config!$C$1:$C$311,0)),E413,IFERROR(INDEX(Config!$C$1:$C$311,MATCH(E413,Config!$D$1:$D$311,0)),""))))</f>
        <v/>
      </c>
      <c r="E413" s="12" t="s">
        <v>2</v>
      </c>
      <c r="F413" s="13" t="s">
        <v>2</v>
      </c>
      <c r="G413" s="14" t="str">
        <f>=IF(C413="","",SUMIF($C$17:$C$502,C413,$F$17:$F$502))</f>
        <v/>
      </c>
      <c r="H413" s="14" t="str">
        <f>=IFERROR($B$14/$B$10,"")</f>
        <v/>
      </c>
      <c r="I413" s="15" t="str">
        <f>=IFERROR(G413/H413,"")</f>
        <v/>
      </c>
      <c r="J413" s="16" t="str">
        <f>=IF(F413="","",F413/3600)</f>
        <v/>
      </c>
      <c r="K413" s="11" t="str">
        <f>=IF(L413="","",IF(ISNUMBER(FIND("|",L413)),TRIM(LEFT(L413,FIND("|",L413)-1)),IF(ISNUMBER(MATCH(L413,Config!$F$1:$F$853,0)),L413,IFERROR(INDEX(Config!$F$1:$F$853,MATCH(L413,Config!$G$1:$G$853,0)),""))))</f>
        <v/>
      </c>
      <c r="L413" s="17" t="str">
        <f>=IFERROR(INDEX($L$17:L412,MATCH(C413,$C$17:C412,0)),"")</f>
        <v/>
      </c>
    </row>
    <row r="414" ht="18" customHeight="1" spans="1:12" x14ac:dyDescent="0.25">
      <c r="A414" s="10" t="s">
        <v>2</v>
      </c>
      <c r="B414" s="10" t="s">
        <v>2</v>
      </c>
      <c r="C414" s="10" t="s">
        <v>2</v>
      </c>
      <c r="D414" s="11" t="str">
        <f>=IF(E414="","",IF(ISNUMBER(FIND("|",E414)),TRIM(LEFT(E414,FIND("|",E414)-1)),IF(ISNUMBER(MATCH(E414,Config!$C$1:$C$311,0)),E414,IFERROR(INDEX(Config!$C$1:$C$311,MATCH(E414,Config!$D$1:$D$311,0)),""))))</f>
        <v/>
      </c>
      <c r="E414" s="12" t="s">
        <v>2</v>
      </c>
      <c r="F414" s="13" t="s">
        <v>2</v>
      </c>
      <c r="G414" s="14" t="str">
        <f>=IF(C414="","",SUMIF($C$17:$C$502,C414,$F$17:$F$502))</f>
        <v/>
      </c>
      <c r="H414" s="14" t="str">
        <f>=IFERROR($B$14/$B$10,"")</f>
        <v/>
      </c>
      <c r="I414" s="15" t="str">
        <f>=IFERROR(G414/H414,"")</f>
        <v/>
      </c>
      <c r="J414" s="16" t="str">
        <f>=IF(F414="","",F414/3600)</f>
        <v/>
      </c>
      <c r="K414" s="11" t="str">
        <f>=IF(L414="","",IF(ISNUMBER(FIND("|",L414)),TRIM(LEFT(L414,FIND("|",L414)-1)),IF(ISNUMBER(MATCH(L414,Config!$F$1:$F$853,0)),L414,IFERROR(INDEX(Config!$F$1:$F$853,MATCH(L414,Config!$G$1:$G$853,0)),""))))</f>
        <v/>
      </c>
      <c r="L414" s="17" t="str">
        <f>=IFERROR(INDEX($L$17:L413,MATCH(C414,$C$17:C413,0)),"")</f>
        <v/>
      </c>
    </row>
    <row r="415" ht="18" customHeight="1" spans="1:12" x14ac:dyDescent="0.25">
      <c r="A415" s="10" t="s">
        <v>2</v>
      </c>
      <c r="B415" s="10" t="s">
        <v>2</v>
      </c>
      <c r="C415" s="10" t="s">
        <v>2</v>
      </c>
      <c r="D415" s="11" t="str">
        <f>=IF(E415="","",IF(ISNUMBER(FIND("|",E415)),TRIM(LEFT(E415,FIND("|",E415)-1)),IF(ISNUMBER(MATCH(E415,Config!$C$1:$C$311,0)),E415,IFERROR(INDEX(Config!$C$1:$C$311,MATCH(E415,Config!$D$1:$D$311,0)),""))))</f>
        <v/>
      </c>
      <c r="E415" s="12" t="s">
        <v>2</v>
      </c>
      <c r="F415" s="13" t="s">
        <v>2</v>
      </c>
      <c r="G415" s="14" t="str">
        <f>=IF(C415="","",SUMIF($C$17:$C$502,C415,$F$17:$F$502))</f>
        <v/>
      </c>
      <c r="H415" s="14" t="str">
        <f>=IFERROR($B$14/$B$10,"")</f>
        <v/>
      </c>
      <c r="I415" s="15" t="str">
        <f>=IFERROR(G415/H415,"")</f>
        <v/>
      </c>
      <c r="J415" s="16" t="str">
        <f>=IF(F415="","",F415/3600)</f>
        <v/>
      </c>
      <c r="K415" s="11" t="str">
        <f>=IF(L415="","",IF(ISNUMBER(FIND("|",L415)),TRIM(LEFT(L415,FIND("|",L415)-1)),IF(ISNUMBER(MATCH(L415,Config!$F$1:$F$853,0)),L415,IFERROR(INDEX(Config!$F$1:$F$853,MATCH(L415,Config!$G$1:$G$853,0)),""))))</f>
        <v/>
      </c>
      <c r="L415" s="17" t="str">
        <f>=IFERROR(INDEX($L$17:L414,MATCH(C415,$C$17:C414,0)),"")</f>
        <v/>
      </c>
    </row>
    <row r="416" ht="18" customHeight="1" spans="1:12" x14ac:dyDescent="0.25">
      <c r="A416" s="10" t="s">
        <v>2</v>
      </c>
      <c r="B416" s="10" t="s">
        <v>2</v>
      </c>
      <c r="C416" s="10" t="s">
        <v>2</v>
      </c>
      <c r="D416" s="11" t="str">
        <f>=IF(E416="","",IF(ISNUMBER(FIND("|",E416)),TRIM(LEFT(E416,FIND("|",E416)-1)),IF(ISNUMBER(MATCH(E416,Config!$C$1:$C$311,0)),E416,IFERROR(INDEX(Config!$C$1:$C$311,MATCH(E416,Config!$D$1:$D$311,0)),""))))</f>
        <v/>
      </c>
      <c r="E416" s="12" t="s">
        <v>2</v>
      </c>
      <c r="F416" s="13" t="s">
        <v>2</v>
      </c>
      <c r="G416" s="14" t="str">
        <f>=IF(C416="","",SUMIF($C$17:$C$502,C416,$F$17:$F$502))</f>
        <v/>
      </c>
      <c r="H416" s="14" t="str">
        <f>=IFERROR($B$14/$B$10,"")</f>
        <v/>
      </c>
      <c r="I416" s="15" t="str">
        <f>=IFERROR(G416/H416,"")</f>
        <v/>
      </c>
      <c r="J416" s="16" t="str">
        <f>=IF(F416="","",F416/3600)</f>
        <v/>
      </c>
      <c r="K416" s="11" t="str">
        <f>=IF(L416="","",IF(ISNUMBER(FIND("|",L416)),TRIM(LEFT(L416,FIND("|",L416)-1)),IF(ISNUMBER(MATCH(L416,Config!$F$1:$F$853,0)),L416,IFERROR(INDEX(Config!$F$1:$F$853,MATCH(L416,Config!$G$1:$G$853,0)),""))))</f>
        <v/>
      </c>
      <c r="L416" s="17" t="str">
        <f>=IFERROR(INDEX($L$17:L415,MATCH(C416,$C$17:C415,0)),"")</f>
        <v/>
      </c>
    </row>
    <row r="417" ht="18" customHeight="1" spans="1:12" x14ac:dyDescent="0.25">
      <c r="A417" s="10" t="s">
        <v>2</v>
      </c>
      <c r="B417" s="10" t="s">
        <v>2</v>
      </c>
      <c r="C417" s="10" t="s">
        <v>2</v>
      </c>
      <c r="D417" s="11" t="str">
        <f>=IF(E417="","",IF(ISNUMBER(FIND("|",E417)),TRIM(LEFT(E417,FIND("|",E417)-1)),IF(ISNUMBER(MATCH(E417,Config!$C$1:$C$311,0)),E417,IFERROR(INDEX(Config!$C$1:$C$311,MATCH(E417,Config!$D$1:$D$311,0)),""))))</f>
        <v/>
      </c>
      <c r="E417" s="12" t="s">
        <v>2</v>
      </c>
      <c r="F417" s="13" t="s">
        <v>2</v>
      </c>
      <c r="G417" s="14" t="str">
        <f>=IF(C417="","",SUMIF($C$17:$C$502,C417,$F$17:$F$502))</f>
        <v/>
      </c>
      <c r="H417" s="14" t="str">
        <f>=IFERROR($B$14/$B$10,"")</f>
        <v/>
      </c>
      <c r="I417" s="15" t="str">
        <f>=IFERROR(G417/H417,"")</f>
        <v/>
      </c>
      <c r="J417" s="16" t="str">
        <f>=IF(F417="","",F417/3600)</f>
        <v/>
      </c>
      <c r="K417" s="11" t="str">
        <f>=IF(L417="","",IF(ISNUMBER(FIND("|",L417)),TRIM(LEFT(L417,FIND("|",L417)-1)),IF(ISNUMBER(MATCH(L417,Config!$F$1:$F$853,0)),L417,IFERROR(INDEX(Config!$F$1:$F$853,MATCH(L417,Config!$G$1:$G$853,0)),""))))</f>
        <v/>
      </c>
      <c r="L417" s="17" t="str">
        <f>=IFERROR(INDEX($L$17:L416,MATCH(C417,$C$17:C416,0)),"")</f>
        <v/>
      </c>
    </row>
    <row r="418" ht="18" customHeight="1" spans="1:12" x14ac:dyDescent="0.25">
      <c r="A418" s="10" t="s">
        <v>2</v>
      </c>
      <c r="B418" s="10" t="s">
        <v>2</v>
      </c>
      <c r="C418" s="10" t="s">
        <v>2</v>
      </c>
      <c r="D418" s="11" t="str">
        <f>=IF(E418="","",IF(ISNUMBER(FIND("|",E418)),TRIM(LEFT(E418,FIND("|",E418)-1)),IF(ISNUMBER(MATCH(E418,Config!$C$1:$C$311,0)),E418,IFERROR(INDEX(Config!$C$1:$C$311,MATCH(E418,Config!$D$1:$D$311,0)),""))))</f>
        <v/>
      </c>
      <c r="E418" s="12" t="s">
        <v>2</v>
      </c>
      <c r="F418" s="13" t="s">
        <v>2</v>
      </c>
      <c r="G418" s="14" t="str">
        <f>=IF(C418="","",SUMIF($C$17:$C$502,C418,$F$17:$F$502))</f>
        <v/>
      </c>
      <c r="H418" s="14" t="str">
        <f>=IFERROR($B$14/$B$10,"")</f>
        <v/>
      </c>
      <c r="I418" s="15" t="str">
        <f>=IFERROR(G418/H418,"")</f>
        <v/>
      </c>
      <c r="J418" s="16" t="str">
        <f>=IF(F418="","",F418/3600)</f>
        <v/>
      </c>
      <c r="K418" s="11" t="str">
        <f>=IF(L418="","",IF(ISNUMBER(FIND("|",L418)),TRIM(LEFT(L418,FIND("|",L418)-1)),IF(ISNUMBER(MATCH(L418,Config!$F$1:$F$853,0)),L418,IFERROR(INDEX(Config!$F$1:$F$853,MATCH(L418,Config!$G$1:$G$853,0)),""))))</f>
        <v/>
      </c>
      <c r="L418" s="17" t="str">
        <f>=IFERROR(INDEX($L$17:L417,MATCH(C418,$C$17:C417,0)),"")</f>
        <v/>
      </c>
    </row>
    <row r="419" ht="18" customHeight="1" spans="1:12" x14ac:dyDescent="0.25">
      <c r="A419" s="10" t="s">
        <v>2</v>
      </c>
      <c r="B419" s="10" t="s">
        <v>2</v>
      </c>
      <c r="C419" s="10" t="s">
        <v>2</v>
      </c>
      <c r="D419" s="11" t="str">
        <f>=IF(E419="","",IF(ISNUMBER(FIND("|",E419)),TRIM(LEFT(E419,FIND("|",E419)-1)),IF(ISNUMBER(MATCH(E419,Config!$C$1:$C$311,0)),E419,IFERROR(INDEX(Config!$C$1:$C$311,MATCH(E419,Config!$D$1:$D$311,0)),""))))</f>
        <v/>
      </c>
      <c r="E419" s="12" t="s">
        <v>2</v>
      </c>
      <c r="F419" s="13" t="s">
        <v>2</v>
      </c>
      <c r="G419" s="14" t="str">
        <f>=IF(C419="","",SUMIF($C$17:$C$502,C419,$F$17:$F$502))</f>
        <v/>
      </c>
      <c r="H419" s="14" t="str">
        <f>=IFERROR($B$14/$B$10,"")</f>
        <v/>
      </c>
      <c r="I419" s="15" t="str">
        <f>=IFERROR(G419/H419,"")</f>
        <v/>
      </c>
      <c r="J419" s="16" t="str">
        <f>=IF(F419="","",F419/3600)</f>
        <v/>
      </c>
      <c r="K419" s="11" t="str">
        <f>=IF(L419="","",IF(ISNUMBER(FIND("|",L419)),TRIM(LEFT(L419,FIND("|",L419)-1)),IF(ISNUMBER(MATCH(L419,Config!$F$1:$F$853,0)),L419,IFERROR(INDEX(Config!$F$1:$F$853,MATCH(L419,Config!$G$1:$G$853,0)),""))))</f>
        <v/>
      </c>
      <c r="L419" s="17" t="str">
        <f>=IFERROR(INDEX($L$17:L418,MATCH(C419,$C$17:C418,0)),"")</f>
        <v/>
      </c>
    </row>
    <row r="420" ht="18" customHeight="1" spans="1:12" x14ac:dyDescent="0.25">
      <c r="A420" s="10" t="s">
        <v>2</v>
      </c>
      <c r="B420" s="10" t="s">
        <v>2</v>
      </c>
      <c r="C420" s="10" t="s">
        <v>2</v>
      </c>
      <c r="D420" s="11" t="str">
        <f>=IF(E420="","",IF(ISNUMBER(FIND("|",E420)),TRIM(LEFT(E420,FIND("|",E420)-1)),IF(ISNUMBER(MATCH(E420,Config!$C$1:$C$311,0)),E420,IFERROR(INDEX(Config!$C$1:$C$311,MATCH(E420,Config!$D$1:$D$311,0)),""))))</f>
        <v/>
      </c>
      <c r="E420" s="12" t="s">
        <v>2</v>
      </c>
      <c r="F420" s="13" t="s">
        <v>2</v>
      </c>
      <c r="G420" s="14" t="str">
        <f>=IF(C420="","",SUMIF($C$17:$C$502,C420,$F$17:$F$502))</f>
        <v/>
      </c>
      <c r="H420" s="14" t="str">
        <f>=IFERROR($B$14/$B$10,"")</f>
        <v/>
      </c>
      <c r="I420" s="15" t="str">
        <f>=IFERROR(G420/H420,"")</f>
        <v/>
      </c>
      <c r="J420" s="16" t="str">
        <f>=IF(F420="","",F420/3600)</f>
        <v/>
      </c>
      <c r="K420" s="11" t="str">
        <f>=IF(L420="","",IF(ISNUMBER(FIND("|",L420)),TRIM(LEFT(L420,FIND("|",L420)-1)),IF(ISNUMBER(MATCH(L420,Config!$F$1:$F$853,0)),L420,IFERROR(INDEX(Config!$F$1:$F$853,MATCH(L420,Config!$G$1:$G$853,0)),""))))</f>
        <v/>
      </c>
      <c r="L420" s="17" t="str">
        <f>=IFERROR(INDEX($L$17:L419,MATCH(C420,$C$17:C419,0)),"")</f>
        <v/>
      </c>
    </row>
    <row r="421" ht="18" customHeight="1" spans="1:12" x14ac:dyDescent="0.25">
      <c r="A421" s="10" t="s">
        <v>2</v>
      </c>
      <c r="B421" s="10" t="s">
        <v>2</v>
      </c>
      <c r="C421" s="10" t="s">
        <v>2</v>
      </c>
      <c r="D421" s="11" t="str">
        <f>=IF(E421="","",IF(ISNUMBER(FIND("|",E421)),TRIM(LEFT(E421,FIND("|",E421)-1)),IF(ISNUMBER(MATCH(E421,Config!$C$1:$C$311,0)),E421,IFERROR(INDEX(Config!$C$1:$C$311,MATCH(E421,Config!$D$1:$D$311,0)),""))))</f>
        <v/>
      </c>
      <c r="E421" s="12" t="s">
        <v>2</v>
      </c>
      <c r="F421" s="13" t="s">
        <v>2</v>
      </c>
      <c r="G421" s="14" t="str">
        <f>=IF(C421="","",SUMIF($C$17:$C$502,C421,$F$17:$F$502))</f>
        <v/>
      </c>
      <c r="H421" s="14" t="str">
        <f>=IFERROR($B$14/$B$10,"")</f>
        <v/>
      </c>
      <c r="I421" s="15" t="str">
        <f>=IFERROR(G421/H421,"")</f>
        <v/>
      </c>
      <c r="J421" s="16" t="str">
        <f>=IF(F421="","",F421/3600)</f>
        <v/>
      </c>
      <c r="K421" s="11" t="str">
        <f>=IF(L421="","",IF(ISNUMBER(FIND("|",L421)),TRIM(LEFT(L421,FIND("|",L421)-1)),IF(ISNUMBER(MATCH(L421,Config!$F$1:$F$853,0)),L421,IFERROR(INDEX(Config!$F$1:$F$853,MATCH(L421,Config!$G$1:$G$853,0)),""))))</f>
        <v/>
      </c>
      <c r="L421" s="17" t="str">
        <f>=IFERROR(INDEX($L$17:L420,MATCH(C421,$C$17:C420,0)),"")</f>
        <v/>
      </c>
    </row>
    <row r="422" ht="18" customHeight="1" spans="1:12" x14ac:dyDescent="0.25">
      <c r="A422" s="10" t="s">
        <v>2</v>
      </c>
      <c r="B422" s="10" t="s">
        <v>2</v>
      </c>
      <c r="C422" s="10" t="s">
        <v>2</v>
      </c>
      <c r="D422" s="11" t="str">
        <f>=IF(E422="","",IF(ISNUMBER(FIND("|",E422)),TRIM(LEFT(E422,FIND("|",E422)-1)),IF(ISNUMBER(MATCH(E422,Config!$C$1:$C$311,0)),E422,IFERROR(INDEX(Config!$C$1:$C$311,MATCH(E422,Config!$D$1:$D$311,0)),""))))</f>
        <v/>
      </c>
      <c r="E422" s="12" t="s">
        <v>2</v>
      </c>
      <c r="F422" s="13" t="s">
        <v>2</v>
      </c>
      <c r="G422" s="14" t="str">
        <f>=IF(C422="","",SUMIF($C$17:$C$502,C422,$F$17:$F$502))</f>
        <v/>
      </c>
      <c r="H422" s="14" t="str">
        <f>=IFERROR($B$14/$B$10,"")</f>
        <v/>
      </c>
      <c r="I422" s="15" t="str">
        <f>=IFERROR(G422/H422,"")</f>
        <v/>
      </c>
      <c r="J422" s="16" t="str">
        <f>=IF(F422="","",F422/3600)</f>
        <v/>
      </c>
      <c r="K422" s="11" t="str">
        <f>=IF(L422="","",IF(ISNUMBER(FIND("|",L422)),TRIM(LEFT(L422,FIND("|",L422)-1)),IF(ISNUMBER(MATCH(L422,Config!$F$1:$F$853,0)),L422,IFERROR(INDEX(Config!$F$1:$F$853,MATCH(L422,Config!$G$1:$G$853,0)),""))))</f>
        <v/>
      </c>
      <c r="L422" s="17" t="str">
        <f>=IFERROR(INDEX($L$17:L421,MATCH(C422,$C$17:C421,0)),"")</f>
        <v/>
      </c>
    </row>
    <row r="423" ht="18" customHeight="1" spans="1:12" x14ac:dyDescent="0.25">
      <c r="A423" s="10" t="s">
        <v>2</v>
      </c>
      <c r="B423" s="10" t="s">
        <v>2</v>
      </c>
      <c r="C423" s="10" t="s">
        <v>2</v>
      </c>
      <c r="D423" s="11" t="str">
        <f>=IF(E423="","",IF(ISNUMBER(FIND("|",E423)),TRIM(LEFT(E423,FIND("|",E423)-1)),IF(ISNUMBER(MATCH(E423,Config!$C$1:$C$311,0)),E423,IFERROR(INDEX(Config!$C$1:$C$311,MATCH(E423,Config!$D$1:$D$311,0)),""))))</f>
        <v/>
      </c>
      <c r="E423" s="12" t="s">
        <v>2</v>
      </c>
      <c r="F423" s="13" t="s">
        <v>2</v>
      </c>
      <c r="G423" s="14" t="str">
        <f>=IF(C423="","",SUMIF($C$17:$C$502,C423,$F$17:$F$502))</f>
        <v/>
      </c>
      <c r="H423" s="14" t="str">
        <f>=IFERROR($B$14/$B$10,"")</f>
        <v/>
      </c>
      <c r="I423" s="15" t="str">
        <f>=IFERROR(G423/H423,"")</f>
        <v/>
      </c>
      <c r="J423" s="16" t="str">
        <f>=IF(F423="","",F423/3600)</f>
        <v/>
      </c>
      <c r="K423" s="11" t="str">
        <f>=IF(L423="","",IF(ISNUMBER(FIND("|",L423)),TRIM(LEFT(L423,FIND("|",L423)-1)),IF(ISNUMBER(MATCH(L423,Config!$F$1:$F$853,0)),L423,IFERROR(INDEX(Config!$F$1:$F$853,MATCH(L423,Config!$G$1:$G$853,0)),""))))</f>
        <v/>
      </c>
      <c r="L423" s="17" t="str">
        <f>=IFERROR(INDEX($L$17:L422,MATCH(C423,$C$17:C422,0)),"")</f>
        <v/>
      </c>
    </row>
    <row r="424" ht="18" customHeight="1" spans="1:12" x14ac:dyDescent="0.25">
      <c r="A424" s="10" t="s">
        <v>2</v>
      </c>
      <c r="B424" s="10" t="s">
        <v>2</v>
      </c>
      <c r="C424" s="10" t="s">
        <v>2</v>
      </c>
      <c r="D424" s="11" t="str">
        <f>=IF(E424="","",IF(ISNUMBER(FIND("|",E424)),TRIM(LEFT(E424,FIND("|",E424)-1)),IF(ISNUMBER(MATCH(E424,Config!$C$1:$C$311,0)),E424,IFERROR(INDEX(Config!$C$1:$C$311,MATCH(E424,Config!$D$1:$D$311,0)),""))))</f>
        <v/>
      </c>
      <c r="E424" s="12" t="s">
        <v>2</v>
      </c>
      <c r="F424" s="13" t="s">
        <v>2</v>
      </c>
      <c r="G424" s="14" t="str">
        <f>=IF(C424="","",SUMIF($C$17:$C$502,C424,$F$17:$F$502))</f>
        <v/>
      </c>
      <c r="H424" s="14" t="str">
        <f>=IFERROR($B$14/$B$10,"")</f>
        <v/>
      </c>
      <c r="I424" s="15" t="str">
        <f>=IFERROR(G424/H424,"")</f>
        <v/>
      </c>
      <c r="J424" s="16" t="str">
        <f>=IF(F424="","",F424/3600)</f>
        <v/>
      </c>
      <c r="K424" s="11" t="str">
        <f>=IF(L424="","",IF(ISNUMBER(FIND("|",L424)),TRIM(LEFT(L424,FIND("|",L424)-1)),IF(ISNUMBER(MATCH(L424,Config!$F$1:$F$853,0)),L424,IFERROR(INDEX(Config!$F$1:$F$853,MATCH(L424,Config!$G$1:$G$853,0)),""))))</f>
        <v/>
      </c>
      <c r="L424" s="17" t="str">
        <f>=IFERROR(INDEX($L$17:L423,MATCH(C424,$C$17:C423,0)),"")</f>
        <v/>
      </c>
    </row>
    <row r="425" ht="18" customHeight="1" spans="1:12" x14ac:dyDescent="0.25">
      <c r="A425" s="10" t="s">
        <v>2</v>
      </c>
      <c r="B425" s="10" t="s">
        <v>2</v>
      </c>
      <c r="C425" s="10" t="s">
        <v>2</v>
      </c>
      <c r="D425" s="11" t="str">
        <f>=IF(E425="","",IF(ISNUMBER(FIND("|",E425)),TRIM(LEFT(E425,FIND("|",E425)-1)),IF(ISNUMBER(MATCH(E425,Config!$C$1:$C$311,0)),E425,IFERROR(INDEX(Config!$C$1:$C$311,MATCH(E425,Config!$D$1:$D$311,0)),""))))</f>
        <v/>
      </c>
      <c r="E425" s="12" t="s">
        <v>2</v>
      </c>
      <c r="F425" s="13" t="s">
        <v>2</v>
      </c>
      <c r="G425" s="14" t="str">
        <f>=IF(C425="","",SUMIF($C$17:$C$502,C425,$F$17:$F$502))</f>
        <v/>
      </c>
      <c r="H425" s="14" t="str">
        <f>=IFERROR($B$14/$B$10,"")</f>
        <v/>
      </c>
      <c r="I425" s="15" t="str">
        <f>=IFERROR(G425/H425,"")</f>
        <v/>
      </c>
      <c r="J425" s="16" t="str">
        <f>=IF(F425="","",F425/3600)</f>
        <v/>
      </c>
      <c r="K425" s="11" t="str">
        <f>=IF(L425="","",IF(ISNUMBER(FIND("|",L425)),TRIM(LEFT(L425,FIND("|",L425)-1)),IF(ISNUMBER(MATCH(L425,Config!$F$1:$F$853,0)),L425,IFERROR(INDEX(Config!$F$1:$F$853,MATCH(L425,Config!$G$1:$G$853,0)),""))))</f>
        <v/>
      </c>
      <c r="L425" s="17" t="str">
        <f>=IFERROR(INDEX($L$17:L424,MATCH(C425,$C$17:C424,0)),"")</f>
        <v/>
      </c>
    </row>
    <row r="426" ht="18" customHeight="1" spans="1:12" x14ac:dyDescent="0.25">
      <c r="A426" s="10" t="s">
        <v>2</v>
      </c>
      <c r="B426" s="10" t="s">
        <v>2</v>
      </c>
      <c r="C426" s="10" t="s">
        <v>2</v>
      </c>
      <c r="D426" s="11" t="str">
        <f>=IF(E426="","",IF(ISNUMBER(FIND("|",E426)),TRIM(LEFT(E426,FIND("|",E426)-1)),IF(ISNUMBER(MATCH(E426,Config!$C$1:$C$311,0)),E426,IFERROR(INDEX(Config!$C$1:$C$311,MATCH(E426,Config!$D$1:$D$311,0)),""))))</f>
        <v/>
      </c>
      <c r="E426" s="12" t="s">
        <v>2</v>
      </c>
      <c r="F426" s="13" t="s">
        <v>2</v>
      </c>
      <c r="G426" s="14" t="str">
        <f>=IF(C426="","",SUMIF($C$17:$C$502,C426,$F$17:$F$502))</f>
        <v/>
      </c>
      <c r="H426" s="14" t="str">
        <f>=IFERROR($B$14/$B$10,"")</f>
        <v/>
      </c>
      <c r="I426" s="15" t="str">
        <f>=IFERROR(G426/H426,"")</f>
        <v/>
      </c>
      <c r="J426" s="16" t="str">
        <f>=IF(F426="","",F426/3600)</f>
        <v/>
      </c>
      <c r="K426" s="11" t="str">
        <f>=IF(L426="","",IF(ISNUMBER(FIND("|",L426)),TRIM(LEFT(L426,FIND("|",L426)-1)),IF(ISNUMBER(MATCH(L426,Config!$F$1:$F$853,0)),L426,IFERROR(INDEX(Config!$F$1:$F$853,MATCH(L426,Config!$G$1:$G$853,0)),""))))</f>
        <v/>
      </c>
      <c r="L426" s="17" t="str">
        <f>=IFERROR(INDEX($L$17:L425,MATCH(C426,$C$17:C425,0)),"")</f>
        <v/>
      </c>
    </row>
    <row r="427" ht="18" customHeight="1" spans="1:12" x14ac:dyDescent="0.25">
      <c r="A427" s="10" t="s">
        <v>2</v>
      </c>
      <c r="B427" s="10" t="s">
        <v>2</v>
      </c>
      <c r="C427" s="10" t="s">
        <v>2</v>
      </c>
      <c r="D427" s="11" t="str">
        <f>=IF(E427="","",IF(ISNUMBER(FIND("|",E427)),TRIM(LEFT(E427,FIND("|",E427)-1)),IF(ISNUMBER(MATCH(E427,Config!$C$1:$C$311,0)),E427,IFERROR(INDEX(Config!$C$1:$C$311,MATCH(E427,Config!$D$1:$D$311,0)),""))))</f>
        <v/>
      </c>
      <c r="E427" s="12" t="s">
        <v>2</v>
      </c>
      <c r="F427" s="13" t="s">
        <v>2</v>
      </c>
      <c r="G427" s="14" t="str">
        <f>=IF(C427="","",SUMIF($C$17:$C$502,C427,$F$17:$F$502))</f>
        <v/>
      </c>
      <c r="H427" s="14" t="str">
        <f>=IFERROR($B$14/$B$10,"")</f>
        <v/>
      </c>
      <c r="I427" s="15" t="str">
        <f>=IFERROR(G427/H427,"")</f>
        <v/>
      </c>
      <c r="J427" s="16" t="str">
        <f>=IF(F427="","",F427/3600)</f>
        <v/>
      </c>
      <c r="K427" s="11" t="str">
        <f>=IF(L427="","",IF(ISNUMBER(FIND("|",L427)),TRIM(LEFT(L427,FIND("|",L427)-1)),IF(ISNUMBER(MATCH(L427,Config!$F$1:$F$853,0)),L427,IFERROR(INDEX(Config!$F$1:$F$853,MATCH(L427,Config!$G$1:$G$853,0)),""))))</f>
        <v/>
      </c>
      <c r="L427" s="17" t="str">
        <f>=IFERROR(INDEX($L$17:L426,MATCH(C427,$C$17:C426,0)),"")</f>
        <v/>
      </c>
    </row>
    <row r="428" ht="18" customHeight="1" spans="1:12" x14ac:dyDescent="0.25">
      <c r="A428" s="10" t="s">
        <v>2</v>
      </c>
      <c r="B428" s="10" t="s">
        <v>2</v>
      </c>
      <c r="C428" s="10" t="s">
        <v>2</v>
      </c>
      <c r="D428" s="11" t="str">
        <f>=IF(E428="","",IF(ISNUMBER(FIND("|",E428)),TRIM(LEFT(E428,FIND("|",E428)-1)),IF(ISNUMBER(MATCH(E428,Config!$C$1:$C$311,0)),E428,IFERROR(INDEX(Config!$C$1:$C$311,MATCH(E428,Config!$D$1:$D$311,0)),""))))</f>
        <v/>
      </c>
      <c r="E428" s="12" t="s">
        <v>2</v>
      </c>
      <c r="F428" s="13" t="s">
        <v>2</v>
      </c>
      <c r="G428" s="14" t="str">
        <f>=IF(C428="","",SUMIF($C$17:$C$502,C428,$F$17:$F$502))</f>
        <v/>
      </c>
      <c r="H428" s="14" t="str">
        <f>=IFERROR($B$14/$B$10,"")</f>
        <v/>
      </c>
      <c r="I428" s="15" t="str">
        <f>=IFERROR(G428/H428,"")</f>
        <v/>
      </c>
      <c r="J428" s="16" t="str">
        <f>=IF(F428="","",F428/3600)</f>
        <v/>
      </c>
      <c r="K428" s="11" t="str">
        <f>=IF(L428="","",IF(ISNUMBER(FIND("|",L428)),TRIM(LEFT(L428,FIND("|",L428)-1)),IF(ISNUMBER(MATCH(L428,Config!$F$1:$F$853,0)),L428,IFERROR(INDEX(Config!$F$1:$F$853,MATCH(L428,Config!$G$1:$G$853,0)),""))))</f>
        <v/>
      </c>
      <c r="L428" s="17" t="str">
        <f>=IFERROR(INDEX($L$17:L427,MATCH(C428,$C$17:C427,0)),"")</f>
        <v/>
      </c>
    </row>
    <row r="429" ht="18" customHeight="1" spans="1:12" x14ac:dyDescent="0.25">
      <c r="A429" s="10" t="s">
        <v>2</v>
      </c>
      <c r="B429" s="10" t="s">
        <v>2</v>
      </c>
      <c r="C429" s="10" t="s">
        <v>2</v>
      </c>
      <c r="D429" s="11" t="str">
        <f>=IF(E429="","",IF(ISNUMBER(FIND("|",E429)),TRIM(LEFT(E429,FIND("|",E429)-1)),IF(ISNUMBER(MATCH(E429,Config!$C$1:$C$311,0)),E429,IFERROR(INDEX(Config!$C$1:$C$311,MATCH(E429,Config!$D$1:$D$311,0)),""))))</f>
        <v/>
      </c>
      <c r="E429" s="12" t="s">
        <v>2</v>
      </c>
      <c r="F429" s="13" t="s">
        <v>2</v>
      </c>
      <c r="G429" s="14" t="str">
        <f>=IF(C429="","",SUMIF($C$17:$C$502,C429,$F$17:$F$502))</f>
        <v/>
      </c>
      <c r="H429" s="14" t="str">
        <f>=IFERROR($B$14/$B$10,"")</f>
        <v/>
      </c>
      <c r="I429" s="15" t="str">
        <f>=IFERROR(G429/H429,"")</f>
        <v/>
      </c>
      <c r="J429" s="16" t="str">
        <f>=IF(F429="","",F429/3600)</f>
        <v/>
      </c>
      <c r="K429" s="11" t="str">
        <f>=IF(L429="","",IF(ISNUMBER(FIND("|",L429)),TRIM(LEFT(L429,FIND("|",L429)-1)),IF(ISNUMBER(MATCH(L429,Config!$F$1:$F$853,0)),L429,IFERROR(INDEX(Config!$F$1:$F$853,MATCH(L429,Config!$G$1:$G$853,0)),""))))</f>
        <v/>
      </c>
      <c r="L429" s="17" t="str">
        <f>=IFERROR(INDEX($L$17:L428,MATCH(C429,$C$17:C428,0)),"")</f>
        <v/>
      </c>
    </row>
    <row r="430" ht="18" customHeight="1" spans="1:12" x14ac:dyDescent="0.25">
      <c r="A430" s="10" t="s">
        <v>2</v>
      </c>
      <c r="B430" s="10" t="s">
        <v>2</v>
      </c>
      <c r="C430" s="10" t="s">
        <v>2</v>
      </c>
      <c r="D430" s="11" t="str">
        <f>=IF(E430="","",IF(ISNUMBER(FIND("|",E430)),TRIM(LEFT(E430,FIND("|",E430)-1)),IF(ISNUMBER(MATCH(E430,Config!$C$1:$C$311,0)),E430,IFERROR(INDEX(Config!$C$1:$C$311,MATCH(E430,Config!$D$1:$D$311,0)),""))))</f>
        <v/>
      </c>
      <c r="E430" s="12" t="s">
        <v>2</v>
      </c>
      <c r="F430" s="13" t="s">
        <v>2</v>
      </c>
      <c r="G430" s="14" t="str">
        <f>=IF(C430="","",SUMIF($C$17:$C$502,C430,$F$17:$F$502))</f>
        <v/>
      </c>
      <c r="H430" s="14" t="str">
        <f>=IFERROR($B$14/$B$10,"")</f>
        <v/>
      </c>
      <c r="I430" s="15" t="str">
        <f>=IFERROR(G430/H430,"")</f>
        <v/>
      </c>
      <c r="J430" s="16" t="str">
        <f>=IF(F430="","",F430/3600)</f>
        <v/>
      </c>
      <c r="K430" s="11" t="str">
        <f>=IF(L430="","",IF(ISNUMBER(FIND("|",L430)),TRIM(LEFT(L430,FIND("|",L430)-1)),IF(ISNUMBER(MATCH(L430,Config!$F$1:$F$853,0)),L430,IFERROR(INDEX(Config!$F$1:$F$853,MATCH(L430,Config!$G$1:$G$853,0)),""))))</f>
        <v/>
      </c>
      <c r="L430" s="17" t="str">
        <f>=IFERROR(INDEX($L$17:L429,MATCH(C430,$C$17:C429,0)),"")</f>
        <v/>
      </c>
    </row>
    <row r="431" ht="18" customHeight="1" spans="1:12" x14ac:dyDescent="0.25">
      <c r="A431" s="10" t="s">
        <v>2</v>
      </c>
      <c r="B431" s="10" t="s">
        <v>2</v>
      </c>
      <c r="C431" s="10" t="s">
        <v>2</v>
      </c>
      <c r="D431" s="11" t="str">
        <f>=IF(E431="","",IF(ISNUMBER(FIND("|",E431)),TRIM(LEFT(E431,FIND("|",E431)-1)),IF(ISNUMBER(MATCH(E431,Config!$C$1:$C$311,0)),E431,IFERROR(INDEX(Config!$C$1:$C$311,MATCH(E431,Config!$D$1:$D$311,0)),""))))</f>
        <v/>
      </c>
      <c r="E431" s="12" t="s">
        <v>2</v>
      </c>
      <c r="F431" s="13" t="s">
        <v>2</v>
      </c>
      <c r="G431" s="14" t="str">
        <f>=IF(C431="","",SUMIF($C$17:$C$502,C431,$F$17:$F$502))</f>
        <v/>
      </c>
      <c r="H431" s="14" t="str">
        <f>=IFERROR($B$14/$B$10,"")</f>
        <v/>
      </c>
      <c r="I431" s="15" t="str">
        <f>=IFERROR(G431/H431,"")</f>
        <v/>
      </c>
      <c r="J431" s="16" t="str">
        <f>=IF(F431="","",F431/3600)</f>
        <v/>
      </c>
      <c r="K431" s="11" t="str">
        <f>=IF(L431="","",IF(ISNUMBER(FIND("|",L431)),TRIM(LEFT(L431,FIND("|",L431)-1)),IF(ISNUMBER(MATCH(L431,Config!$F$1:$F$853,0)),L431,IFERROR(INDEX(Config!$F$1:$F$853,MATCH(L431,Config!$G$1:$G$853,0)),""))))</f>
        <v/>
      </c>
      <c r="L431" s="17" t="str">
        <f>=IFERROR(INDEX($L$17:L430,MATCH(C431,$C$17:C430,0)),"")</f>
        <v/>
      </c>
    </row>
    <row r="432" ht="18" customHeight="1" spans="1:12" x14ac:dyDescent="0.25">
      <c r="A432" s="10" t="s">
        <v>2</v>
      </c>
      <c r="B432" s="10" t="s">
        <v>2</v>
      </c>
      <c r="C432" s="10" t="s">
        <v>2</v>
      </c>
      <c r="D432" s="11" t="str">
        <f>=IF(E432="","",IF(ISNUMBER(FIND("|",E432)),TRIM(LEFT(E432,FIND("|",E432)-1)),IF(ISNUMBER(MATCH(E432,Config!$C$1:$C$311,0)),E432,IFERROR(INDEX(Config!$C$1:$C$311,MATCH(E432,Config!$D$1:$D$311,0)),""))))</f>
        <v/>
      </c>
      <c r="E432" s="12" t="s">
        <v>2</v>
      </c>
      <c r="F432" s="13" t="s">
        <v>2</v>
      </c>
      <c r="G432" s="14" t="str">
        <f>=IF(C432="","",SUMIF($C$17:$C$502,C432,$F$17:$F$502))</f>
        <v/>
      </c>
      <c r="H432" s="14" t="str">
        <f>=IFERROR($B$14/$B$10,"")</f>
        <v/>
      </c>
      <c r="I432" s="15" t="str">
        <f>=IFERROR(G432/H432,"")</f>
        <v/>
      </c>
      <c r="J432" s="16" t="str">
        <f>=IF(F432="","",F432/3600)</f>
        <v/>
      </c>
      <c r="K432" s="11" t="str">
        <f>=IF(L432="","",IF(ISNUMBER(FIND("|",L432)),TRIM(LEFT(L432,FIND("|",L432)-1)),IF(ISNUMBER(MATCH(L432,Config!$F$1:$F$853,0)),L432,IFERROR(INDEX(Config!$F$1:$F$853,MATCH(L432,Config!$G$1:$G$853,0)),""))))</f>
        <v/>
      </c>
      <c r="L432" s="17" t="str">
        <f>=IFERROR(INDEX($L$17:L431,MATCH(C432,$C$17:C431,0)),"")</f>
        <v/>
      </c>
    </row>
    <row r="433" ht="18" customHeight="1" spans="1:12" x14ac:dyDescent="0.25">
      <c r="A433" s="10" t="s">
        <v>2</v>
      </c>
      <c r="B433" s="10" t="s">
        <v>2</v>
      </c>
      <c r="C433" s="10" t="s">
        <v>2</v>
      </c>
      <c r="D433" s="11" t="str">
        <f>=IF(E433="","",IF(ISNUMBER(FIND("|",E433)),TRIM(LEFT(E433,FIND("|",E433)-1)),IF(ISNUMBER(MATCH(E433,Config!$C$1:$C$311,0)),E433,IFERROR(INDEX(Config!$C$1:$C$311,MATCH(E433,Config!$D$1:$D$311,0)),""))))</f>
        <v/>
      </c>
      <c r="E433" s="12" t="s">
        <v>2</v>
      </c>
      <c r="F433" s="13" t="s">
        <v>2</v>
      </c>
      <c r="G433" s="14" t="str">
        <f>=IF(C433="","",SUMIF($C$17:$C$502,C433,$F$17:$F$502))</f>
        <v/>
      </c>
      <c r="H433" s="14" t="str">
        <f>=IFERROR($B$14/$B$10,"")</f>
        <v/>
      </c>
      <c r="I433" s="15" t="str">
        <f>=IFERROR(G433/H433,"")</f>
        <v/>
      </c>
      <c r="J433" s="16" t="str">
        <f>=IF(F433="","",F433/3600)</f>
        <v/>
      </c>
      <c r="K433" s="11" t="str">
        <f>=IF(L433="","",IF(ISNUMBER(FIND("|",L433)),TRIM(LEFT(L433,FIND("|",L433)-1)),IF(ISNUMBER(MATCH(L433,Config!$F$1:$F$853,0)),L433,IFERROR(INDEX(Config!$F$1:$F$853,MATCH(L433,Config!$G$1:$G$853,0)),""))))</f>
        <v/>
      </c>
      <c r="L433" s="17" t="str">
        <f>=IFERROR(INDEX($L$17:L432,MATCH(C433,$C$17:C432,0)),"")</f>
        <v/>
      </c>
    </row>
    <row r="434" ht="18" customHeight="1" spans="1:12" x14ac:dyDescent="0.25">
      <c r="A434" s="10" t="s">
        <v>2</v>
      </c>
      <c r="B434" s="10" t="s">
        <v>2</v>
      </c>
      <c r="C434" s="10" t="s">
        <v>2</v>
      </c>
      <c r="D434" s="11" t="str">
        <f>=IF(E434="","",IF(ISNUMBER(FIND("|",E434)),TRIM(LEFT(E434,FIND("|",E434)-1)),IF(ISNUMBER(MATCH(E434,Config!$C$1:$C$311,0)),E434,IFERROR(INDEX(Config!$C$1:$C$311,MATCH(E434,Config!$D$1:$D$311,0)),""))))</f>
        <v/>
      </c>
      <c r="E434" s="12" t="s">
        <v>2</v>
      </c>
      <c r="F434" s="13" t="s">
        <v>2</v>
      </c>
      <c r="G434" s="14" t="str">
        <f>=IF(C434="","",SUMIF($C$17:$C$502,C434,$F$17:$F$502))</f>
        <v/>
      </c>
      <c r="H434" s="14" t="str">
        <f>=IFERROR($B$14/$B$10,"")</f>
        <v/>
      </c>
      <c r="I434" s="15" t="str">
        <f>=IFERROR(G434/H434,"")</f>
        <v/>
      </c>
      <c r="J434" s="16" t="str">
        <f>=IF(F434="","",F434/3600)</f>
        <v/>
      </c>
      <c r="K434" s="11" t="str">
        <f>=IF(L434="","",IF(ISNUMBER(FIND("|",L434)),TRIM(LEFT(L434,FIND("|",L434)-1)),IF(ISNUMBER(MATCH(L434,Config!$F$1:$F$853,0)),L434,IFERROR(INDEX(Config!$F$1:$F$853,MATCH(L434,Config!$G$1:$G$853,0)),""))))</f>
        <v/>
      </c>
      <c r="L434" s="17" t="str">
        <f>=IFERROR(INDEX($L$17:L433,MATCH(C434,$C$17:C433,0)),"")</f>
        <v/>
      </c>
    </row>
    <row r="435" ht="18" customHeight="1" spans="1:12" x14ac:dyDescent="0.25">
      <c r="A435" s="10" t="s">
        <v>2</v>
      </c>
      <c r="B435" s="10" t="s">
        <v>2</v>
      </c>
      <c r="C435" s="10" t="s">
        <v>2</v>
      </c>
      <c r="D435" s="11" t="str">
        <f>=IF(E435="","",IF(ISNUMBER(FIND("|",E435)),TRIM(LEFT(E435,FIND("|",E435)-1)),IF(ISNUMBER(MATCH(E435,Config!$C$1:$C$311,0)),E435,IFERROR(INDEX(Config!$C$1:$C$311,MATCH(E435,Config!$D$1:$D$311,0)),""))))</f>
        <v/>
      </c>
      <c r="E435" s="12" t="s">
        <v>2</v>
      </c>
      <c r="F435" s="13" t="s">
        <v>2</v>
      </c>
      <c r="G435" s="14" t="str">
        <f>=IF(C435="","",SUMIF($C$17:$C$502,C435,$F$17:$F$502))</f>
        <v/>
      </c>
      <c r="H435" s="14" t="str">
        <f>=IFERROR($B$14/$B$10,"")</f>
        <v/>
      </c>
      <c r="I435" s="15" t="str">
        <f>=IFERROR(G435/H435,"")</f>
        <v/>
      </c>
      <c r="J435" s="16" t="str">
        <f>=IF(F435="","",F435/3600)</f>
        <v/>
      </c>
      <c r="K435" s="11" t="str">
        <f>=IF(L435="","",IF(ISNUMBER(FIND("|",L435)),TRIM(LEFT(L435,FIND("|",L435)-1)),IF(ISNUMBER(MATCH(L435,Config!$F$1:$F$853,0)),L435,IFERROR(INDEX(Config!$F$1:$F$853,MATCH(L435,Config!$G$1:$G$853,0)),""))))</f>
        <v/>
      </c>
      <c r="L435" s="17" t="str">
        <f>=IFERROR(INDEX($L$17:L434,MATCH(C435,$C$17:C434,0)),"")</f>
        <v/>
      </c>
    </row>
    <row r="436" ht="18" customHeight="1" spans="1:12" x14ac:dyDescent="0.25">
      <c r="A436" s="10" t="s">
        <v>2</v>
      </c>
      <c r="B436" s="10" t="s">
        <v>2</v>
      </c>
      <c r="C436" s="10" t="s">
        <v>2</v>
      </c>
      <c r="D436" s="11" t="str">
        <f>=IF(E436="","",IF(ISNUMBER(FIND("|",E436)),TRIM(LEFT(E436,FIND("|",E436)-1)),IF(ISNUMBER(MATCH(E436,Config!$C$1:$C$311,0)),E436,IFERROR(INDEX(Config!$C$1:$C$311,MATCH(E436,Config!$D$1:$D$311,0)),""))))</f>
        <v/>
      </c>
      <c r="E436" s="12" t="s">
        <v>2</v>
      </c>
      <c r="F436" s="13" t="s">
        <v>2</v>
      </c>
      <c r="G436" s="14" t="str">
        <f>=IF(C436="","",SUMIF($C$17:$C$502,C436,$F$17:$F$502))</f>
        <v/>
      </c>
      <c r="H436" s="14" t="str">
        <f>=IFERROR($B$14/$B$10,"")</f>
        <v/>
      </c>
      <c r="I436" s="15" t="str">
        <f>=IFERROR(G436/H436,"")</f>
        <v/>
      </c>
      <c r="J436" s="16" t="str">
        <f>=IF(F436="","",F436/3600)</f>
        <v/>
      </c>
      <c r="K436" s="11" t="str">
        <f>=IF(L436="","",IF(ISNUMBER(FIND("|",L436)),TRIM(LEFT(L436,FIND("|",L436)-1)),IF(ISNUMBER(MATCH(L436,Config!$F$1:$F$853,0)),L436,IFERROR(INDEX(Config!$F$1:$F$853,MATCH(L436,Config!$G$1:$G$853,0)),""))))</f>
        <v/>
      </c>
      <c r="L436" s="17" t="str">
        <f>=IFERROR(INDEX($L$17:L435,MATCH(C436,$C$17:C435,0)),"")</f>
        <v/>
      </c>
    </row>
    <row r="437" ht="18" customHeight="1" spans="1:12" x14ac:dyDescent="0.25">
      <c r="A437" s="10" t="s">
        <v>2</v>
      </c>
      <c r="B437" s="10" t="s">
        <v>2</v>
      </c>
      <c r="C437" s="10" t="s">
        <v>2</v>
      </c>
      <c r="D437" s="11" t="str">
        <f>=IF(E437="","",IF(ISNUMBER(FIND("|",E437)),TRIM(LEFT(E437,FIND("|",E437)-1)),IF(ISNUMBER(MATCH(E437,Config!$C$1:$C$311,0)),E437,IFERROR(INDEX(Config!$C$1:$C$311,MATCH(E437,Config!$D$1:$D$311,0)),""))))</f>
        <v/>
      </c>
      <c r="E437" s="12" t="s">
        <v>2</v>
      </c>
      <c r="F437" s="13" t="s">
        <v>2</v>
      </c>
      <c r="G437" s="14" t="str">
        <f>=IF(C437="","",SUMIF($C$17:$C$502,C437,$F$17:$F$502))</f>
        <v/>
      </c>
      <c r="H437" s="14" t="str">
        <f>=IFERROR($B$14/$B$10,"")</f>
        <v/>
      </c>
      <c r="I437" s="15" t="str">
        <f>=IFERROR(G437/H437,"")</f>
        <v/>
      </c>
      <c r="J437" s="16" t="str">
        <f>=IF(F437="","",F437/3600)</f>
        <v/>
      </c>
      <c r="K437" s="11" t="str">
        <f>=IF(L437="","",IF(ISNUMBER(FIND("|",L437)),TRIM(LEFT(L437,FIND("|",L437)-1)),IF(ISNUMBER(MATCH(L437,Config!$F$1:$F$853,0)),L437,IFERROR(INDEX(Config!$F$1:$F$853,MATCH(L437,Config!$G$1:$G$853,0)),""))))</f>
        <v/>
      </c>
      <c r="L437" s="17" t="str">
        <f>=IFERROR(INDEX($L$17:L436,MATCH(C437,$C$17:C436,0)),"")</f>
        <v/>
      </c>
    </row>
    <row r="438" ht="18" customHeight="1" spans="1:12" x14ac:dyDescent="0.25">
      <c r="A438" s="10" t="s">
        <v>2</v>
      </c>
      <c r="B438" s="10" t="s">
        <v>2</v>
      </c>
      <c r="C438" s="10" t="s">
        <v>2</v>
      </c>
      <c r="D438" s="11" t="str">
        <f>=IF(E438="","",IF(ISNUMBER(FIND("|",E438)),TRIM(LEFT(E438,FIND("|",E438)-1)),IF(ISNUMBER(MATCH(E438,Config!$C$1:$C$311,0)),E438,IFERROR(INDEX(Config!$C$1:$C$311,MATCH(E438,Config!$D$1:$D$311,0)),""))))</f>
        <v/>
      </c>
      <c r="E438" s="12" t="s">
        <v>2</v>
      </c>
      <c r="F438" s="13" t="s">
        <v>2</v>
      </c>
      <c r="G438" s="14" t="str">
        <f>=IF(C438="","",SUMIF($C$17:$C$502,C438,$F$17:$F$502))</f>
        <v/>
      </c>
      <c r="H438" s="14" t="str">
        <f>=IFERROR($B$14/$B$10,"")</f>
        <v/>
      </c>
      <c r="I438" s="15" t="str">
        <f>=IFERROR(G438/H438,"")</f>
        <v/>
      </c>
      <c r="J438" s="16" t="str">
        <f>=IF(F438="","",F438/3600)</f>
        <v/>
      </c>
      <c r="K438" s="11" t="str">
        <f>=IF(L438="","",IF(ISNUMBER(FIND("|",L438)),TRIM(LEFT(L438,FIND("|",L438)-1)),IF(ISNUMBER(MATCH(L438,Config!$F$1:$F$853,0)),L438,IFERROR(INDEX(Config!$F$1:$F$853,MATCH(L438,Config!$G$1:$G$853,0)),""))))</f>
        <v/>
      </c>
      <c r="L438" s="17" t="str">
        <f>=IFERROR(INDEX($L$17:L437,MATCH(C438,$C$17:C437,0)),"")</f>
        <v/>
      </c>
    </row>
    <row r="439" ht="18" customHeight="1" spans="1:12" x14ac:dyDescent="0.25">
      <c r="A439" s="10" t="s">
        <v>2</v>
      </c>
      <c r="B439" s="10" t="s">
        <v>2</v>
      </c>
      <c r="C439" s="10" t="s">
        <v>2</v>
      </c>
      <c r="D439" s="11" t="str">
        <f>=IF(E439="","",IF(ISNUMBER(FIND("|",E439)),TRIM(LEFT(E439,FIND("|",E439)-1)),IF(ISNUMBER(MATCH(E439,Config!$C$1:$C$311,0)),E439,IFERROR(INDEX(Config!$C$1:$C$311,MATCH(E439,Config!$D$1:$D$311,0)),""))))</f>
        <v/>
      </c>
      <c r="E439" s="12" t="s">
        <v>2</v>
      </c>
      <c r="F439" s="13" t="s">
        <v>2</v>
      </c>
      <c r="G439" s="14" t="str">
        <f>=IF(C439="","",SUMIF($C$17:$C$502,C439,$F$17:$F$502))</f>
        <v/>
      </c>
      <c r="H439" s="14" t="str">
        <f>=IFERROR($B$14/$B$10,"")</f>
        <v/>
      </c>
      <c r="I439" s="15" t="str">
        <f>=IFERROR(G439/H439,"")</f>
        <v/>
      </c>
      <c r="J439" s="16" t="str">
        <f>=IF(F439="","",F439/3600)</f>
        <v/>
      </c>
      <c r="K439" s="11" t="str">
        <f>=IF(L439="","",IF(ISNUMBER(FIND("|",L439)),TRIM(LEFT(L439,FIND("|",L439)-1)),IF(ISNUMBER(MATCH(L439,Config!$F$1:$F$853,0)),L439,IFERROR(INDEX(Config!$F$1:$F$853,MATCH(L439,Config!$G$1:$G$853,0)),""))))</f>
        <v/>
      </c>
      <c r="L439" s="17" t="str">
        <f>=IFERROR(INDEX($L$17:L438,MATCH(C439,$C$17:C438,0)),"")</f>
        <v/>
      </c>
    </row>
    <row r="440" ht="18" customHeight="1" spans="1:12" x14ac:dyDescent="0.25">
      <c r="A440" s="10" t="s">
        <v>2</v>
      </c>
      <c r="B440" s="10" t="s">
        <v>2</v>
      </c>
      <c r="C440" s="10" t="s">
        <v>2</v>
      </c>
      <c r="D440" s="11" t="str">
        <f>=IF(E440="","",IF(ISNUMBER(FIND("|",E440)),TRIM(LEFT(E440,FIND("|",E440)-1)),IF(ISNUMBER(MATCH(E440,Config!$C$1:$C$311,0)),E440,IFERROR(INDEX(Config!$C$1:$C$311,MATCH(E440,Config!$D$1:$D$311,0)),""))))</f>
        <v/>
      </c>
      <c r="E440" s="12" t="s">
        <v>2</v>
      </c>
      <c r="F440" s="13" t="s">
        <v>2</v>
      </c>
      <c r="G440" s="14" t="str">
        <f>=IF(C440="","",SUMIF($C$17:$C$502,C440,$F$17:$F$502))</f>
        <v/>
      </c>
      <c r="H440" s="14" t="str">
        <f>=IFERROR($B$14/$B$10,"")</f>
        <v/>
      </c>
      <c r="I440" s="15" t="str">
        <f>=IFERROR(G440/H440,"")</f>
        <v/>
      </c>
      <c r="J440" s="16" t="str">
        <f>=IF(F440="","",F440/3600)</f>
        <v/>
      </c>
      <c r="K440" s="11" t="str">
        <f>=IF(L440="","",IF(ISNUMBER(FIND("|",L440)),TRIM(LEFT(L440,FIND("|",L440)-1)),IF(ISNUMBER(MATCH(L440,Config!$F$1:$F$853,0)),L440,IFERROR(INDEX(Config!$F$1:$F$853,MATCH(L440,Config!$G$1:$G$853,0)),""))))</f>
        <v/>
      </c>
      <c r="L440" s="17" t="str">
        <f>=IFERROR(INDEX($L$17:L439,MATCH(C440,$C$17:C439,0)),"")</f>
        <v/>
      </c>
    </row>
    <row r="441" ht="18" customHeight="1" spans="1:12" x14ac:dyDescent="0.25">
      <c r="A441" s="10" t="s">
        <v>2</v>
      </c>
      <c r="B441" s="10" t="s">
        <v>2</v>
      </c>
      <c r="C441" s="10" t="s">
        <v>2</v>
      </c>
      <c r="D441" s="11" t="str">
        <f>=IF(E441="","",IF(ISNUMBER(FIND("|",E441)),TRIM(LEFT(E441,FIND("|",E441)-1)),IF(ISNUMBER(MATCH(E441,Config!$C$1:$C$311,0)),E441,IFERROR(INDEX(Config!$C$1:$C$311,MATCH(E441,Config!$D$1:$D$311,0)),""))))</f>
        <v/>
      </c>
      <c r="E441" s="12" t="s">
        <v>2</v>
      </c>
      <c r="F441" s="13" t="s">
        <v>2</v>
      </c>
      <c r="G441" s="14" t="str">
        <f>=IF(C441="","",SUMIF($C$17:$C$502,C441,$F$17:$F$502))</f>
        <v/>
      </c>
      <c r="H441" s="14" t="str">
        <f>=IFERROR($B$14/$B$10,"")</f>
        <v/>
      </c>
      <c r="I441" s="15" t="str">
        <f>=IFERROR(G441/H441,"")</f>
        <v/>
      </c>
      <c r="J441" s="16" t="str">
        <f>=IF(F441="","",F441/3600)</f>
        <v/>
      </c>
      <c r="K441" s="11" t="str">
        <f>=IF(L441="","",IF(ISNUMBER(FIND("|",L441)),TRIM(LEFT(L441,FIND("|",L441)-1)),IF(ISNUMBER(MATCH(L441,Config!$F$1:$F$853,0)),L441,IFERROR(INDEX(Config!$F$1:$F$853,MATCH(L441,Config!$G$1:$G$853,0)),""))))</f>
        <v/>
      </c>
      <c r="L441" s="17" t="str">
        <f>=IFERROR(INDEX($L$17:L440,MATCH(C441,$C$17:C440,0)),"")</f>
        <v/>
      </c>
    </row>
    <row r="442" ht="18" customHeight="1" spans="1:12" x14ac:dyDescent="0.25">
      <c r="A442" s="10" t="s">
        <v>2</v>
      </c>
      <c r="B442" s="10" t="s">
        <v>2</v>
      </c>
      <c r="C442" s="10" t="s">
        <v>2</v>
      </c>
      <c r="D442" s="11" t="str">
        <f>=IF(E442="","",IF(ISNUMBER(FIND("|",E442)),TRIM(LEFT(E442,FIND("|",E442)-1)),IF(ISNUMBER(MATCH(E442,Config!$C$1:$C$311,0)),E442,IFERROR(INDEX(Config!$C$1:$C$311,MATCH(E442,Config!$D$1:$D$311,0)),""))))</f>
        <v/>
      </c>
      <c r="E442" s="12" t="s">
        <v>2</v>
      </c>
      <c r="F442" s="13" t="s">
        <v>2</v>
      </c>
      <c r="G442" s="14" t="str">
        <f>=IF(C442="","",SUMIF($C$17:$C$502,C442,$F$17:$F$502))</f>
        <v/>
      </c>
      <c r="H442" s="14" t="str">
        <f>=IFERROR($B$14/$B$10,"")</f>
        <v/>
      </c>
      <c r="I442" s="15" t="str">
        <f>=IFERROR(G442/H442,"")</f>
        <v/>
      </c>
      <c r="J442" s="16" t="str">
        <f>=IF(F442="","",F442/3600)</f>
        <v/>
      </c>
      <c r="K442" s="11" t="str">
        <f>=IF(L442="","",IF(ISNUMBER(FIND("|",L442)),TRIM(LEFT(L442,FIND("|",L442)-1)),IF(ISNUMBER(MATCH(L442,Config!$F$1:$F$853,0)),L442,IFERROR(INDEX(Config!$F$1:$F$853,MATCH(L442,Config!$G$1:$G$853,0)),""))))</f>
        <v/>
      </c>
      <c r="L442" s="17" t="str">
        <f>=IFERROR(INDEX($L$17:L441,MATCH(C442,$C$17:C441,0)),"")</f>
        <v/>
      </c>
    </row>
    <row r="443" ht="18" customHeight="1" spans="1:12" x14ac:dyDescent="0.25">
      <c r="A443" s="10" t="s">
        <v>2</v>
      </c>
      <c r="B443" s="10" t="s">
        <v>2</v>
      </c>
      <c r="C443" s="10" t="s">
        <v>2</v>
      </c>
      <c r="D443" s="11" t="str">
        <f>=IF(E443="","",IF(ISNUMBER(FIND("|",E443)),TRIM(LEFT(E443,FIND("|",E443)-1)),IF(ISNUMBER(MATCH(E443,Config!$C$1:$C$311,0)),E443,IFERROR(INDEX(Config!$C$1:$C$311,MATCH(E443,Config!$D$1:$D$311,0)),""))))</f>
        <v/>
      </c>
      <c r="E443" s="12" t="s">
        <v>2</v>
      </c>
      <c r="F443" s="13" t="s">
        <v>2</v>
      </c>
      <c r="G443" s="14" t="str">
        <f>=IF(C443="","",SUMIF($C$17:$C$502,C443,$F$17:$F$502))</f>
        <v/>
      </c>
      <c r="H443" s="14" t="str">
        <f>=IFERROR($B$14/$B$10,"")</f>
        <v/>
      </c>
      <c r="I443" s="15" t="str">
        <f>=IFERROR(G443/H443,"")</f>
        <v/>
      </c>
      <c r="J443" s="16" t="str">
        <f>=IF(F443="","",F443/3600)</f>
        <v/>
      </c>
      <c r="K443" s="11" t="str">
        <f>=IF(L443="","",IF(ISNUMBER(FIND("|",L443)),TRIM(LEFT(L443,FIND("|",L443)-1)),IF(ISNUMBER(MATCH(L443,Config!$F$1:$F$853,0)),L443,IFERROR(INDEX(Config!$F$1:$F$853,MATCH(L443,Config!$G$1:$G$853,0)),""))))</f>
        <v/>
      </c>
      <c r="L443" s="17" t="str">
        <f>=IFERROR(INDEX($L$17:L442,MATCH(C443,$C$17:C442,0)),"")</f>
        <v/>
      </c>
    </row>
    <row r="444" ht="18" customHeight="1" spans="1:12" x14ac:dyDescent="0.25">
      <c r="A444" s="10" t="s">
        <v>2</v>
      </c>
      <c r="B444" s="10" t="s">
        <v>2</v>
      </c>
      <c r="C444" s="10" t="s">
        <v>2</v>
      </c>
      <c r="D444" s="11" t="str">
        <f>=IF(E444="","",IF(ISNUMBER(FIND("|",E444)),TRIM(LEFT(E444,FIND("|",E444)-1)),IF(ISNUMBER(MATCH(E444,Config!$C$1:$C$311,0)),E444,IFERROR(INDEX(Config!$C$1:$C$311,MATCH(E444,Config!$D$1:$D$311,0)),""))))</f>
        <v/>
      </c>
      <c r="E444" s="12" t="s">
        <v>2</v>
      </c>
      <c r="F444" s="13" t="s">
        <v>2</v>
      </c>
      <c r="G444" s="14" t="str">
        <f>=IF(C444="","",SUMIF($C$17:$C$502,C444,$F$17:$F$502))</f>
        <v/>
      </c>
      <c r="H444" s="14" t="str">
        <f>=IFERROR($B$14/$B$10,"")</f>
        <v/>
      </c>
      <c r="I444" s="15" t="str">
        <f>=IFERROR(G444/H444,"")</f>
        <v/>
      </c>
      <c r="J444" s="16" t="str">
        <f>=IF(F444="","",F444/3600)</f>
        <v/>
      </c>
      <c r="K444" s="11" t="str">
        <f>=IF(L444="","",IF(ISNUMBER(FIND("|",L444)),TRIM(LEFT(L444,FIND("|",L444)-1)),IF(ISNUMBER(MATCH(L444,Config!$F$1:$F$853,0)),L444,IFERROR(INDEX(Config!$F$1:$F$853,MATCH(L444,Config!$G$1:$G$853,0)),""))))</f>
        <v/>
      </c>
      <c r="L444" s="17" t="str">
        <f>=IFERROR(INDEX($L$17:L443,MATCH(C444,$C$17:C443,0)),"")</f>
        <v/>
      </c>
    </row>
    <row r="445" ht="18" customHeight="1" spans="1:12" x14ac:dyDescent="0.25">
      <c r="A445" s="10" t="s">
        <v>2</v>
      </c>
      <c r="B445" s="10" t="s">
        <v>2</v>
      </c>
      <c r="C445" s="10" t="s">
        <v>2</v>
      </c>
      <c r="D445" s="11" t="str">
        <f>=IF(E445="","",IF(ISNUMBER(FIND("|",E445)),TRIM(LEFT(E445,FIND("|",E445)-1)),IF(ISNUMBER(MATCH(E445,Config!$C$1:$C$311,0)),E445,IFERROR(INDEX(Config!$C$1:$C$311,MATCH(E445,Config!$D$1:$D$311,0)),""))))</f>
        <v/>
      </c>
      <c r="E445" s="12" t="s">
        <v>2</v>
      </c>
      <c r="F445" s="13" t="s">
        <v>2</v>
      </c>
      <c r="G445" s="14" t="str">
        <f>=IF(C445="","",SUMIF($C$17:$C$502,C445,$F$17:$F$502))</f>
        <v/>
      </c>
      <c r="H445" s="14" t="str">
        <f>=IFERROR($B$14/$B$10,"")</f>
        <v/>
      </c>
      <c r="I445" s="15" t="str">
        <f>=IFERROR(G445/H445,"")</f>
        <v/>
      </c>
      <c r="J445" s="16" t="str">
        <f>=IF(F445="","",F445/3600)</f>
        <v/>
      </c>
      <c r="K445" s="11" t="str">
        <f>=IF(L445="","",IF(ISNUMBER(FIND("|",L445)),TRIM(LEFT(L445,FIND("|",L445)-1)),IF(ISNUMBER(MATCH(L445,Config!$F$1:$F$853,0)),L445,IFERROR(INDEX(Config!$F$1:$F$853,MATCH(L445,Config!$G$1:$G$853,0)),""))))</f>
        <v/>
      </c>
      <c r="L445" s="17" t="str">
        <f>=IFERROR(INDEX($L$17:L444,MATCH(C445,$C$17:C444,0)),"")</f>
        <v/>
      </c>
    </row>
    <row r="446" ht="18" customHeight="1" spans="1:12" x14ac:dyDescent="0.25">
      <c r="A446" s="10" t="s">
        <v>2</v>
      </c>
      <c r="B446" s="10" t="s">
        <v>2</v>
      </c>
      <c r="C446" s="10" t="s">
        <v>2</v>
      </c>
      <c r="D446" s="11" t="str">
        <f>=IF(E446="","",IF(ISNUMBER(FIND("|",E446)),TRIM(LEFT(E446,FIND("|",E446)-1)),IF(ISNUMBER(MATCH(E446,Config!$C$1:$C$311,0)),E446,IFERROR(INDEX(Config!$C$1:$C$311,MATCH(E446,Config!$D$1:$D$311,0)),""))))</f>
        <v/>
      </c>
      <c r="E446" s="12" t="s">
        <v>2</v>
      </c>
      <c r="F446" s="13" t="s">
        <v>2</v>
      </c>
      <c r="G446" s="14" t="str">
        <f>=IF(C446="","",SUMIF($C$17:$C$502,C446,$F$17:$F$502))</f>
        <v/>
      </c>
      <c r="H446" s="14" t="str">
        <f>=IFERROR($B$14/$B$10,"")</f>
        <v/>
      </c>
      <c r="I446" s="15" t="str">
        <f>=IFERROR(G446/H446,"")</f>
        <v/>
      </c>
      <c r="J446" s="16" t="str">
        <f>=IF(F446="","",F446/3600)</f>
        <v/>
      </c>
      <c r="K446" s="11" t="str">
        <f>=IF(L446="","",IF(ISNUMBER(FIND("|",L446)),TRIM(LEFT(L446,FIND("|",L446)-1)),IF(ISNUMBER(MATCH(L446,Config!$F$1:$F$853,0)),L446,IFERROR(INDEX(Config!$F$1:$F$853,MATCH(L446,Config!$G$1:$G$853,0)),""))))</f>
        <v/>
      </c>
      <c r="L446" s="17" t="str">
        <f>=IFERROR(INDEX($L$17:L445,MATCH(C446,$C$17:C445,0)),"")</f>
        <v/>
      </c>
    </row>
    <row r="447" ht="18" customHeight="1" spans="1:12" x14ac:dyDescent="0.25">
      <c r="A447" s="10" t="s">
        <v>2</v>
      </c>
      <c r="B447" s="10" t="s">
        <v>2</v>
      </c>
      <c r="C447" s="10" t="s">
        <v>2</v>
      </c>
      <c r="D447" s="11" t="str">
        <f>=IF(E447="","",IF(ISNUMBER(FIND("|",E447)),TRIM(LEFT(E447,FIND("|",E447)-1)),IF(ISNUMBER(MATCH(E447,Config!$C$1:$C$311,0)),E447,IFERROR(INDEX(Config!$C$1:$C$311,MATCH(E447,Config!$D$1:$D$311,0)),""))))</f>
        <v/>
      </c>
      <c r="E447" s="12" t="s">
        <v>2</v>
      </c>
      <c r="F447" s="13" t="s">
        <v>2</v>
      </c>
      <c r="G447" s="14" t="str">
        <f>=IF(C447="","",SUMIF($C$17:$C$502,C447,$F$17:$F$502))</f>
        <v/>
      </c>
      <c r="H447" s="14" t="str">
        <f>=IFERROR($B$14/$B$10,"")</f>
        <v/>
      </c>
      <c r="I447" s="15" t="str">
        <f>=IFERROR(G447/H447,"")</f>
        <v/>
      </c>
      <c r="J447" s="16" t="str">
        <f>=IF(F447="","",F447/3600)</f>
        <v/>
      </c>
      <c r="K447" s="11" t="str">
        <f>=IF(L447="","",IF(ISNUMBER(FIND("|",L447)),TRIM(LEFT(L447,FIND("|",L447)-1)),IF(ISNUMBER(MATCH(L447,Config!$F$1:$F$853,0)),L447,IFERROR(INDEX(Config!$F$1:$F$853,MATCH(L447,Config!$G$1:$G$853,0)),""))))</f>
        <v/>
      </c>
      <c r="L447" s="17" t="str">
        <f>=IFERROR(INDEX($L$17:L446,MATCH(C447,$C$17:C446,0)),"")</f>
        <v/>
      </c>
    </row>
    <row r="448" ht="18" customHeight="1" spans="1:12" x14ac:dyDescent="0.25">
      <c r="A448" s="10" t="s">
        <v>2</v>
      </c>
      <c r="B448" s="10" t="s">
        <v>2</v>
      </c>
      <c r="C448" s="10" t="s">
        <v>2</v>
      </c>
      <c r="D448" s="11" t="str">
        <f>=IF(E448="","",IF(ISNUMBER(FIND("|",E448)),TRIM(LEFT(E448,FIND("|",E448)-1)),IF(ISNUMBER(MATCH(E448,Config!$C$1:$C$311,0)),E448,IFERROR(INDEX(Config!$C$1:$C$311,MATCH(E448,Config!$D$1:$D$311,0)),""))))</f>
        <v/>
      </c>
      <c r="E448" s="12" t="s">
        <v>2</v>
      </c>
      <c r="F448" s="13" t="s">
        <v>2</v>
      </c>
      <c r="G448" s="14" t="str">
        <f>=IF(C448="","",SUMIF($C$17:$C$502,C448,$F$17:$F$502))</f>
        <v/>
      </c>
      <c r="H448" s="14" t="str">
        <f>=IFERROR($B$14/$B$10,"")</f>
        <v/>
      </c>
      <c r="I448" s="15" t="str">
        <f>=IFERROR(G448/H448,"")</f>
        <v/>
      </c>
      <c r="J448" s="16" t="str">
        <f>=IF(F448="","",F448/3600)</f>
        <v/>
      </c>
      <c r="K448" s="11" t="str">
        <f>=IF(L448="","",IF(ISNUMBER(FIND("|",L448)),TRIM(LEFT(L448,FIND("|",L448)-1)),IF(ISNUMBER(MATCH(L448,Config!$F$1:$F$853,0)),L448,IFERROR(INDEX(Config!$F$1:$F$853,MATCH(L448,Config!$G$1:$G$853,0)),""))))</f>
        <v/>
      </c>
      <c r="L448" s="17" t="str">
        <f>=IFERROR(INDEX($L$17:L447,MATCH(C448,$C$17:C447,0)),"")</f>
        <v/>
      </c>
    </row>
    <row r="449" ht="18" customHeight="1" spans="1:12" x14ac:dyDescent="0.25">
      <c r="A449" s="10" t="s">
        <v>2</v>
      </c>
      <c r="B449" s="10" t="s">
        <v>2</v>
      </c>
      <c r="C449" s="10" t="s">
        <v>2</v>
      </c>
      <c r="D449" s="11" t="str">
        <f>=IF(E449="","",IF(ISNUMBER(FIND("|",E449)),TRIM(LEFT(E449,FIND("|",E449)-1)),IF(ISNUMBER(MATCH(E449,Config!$C$1:$C$311,0)),E449,IFERROR(INDEX(Config!$C$1:$C$311,MATCH(E449,Config!$D$1:$D$311,0)),""))))</f>
        <v/>
      </c>
      <c r="E449" s="12" t="s">
        <v>2</v>
      </c>
      <c r="F449" s="13" t="s">
        <v>2</v>
      </c>
      <c r="G449" s="14" t="str">
        <f>=IF(C449="","",SUMIF($C$17:$C$502,C449,$F$17:$F$502))</f>
        <v/>
      </c>
      <c r="H449" s="14" t="str">
        <f>=IFERROR($B$14/$B$10,"")</f>
        <v/>
      </c>
      <c r="I449" s="15" t="str">
        <f>=IFERROR(G449/H449,"")</f>
        <v/>
      </c>
      <c r="J449" s="16" t="str">
        <f>=IF(F449="","",F449/3600)</f>
        <v/>
      </c>
      <c r="K449" s="11" t="str">
        <f>=IF(L449="","",IF(ISNUMBER(FIND("|",L449)),TRIM(LEFT(L449,FIND("|",L449)-1)),IF(ISNUMBER(MATCH(L449,Config!$F$1:$F$853,0)),L449,IFERROR(INDEX(Config!$F$1:$F$853,MATCH(L449,Config!$G$1:$G$853,0)),""))))</f>
        <v/>
      </c>
      <c r="L449" s="17" t="str">
        <f>=IFERROR(INDEX($L$17:L448,MATCH(C449,$C$17:C448,0)),"")</f>
        <v/>
      </c>
    </row>
    <row r="450" ht="18" customHeight="1" spans="1:12" x14ac:dyDescent="0.25">
      <c r="A450" s="10" t="s">
        <v>2</v>
      </c>
      <c r="B450" s="10" t="s">
        <v>2</v>
      </c>
      <c r="C450" s="10" t="s">
        <v>2</v>
      </c>
      <c r="D450" s="11" t="str">
        <f>=IF(E450="","",IF(ISNUMBER(FIND("|",E450)),TRIM(LEFT(E450,FIND("|",E450)-1)),IF(ISNUMBER(MATCH(E450,Config!$C$1:$C$311,0)),E450,IFERROR(INDEX(Config!$C$1:$C$311,MATCH(E450,Config!$D$1:$D$311,0)),""))))</f>
        <v/>
      </c>
      <c r="E450" s="12" t="s">
        <v>2</v>
      </c>
      <c r="F450" s="13" t="s">
        <v>2</v>
      </c>
      <c r="G450" s="14" t="str">
        <f>=IF(C450="","",SUMIF($C$17:$C$502,C450,$F$17:$F$502))</f>
        <v/>
      </c>
      <c r="H450" s="14" t="str">
        <f>=IFERROR($B$14/$B$10,"")</f>
        <v/>
      </c>
      <c r="I450" s="15" t="str">
        <f>=IFERROR(G450/H450,"")</f>
        <v/>
      </c>
      <c r="J450" s="16" t="str">
        <f>=IF(F450="","",F450/3600)</f>
        <v/>
      </c>
      <c r="K450" s="11" t="str">
        <f>=IF(L450="","",IF(ISNUMBER(FIND("|",L450)),TRIM(LEFT(L450,FIND("|",L450)-1)),IF(ISNUMBER(MATCH(L450,Config!$F$1:$F$853,0)),L450,IFERROR(INDEX(Config!$F$1:$F$853,MATCH(L450,Config!$G$1:$G$853,0)),""))))</f>
        <v/>
      </c>
      <c r="L450" s="17" t="str">
        <f>=IFERROR(INDEX($L$17:L449,MATCH(C450,$C$17:C449,0)),"")</f>
        <v/>
      </c>
    </row>
    <row r="451" ht="18" customHeight="1" spans="1:12" x14ac:dyDescent="0.25">
      <c r="A451" s="10" t="s">
        <v>2</v>
      </c>
      <c r="B451" s="10" t="s">
        <v>2</v>
      </c>
      <c r="C451" s="10" t="s">
        <v>2</v>
      </c>
      <c r="D451" s="11" t="str">
        <f>=IF(E451="","",IF(ISNUMBER(FIND("|",E451)),TRIM(LEFT(E451,FIND("|",E451)-1)),IF(ISNUMBER(MATCH(E451,Config!$C$1:$C$311,0)),E451,IFERROR(INDEX(Config!$C$1:$C$311,MATCH(E451,Config!$D$1:$D$311,0)),""))))</f>
        <v/>
      </c>
      <c r="E451" s="12" t="s">
        <v>2</v>
      </c>
      <c r="F451" s="13" t="s">
        <v>2</v>
      </c>
      <c r="G451" s="14" t="str">
        <f>=IF(C451="","",SUMIF($C$17:$C$502,C451,$F$17:$F$502))</f>
        <v/>
      </c>
      <c r="H451" s="14" t="str">
        <f>=IFERROR($B$14/$B$10,"")</f>
        <v/>
      </c>
      <c r="I451" s="15" t="str">
        <f>=IFERROR(G451/H451,"")</f>
        <v/>
      </c>
      <c r="J451" s="16" t="str">
        <f>=IF(F451="","",F451/3600)</f>
        <v/>
      </c>
      <c r="K451" s="11" t="str">
        <f>=IF(L451="","",IF(ISNUMBER(FIND("|",L451)),TRIM(LEFT(L451,FIND("|",L451)-1)),IF(ISNUMBER(MATCH(L451,Config!$F$1:$F$853,0)),L451,IFERROR(INDEX(Config!$F$1:$F$853,MATCH(L451,Config!$G$1:$G$853,0)),""))))</f>
        <v/>
      </c>
      <c r="L451" s="17" t="str">
        <f>=IFERROR(INDEX($L$17:L450,MATCH(C451,$C$17:C450,0)),"")</f>
        <v/>
      </c>
    </row>
    <row r="452" ht="18" customHeight="1" spans="1:12" x14ac:dyDescent="0.25">
      <c r="A452" s="10" t="s">
        <v>2</v>
      </c>
      <c r="B452" s="10" t="s">
        <v>2</v>
      </c>
      <c r="C452" s="10" t="s">
        <v>2</v>
      </c>
      <c r="D452" s="11" t="str">
        <f>=IF(E452="","",IF(ISNUMBER(FIND("|",E452)),TRIM(LEFT(E452,FIND("|",E452)-1)),IF(ISNUMBER(MATCH(E452,Config!$C$1:$C$311,0)),E452,IFERROR(INDEX(Config!$C$1:$C$311,MATCH(E452,Config!$D$1:$D$311,0)),""))))</f>
        <v/>
      </c>
      <c r="E452" s="12" t="s">
        <v>2</v>
      </c>
      <c r="F452" s="13" t="s">
        <v>2</v>
      </c>
      <c r="G452" s="14" t="str">
        <f>=IF(C452="","",SUMIF($C$17:$C$502,C452,$F$17:$F$502))</f>
        <v/>
      </c>
      <c r="H452" s="14" t="str">
        <f>=IFERROR($B$14/$B$10,"")</f>
        <v/>
      </c>
      <c r="I452" s="15" t="str">
        <f>=IFERROR(G452/H452,"")</f>
        <v/>
      </c>
      <c r="J452" s="16" t="str">
        <f>=IF(F452="","",F452/3600)</f>
        <v/>
      </c>
      <c r="K452" s="11" t="str">
        <f>=IF(L452="","",IF(ISNUMBER(FIND("|",L452)),TRIM(LEFT(L452,FIND("|",L452)-1)),IF(ISNUMBER(MATCH(L452,Config!$F$1:$F$853,0)),L452,IFERROR(INDEX(Config!$F$1:$F$853,MATCH(L452,Config!$G$1:$G$853,0)),""))))</f>
        <v/>
      </c>
      <c r="L452" s="17" t="str">
        <f>=IFERROR(INDEX($L$17:L451,MATCH(C452,$C$17:C451,0)),"")</f>
        <v/>
      </c>
    </row>
    <row r="453" ht="18" customHeight="1" spans="1:12" x14ac:dyDescent="0.25">
      <c r="A453" s="10" t="s">
        <v>2</v>
      </c>
      <c r="B453" s="10" t="s">
        <v>2</v>
      </c>
      <c r="C453" s="10" t="s">
        <v>2</v>
      </c>
      <c r="D453" s="11" t="str">
        <f>=IF(E453="","",IF(ISNUMBER(FIND("|",E453)),TRIM(LEFT(E453,FIND("|",E453)-1)),IF(ISNUMBER(MATCH(E453,Config!$C$1:$C$311,0)),E453,IFERROR(INDEX(Config!$C$1:$C$311,MATCH(E453,Config!$D$1:$D$311,0)),""))))</f>
        <v/>
      </c>
      <c r="E453" s="12" t="s">
        <v>2</v>
      </c>
      <c r="F453" s="13" t="s">
        <v>2</v>
      </c>
      <c r="G453" s="14" t="str">
        <f>=IF(C453="","",SUMIF($C$17:$C$502,C453,$F$17:$F$502))</f>
        <v/>
      </c>
      <c r="H453" s="14" t="str">
        <f>=IFERROR($B$14/$B$10,"")</f>
        <v/>
      </c>
      <c r="I453" s="15" t="str">
        <f>=IFERROR(G453/H453,"")</f>
        <v/>
      </c>
      <c r="J453" s="16" t="str">
        <f>=IF(F453="","",F453/3600)</f>
        <v/>
      </c>
      <c r="K453" s="11" t="str">
        <f>=IF(L453="","",IF(ISNUMBER(FIND("|",L453)),TRIM(LEFT(L453,FIND("|",L453)-1)),IF(ISNUMBER(MATCH(L453,Config!$F$1:$F$853,0)),L453,IFERROR(INDEX(Config!$F$1:$F$853,MATCH(L453,Config!$G$1:$G$853,0)),""))))</f>
        <v/>
      </c>
      <c r="L453" s="17" t="str">
        <f>=IFERROR(INDEX($L$17:L452,MATCH(C453,$C$17:C452,0)),"")</f>
        <v/>
      </c>
    </row>
    <row r="454" ht="18" customHeight="1" spans="1:12" x14ac:dyDescent="0.25">
      <c r="A454" s="10" t="s">
        <v>2</v>
      </c>
      <c r="B454" s="10" t="s">
        <v>2</v>
      </c>
      <c r="C454" s="10" t="s">
        <v>2</v>
      </c>
      <c r="D454" s="11" t="str">
        <f>=IF(E454="","",IF(ISNUMBER(FIND("|",E454)),TRIM(LEFT(E454,FIND("|",E454)-1)),IF(ISNUMBER(MATCH(E454,Config!$C$1:$C$311,0)),E454,IFERROR(INDEX(Config!$C$1:$C$311,MATCH(E454,Config!$D$1:$D$311,0)),""))))</f>
        <v/>
      </c>
      <c r="E454" s="12" t="s">
        <v>2</v>
      </c>
      <c r="F454" s="13" t="s">
        <v>2</v>
      </c>
      <c r="G454" s="14" t="str">
        <f>=IF(C454="","",SUMIF($C$17:$C$502,C454,$F$17:$F$502))</f>
        <v/>
      </c>
      <c r="H454" s="14" t="str">
        <f>=IFERROR($B$14/$B$10,"")</f>
        <v/>
      </c>
      <c r="I454" s="15" t="str">
        <f>=IFERROR(G454/H454,"")</f>
        <v/>
      </c>
      <c r="J454" s="16" t="str">
        <f>=IF(F454="","",F454/3600)</f>
        <v/>
      </c>
      <c r="K454" s="11" t="str">
        <f>=IF(L454="","",IF(ISNUMBER(FIND("|",L454)),TRIM(LEFT(L454,FIND("|",L454)-1)),IF(ISNUMBER(MATCH(L454,Config!$F$1:$F$853,0)),L454,IFERROR(INDEX(Config!$F$1:$F$853,MATCH(L454,Config!$G$1:$G$853,0)),""))))</f>
        <v/>
      </c>
      <c r="L454" s="17" t="str">
        <f>=IFERROR(INDEX($L$17:L453,MATCH(C454,$C$17:C453,0)),"")</f>
        <v/>
      </c>
    </row>
    <row r="455" ht="18" customHeight="1" spans="1:12" x14ac:dyDescent="0.25">
      <c r="A455" s="10" t="s">
        <v>2</v>
      </c>
      <c r="B455" s="10" t="s">
        <v>2</v>
      </c>
      <c r="C455" s="10" t="s">
        <v>2</v>
      </c>
      <c r="D455" s="11" t="str">
        <f>=IF(E455="","",IF(ISNUMBER(FIND("|",E455)),TRIM(LEFT(E455,FIND("|",E455)-1)),IF(ISNUMBER(MATCH(E455,Config!$C$1:$C$311,0)),E455,IFERROR(INDEX(Config!$C$1:$C$311,MATCH(E455,Config!$D$1:$D$311,0)),""))))</f>
        <v/>
      </c>
      <c r="E455" s="12" t="s">
        <v>2</v>
      </c>
      <c r="F455" s="13" t="s">
        <v>2</v>
      </c>
      <c r="G455" s="14" t="str">
        <f>=IF(C455="","",SUMIF($C$17:$C$502,C455,$F$17:$F$502))</f>
        <v/>
      </c>
      <c r="H455" s="14" t="str">
        <f>=IFERROR($B$14/$B$10,"")</f>
        <v/>
      </c>
      <c r="I455" s="15" t="str">
        <f>=IFERROR(G455/H455,"")</f>
        <v/>
      </c>
      <c r="J455" s="16" t="str">
        <f>=IF(F455="","",F455/3600)</f>
        <v/>
      </c>
      <c r="K455" s="11" t="str">
        <f>=IF(L455="","",IF(ISNUMBER(FIND("|",L455)),TRIM(LEFT(L455,FIND("|",L455)-1)),IF(ISNUMBER(MATCH(L455,Config!$F$1:$F$853,0)),L455,IFERROR(INDEX(Config!$F$1:$F$853,MATCH(L455,Config!$G$1:$G$853,0)),""))))</f>
        <v/>
      </c>
      <c r="L455" s="17" t="str">
        <f>=IFERROR(INDEX($L$17:L454,MATCH(C455,$C$17:C454,0)),"")</f>
        <v/>
      </c>
    </row>
    <row r="456" ht="18" customHeight="1" spans="1:12" x14ac:dyDescent="0.25">
      <c r="A456" s="10" t="s">
        <v>2</v>
      </c>
      <c r="B456" s="10" t="s">
        <v>2</v>
      </c>
      <c r="C456" s="10" t="s">
        <v>2</v>
      </c>
      <c r="D456" s="11" t="str">
        <f>=IF(E456="","",IF(ISNUMBER(FIND("|",E456)),TRIM(LEFT(E456,FIND("|",E456)-1)),IF(ISNUMBER(MATCH(E456,Config!$C$1:$C$311,0)),E456,IFERROR(INDEX(Config!$C$1:$C$311,MATCH(E456,Config!$D$1:$D$311,0)),""))))</f>
        <v/>
      </c>
      <c r="E456" s="12" t="s">
        <v>2</v>
      </c>
      <c r="F456" s="13" t="s">
        <v>2</v>
      </c>
      <c r="G456" s="14" t="str">
        <f>=IF(C456="","",SUMIF($C$17:$C$502,C456,$F$17:$F$502))</f>
        <v/>
      </c>
      <c r="H456" s="14" t="str">
        <f>=IFERROR($B$14/$B$10,"")</f>
        <v/>
      </c>
      <c r="I456" s="15" t="str">
        <f>=IFERROR(G456/H456,"")</f>
        <v/>
      </c>
      <c r="J456" s="16" t="str">
        <f>=IF(F456="","",F456/3600)</f>
        <v/>
      </c>
      <c r="K456" s="11" t="str">
        <f>=IF(L456="","",IF(ISNUMBER(FIND("|",L456)),TRIM(LEFT(L456,FIND("|",L456)-1)),IF(ISNUMBER(MATCH(L456,Config!$F$1:$F$853,0)),L456,IFERROR(INDEX(Config!$F$1:$F$853,MATCH(L456,Config!$G$1:$G$853,0)),""))))</f>
        <v/>
      </c>
      <c r="L456" s="17" t="str">
        <f>=IFERROR(INDEX($L$17:L455,MATCH(C456,$C$17:C455,0)),"")</f>
        <v/>
      </c>
    </row>
    <row r="457" ht="18" customHeight="1" spans="1:12" x14ac:dyDescent="0.25">
      <c r="A457" s="10" t="s">
        <v>2</v>
      </c>
      <c r="B457" s="10" t="s">
        <v>2</v>
      </c>
      <c r="C457" s="10" t="s">
        <v>2</v>
      </c>
      <c r="D457" s="11" t="str">
        <f>=IF(E457="","",IF(ISNUMBER(FIND("|",E457)),TRIM(LEFT(E457,FIND("|",E457)-1)),IF(ISNUMBER(MATCH(E457,Config!$C$1:$C$311,0)),E457,IFERROR(INDEX(Config!$C$1:$C$311,MATCH(E457,Config!$D$1:$D$311,0)),""))))</f>
        <v/>
      </c>
      <c r="E457" s="12" t="s">
        <v>2</v>
      </c>
      <c r="F457" s="13" t="s">
        <v>2</v>
      </c>
      <c r="G457" s="14" t="str">
        <f>=IF(C457="","",SUMIF($C$17:$C$502,C457,$F$17:$F$502))</f>
        <v/>
      </c>
      <c r="H457" s="14" t="str">
        <f>=IFERROR($B$14/$B$10,"")</f>
        <v/>
      </c>
      <c r="I457" s="15" t="str">
        <f>=IFERROR(G457/H457,"")</f>
        <v/>
      </c>
      <c r="J457" s="16" t="str">
        <f>=IF(F457="","",F457/3600)</f>
        <v/>
      </c>
      <c r="K457" s="11" t="str">
        <f>=IF(L457="","",IF(ISNUMBER(FIND("|",L457)),TRIM(LEFT(L457,FIND("|",L457)-1)),IF(ISNUMBER(MATCH(L457,Config!$F$1:$F$853,0)),L457,IFERROR(INDEX(Config!$F$1:$F$853,MATCH(L457,Config!$G$1:$G$853,0)),""))))</f>
        <v/>
      </c>
      <c r="L457" s="17" t="str">
        <f>=IFERROR(INDEX($L$17:L456,MATCH(C457,$C$17:C456,0)),"")</f>
        <v/>
      </c>
    </row>
    <row r="458" ht="18" customHeight="1" spans="1:12" x14ac:dyDescent="0.25">
      <c r="A458" s="10" t="s">
        <v>2</v>
      </c>
      <c r="B458" s="10" t="s">
        <v>2</v>
      </c>
      <c r="C458" s="10" t="s">
        <v>2</v>
      </c>
      <c r="D458" s="11" t="str">
        <f>=IF(E458="","",IF(ISNUMBER(FIND("|",E458)),TRIM(LEFT(E458,FIND("|",E458)-1)),IF(ISNUMBER(MATCH(E458,Config!$C$1:$C$311,0)),E458,IFERROR(INDEX(Config!$C$1:$C$311,MATCH(E458,Config!$D$1:$D$311,0)),""))))</f>
        <v/>
      </c>
      <c r="E458" s="12" t="s">
        <v>2</v>
      </c>
      <c r="F458" s="13" t="s">
        <v>2</v>
      </c>
      <c r="G458" s="14" t="str">
        <f>=IF(C458="","",SUMIF($C$17:$C$502,C458,$F$17:$F$502))</f>
        <v/>
      </c>
      <c r="H458" s="14" t="str">
        <f>=IFERROR($B$14/$B$10,"")</f>
        <v/>
      </c>
      <c r="I458" s="15" t="str">
        <f>=IFERROR(G458/H458,"")</f>
        <v/>
      </c>
      <c r="J458" s="16" t="str">
        <f>=IF(F458="","",F458/3600)</f>
        <v/>
      </c>
      <c r="K458" s="11" t="str">
        <f>=IF(L458="","",IF(ISNUMBER(FIND("|",L458)),TRIM(LEFT(L458,FIND("|",L458)-1)),IF(ISNUMBER(MATCH(L458,Config!$F$1:$F$853,0)),L458,IFERROR(INDEX(Config!$F$1:$F$853,MATCH(L458,Config!$G$1:$G$853,0)),""))))</f>
        <v/>
      </c>
      <c r="L458" s="17" t="str">
        <f>=IFERROR(INDEX($L$17:L457,MATCH(C458,$C$17:C457,0)),"")</f>
        <v/>
      </c>
    </row>
    <row r="459" ht="18" customHeight="1" spans="1:12" x14ac:dyDescent="0.25">
      <c r="A459" s="10" t="s">
        <v>2</v>
      </c>
      <c r="B459" s="10" t="s">
        <v>2</v>
      </c>
      <c r="C459" s="10" t="s">
        <v>2</v>
      </c>
      <c r="D459" s="11" t="str">
        <f>=IF(E459="","",IF(ISNUMBER(FIND("|",E459)),TRIM(LEFT(E459,FIND("|",E459)-1)),IF(ISNUMBER(MATCH(E459,Config!$C$1:$C$311,0)),E459,IFERROR(INDEX(Config!$C$1:$C$311,MATCH(E459,Config!$D$1:$D$311,0)),""))))</f>
        <v/>
      </c>
      <c r="E459" s="12" t="s">
        <v>2</v>
      </c>
      <c r="F459" s="13" t="s">
        <v>2</v>
      </c>
      <c r="G459" s="14" t="str">
        <f>=IF(C459="","",SUMIF($C$17:$C$502,C459,$F$17:$F$502))</f>
        <v/>
      </c>
      <c r="H459" s="14" t="str">
        <f>=IFERROR($B$14/$B$10,"")</f>
        <v/>
      </c>
      <c r="I459" s="15" t="str">
        <f>=IFERROR(G459/H459,"")</f>
        <v/>
      </c>
      <c r="J459" s="16" t="str">
        <f>=IF(F459="","",F459/3600)</f>
        <v/>
      </c>
      <c r="K459" s="11" t="str">
        <f>=IF(L459="","",IF(ISNUMBER(FIND("|",L459)),TRIM(LEFT(L459,FIND("|",L459)-1)),IF(ISNUMBER(MATCH(L459,Config!$F$1:$F$853,0)),L459,IFERROR(INDEX(Config!$F$1:$F$853,MATCH(L459,Config!$G$1:$G$853,0)),""))))</f>
        <v/>
      </c>
      <c r="L459" s="17" t="str">
        <f>=IFERROR(INDEX($L$17:L458,MATCH(C459,$C$17:C458,0)),"")</f>
        <v/>
      </c>
    </row>
    <row r="460" ht="18" customHeight="1" spans="1:12" x14ac:dyDescent="0.25">
      <c r="A460" s="10" t="s">
        <v>2</v>
      </c>
      <c r="B460" s="10" t="s">
        <v>2</v>
      </c>
      <c r="C460" s="10" t="s">
        <v>2</v>
      </c>
      <c r="D460" s="11" t="str">
        <f>=IF(E460="","",IF(ISNUMBER(FIND("|",E460)),TRIM(LEFT(E460,FIND("|",E460)-1)),IF(ISNUMBER(MATCH(E460,Config!$C$1:$C$311,0)),E460,IFERROR(INDEX(Config!$C$1:$C$311,MATCH(E460,Config!$D$1:$D$311,0)),""))))</f>
        <v/>
      </c>
      <c r="E460" s="12" t="s">
        <v>2</v>
      </c>
      <c r="F460" s="13" t="s">
        <v>2</v>
      </c>
      <c r="G460" s="14" t="str">
        <f>=IF(C460="","",SUMIF($C$17:$C$502,C460,$F$17:$F$502))</f>
        <v/>
      </c>
      <c r="H460" s="14" t="str">
        <f>=IFERROR($B$14/$B$10,"")</f>
        <v/>
      </c>
      <c r="I460" s="15" t="str">
        <f>=IFERROR(G460/H460,"")</f>
        <v/>
      </c>
      <c r="J460" s="16" t="str">
        <f>=IF(F460="","",F460/3600)</f>
        <v/>
      </c>
      <c r="K460" s="11" t="str">
        <f>=IF(L460="","",IF(ISNUMBER(FIND("|",L460)),TRIM(LEFT(L460,FIND("|",L460)-1)),IF(ISNUMBER(MATCH(L460,Config!$F$1:$F$853,0)),L460,IFERROR(INDEX(Config!$F$1:$F$853,MATCH(L460,Config!$G$1:$G$853,0)),""))))</f>
        <v/>
      </c>
      <c r="L460" s="17" t="str">
        <f>=IFERROR(INDEX($L$17:L459,MATCH(C460,$C$17:C459,0)),"")</f>
        <v/>
      </c>
    </row>
    <row r="461" ht="18" customHeight="1" spans="1:12" x14ac:dyDescent="0.25">
      <c r="A461" s="10" t="s">
        <v>2</v>
      </c>
      <c r="B461" s="10" t="s">
        <v>2</v>
      </c>
      <c r="C461" s="10" t="s">
        <v>2</v>
      </c>
      <c r="D461" s="11" t="str">
        <f>=IF(E461="","",IF(ISNUMBER(FIND("|",E461)),TRIM(LEFT(E461,FIND("|",E461)-1)),IF(ISNUMBER(MATCH(E461,Config!$C$1:$C$311,0)),E461,IFERROR(INDEX(Config!$C$1:$C$311,MATCH(E461,Config!$D$1:$D$311,0)),""))))</f>
        <v/>
      </c>
      <c r="E461" s="12" t="s">
        <v>2</v>
      </c>
      <c r="F461" s="13" t="s">
        <v>2</v>
      </c>
      <c r="G461" s="14" t="str">
        <f>=IF(C461="","",SUMIF($C$17:$C$502,C461,$F$17:$F$502))</f>
        <v/>
      </c>
      <c r="H461" s="14" t="str">
        <f>=IFERROR($B$14/$B$10,"")</f>
        <v/>
      </c>
      <c r="I461" s="15" t="str">
        <f>=IFERROR(G461/H461,"")</f>
        <v/>
      </c>
      <c r="J461" s="16" t="str">
        <f>=IF(F461="","",F461/3600)</f>
        <v/>
      </c>
      <c r="K461" s="11" t="str">
        <f>=IF(L461="","",IF(ISNUMBER(FIND("|",L461)),TRIM(LEFT(L461,FIND("|",L461)-1)),IF(ISNUMBER(MATCH(L461,Config!$F$1:$F$853,0)),L461,IFERROR(INDEX(Config!$F$1:$F$853,MATCH(L461,Config!$G$1:$G$853,0)),""))))</f>
        <v/>
      </c>
      <c r="L461" s="17" t="str">
        <f>=IFERROR(INDEX($L$17:L460,MATCH(C461,$C$17:C460,0)),"")</f>
        <v/>
      </c>
    </row>
    <row r="462" ht="18" customHeight="1" spans="1:12" x14ac:dyDescent="0.25">
      <c r="A462" s="10" t="s">
        <v>2</v>
      </c>
      <c r="B462" s="10" t="s">
        <v>2</v>
      </c>
      <c r="C462" s="10" t="s">
        <v>2</v>
      </c>
      <c r="D462" s="11" t="str">
        <f>=IF(E462="","",IF(ISNUMBER(FIND("|",E462)),TRIM(LEFT(E462,FIND("|",E462)-1)),IF(ISNUMBER(MATCH(E462,Config!$C$1:$C$311,0)),E462,IFERROR(INDEX(Config!$C$1:$C$311,MATCH(E462,Config!$D$1:$D$311,0)),""))))</f>
        <v/>
      </c>
      <c r="E462" s="12" t="s">
        <v>2</v>
      </c>
      <c r="F462" s="13" t="s">
        <v>2</v>
      </c>
      <c r="G462" s="14" t="str">
        <f>=IF(C462="","",SUMIF($C$17:$C$502,C462,$F$17:$F$502))</f>
        <v/>
      </c>
      <c r="H462" s="14" t="str">
        <f>=IFERROR($B$14/$B$10,"")</f>
        <v/>
      </c>
      <c r="I462" s="15" t="str">
        <f>=IFERROR(G462/H462,"")</f>
        <v/>
      </c>
      <c r="J462" s="16" t="str">
        <f>=IF(F462="","",F462/3600)</f>
        <v/>
      </c>
      <c r="K462" s="11" t="str">
        <f>=IF(L462="","",IF(ISNUMBER(FIND("|",L462)),TRIM(LEFT(L462,FIND("|",L462)-1)),IF(ISNUMBER(MATCH(L462,Config!$F$1:$F$853,0)),L462,IFERROR(INDEX(Config!$F$1:$F$853,MATCH(L462,Config!$G$1:$G$853,0)),""))))</f>
        <v/>
      </c>
      <c r="L462" s="17" t="str">
        <f>=IFERROR(INDEX($L$17:L461,MATCH(C462,$C$17:C461,0)),"")</f>
        <v/>
      </c>
    </row>
    <row r="463" ht="18" customHeight="1" spans="1:12" x14ac:dyDescent="0.25">
      <c r="A463" s="10" t="s">
        <v>2</v>
      </c>
      <c r="B463" s="10" t="s">
        <v>2</v>
      </c>
      <c r="C463" s="10" t="s">
        <v>2</v>
      </c>
      <c r="D463" s="11" t="str">
        <f>=IF(E463="","",IF(ISNUMBER(FIND("|",E463)),TRIM(LEFT(E463,FIND("|",E463)-1)),IF(ISNUMBER(MATCH(E463,Config!$C$1:$C$311,0)),E463,IFERROR(INDEX(Config!$C$1:$C$311,MATCH(E463,Config!$D$1:$D$311,0)),""))))</f>
        <v/>
      </c>
      <c r="E463" s="12" t="s">
        <v>2</v>
      </c>
      <c r="F463" s="13" t="s">
        <v>2</v>
      </c>
      <c r="G463" s="14" t="str">
        <f>=IF(C463="","",SUMIF($C$17:$C$502,C463,$F$17:$F$502))</f>
        <v/>
      </c>
      <c r="H463" s="14" t="str">
        <f>=IFERROR($B$14/$B$10,"")</f>
        <v/>
      </c>
      <c r="I463" s="15" t="str">
        <f>=IFERROR(G463/H463,"")</f>
        <v/>
      </c>
      <c r="J463" s="16" t="str">
        <f>=IF(F463="","",F463/3600)</f>
        <v/>
      </c>
      <c r="K463" s="11" t="str">
        <f>=IF(L463="","",IF(ISNUMBER(FIND("|",L463)),TRIM(LEFT(L463,FIND("|",L463)-1)),IF(ISNUMBER(MATCH(L463,Config!$F$1:$F$853,0)),L463,IFERROR(INDEX(Config!$F$1:$F$853,MATCH(L463,Config!$G$1:$G$853,0)),""))))</f>
        <v/>
      </c>
      <c r="L463" s="17" t="str">
        <f>=IFERROR(INDEX($L$17:L462,MATCH(C463,$C$17:C462,0)),"")</f>
        <v/>
      </c>
    </row>
    <row r="464" ht="18" customHeight="1" spans="1:12" x14ac:dyDescent="0.25">
      <c r="A464" s="10" t="s">
        <v>2</v>
      </c>
      <c r="B464" s="10" t="s">
        <v>2</v>
      </c>
      <c r="C464" s="10" t="s">
        <v>2</v>
      </c>
      <c r="D464" s="11" t="str">
        <f>=IF(E464="","",IF(ISNUMBER(FIND("|",E464)),TRIM(LEFT(E464,FIND("|",E464)-1)),IF(ISNUMBER(MATCH(E464,Config!$C$1:$C$311,0)),E464,IFERROR(INDEX(Config!$C$1:$C$311,MATCH(E464,Config!$D$1:$D$311,0)),""))))</f>
        <v/>
      </c>
      <c r="E464" s="12" t="s">
        <v>2</v>
      </c>
      <c r="F464" s="13" t="s">
        <v>2</v>
      </c>
      <c r="G464" s="14" t="str">
        <f>=IF(C464="","",SUMIF($C$17:$C$502,C464,$F$17:$F$502))</f>
        <v/>
      </c>
      <c r="H464" s="14" t="str">
        <f>=IFERROR($B$14/$B$10,"")</f>
        <v/>
      </c>
      <c r="I464" s="15" t="str">
        <f>=IFERROR(G464/H464,"")</f>
        <v/>
      </c>
      <c r="J464" s="16" t="str">
        <f>=IF(F464="","",F464/3600)</f>
        <v/>
      </c>
      <c r="K464" s="11" t="str">
        <f>=IF(L464="","",IF(ISNUMBER(FIND("|",L464)),TRIM(LEFT(L464,FIND("|",L464)-1)),IF(ISNUMBER(MATCH(L464,Config!$F$1:$F$853,0)),L464,IFERROR(INDEX(Config!$F$1:$F$853,MATCH(L464,Config!$G$1:$G$853,0)),""))))</f>
        <v/>
      </c>
      <c r="L464" s="17" t="str">
        <f>=IFERROR(INDEX($L$17:L463,MATCH(C464,$C$17:C463,0)),"")</f>
        <v/>
      </c>
    </row>
    <row r="465" ht="18" customHeight="1" spans="1:12" x14ac:dyDescent="0.25">
      <c r="A465" s="10" t="s">
        <v>2</v>
      </c>
      <c r="B465" s="10" t="s">
        <v>2</v>
      </c>
      <c r="C465" s="10" t="s">
        <v>2</v>
      </c>
      <c r="D465" s="11" t="str">
        <f>=IF(E465="","",IF(ISNUMBER(FIND("|",E465)),TRIM(LEFT(E465,FIND("|",E465)-1)),IF(ISNUMBER(MATCH(E465,Config!$C$1:$C$311,0)),E465,IFERROR(INDEX(Config!$C$1:$C$311,MATCH(E465,Config!$D$1:$D$311,0)),""))))</f>
        <v/>
      </c>
      <c r="E465" s="12" t="s">
        <v>2</v>
      </c>
      <c r="F465" s="13" t="s">
        <v>2</v>
      </c>
      <c r="G465" s="14" t="str">
        <f>=IF(C465="","",SUMIF($C$17:$C$502,C465,$F$17:$F$502))</f>
        <v/>
      </c>
      <c r="H465" s="14" t="str">
        <f>=IFERROR($B$14/$B$10,"")</f>
        <v/>
      </c>
      <c r="I465" s="15" t="str">
        <f>=IFERROR(G465/H465,"")</f>
        <v/>
      </c>
      <c r="J465" s="16" t="str">
        <f>=IF(F465="","",F465/3600)</f>
        <v/>
      </c>
      <c r="K465" s="11" t="str">
        <f>=IF(L465="","",IF(ISNUMBER(FIND("|",L465)),TRIM(LEFT(L465,FIND("|",L465)-1)),IF(ISNUMBER(MATCH(L465,Config!$F$1:$F$853,0)),L465,IFERROR(INDEX(Config!$F$1:$F$853,MATCH(L465,Config!$G$1:$G$853,0)),""))))</f>
        <v/>
      </c>
      <c r="L465" s="17" t="str">
        <f>=IFERROR(INDEX($L$17:L464,MATCH(C465,$C$17:C464,0)),"")</f>
        <v/>
      </c>
    </row>
    <row r="466" ht="18" customHeight="1" spans="1:12" x14ac:dyDescent="0.25">
      <c r="A466" s="10" t="s">
        <v>2</v>
      </c>
      <c r="B466" s="10" t="s">
        <v>2</v>
      </c>
      <c r="C466" s="10" t="s">
        <v>2</v>
      </c>
      <c r="D466" s="11" t="str">
        <f>=IF(E466="","",IF(ISNUMBER(FIND("|",E466)),TRIM(LEFT(E466,FIND("|",E466)-1)),IF(ISNUMBER(MATCH(E466,Config!$C$1:$C$311,0)),E466,IFERROR(INDEX(Config!$C$1:$C$311,MATCH(E466,Config!$D$1:$D$311,0)),""))))</f>
        <v/>
      </c>
      <c r="E466" s="12" t="s">
        <v>2</v>
      </c>
      <c r="F466" s="13" t="s">
        <v>2</v>
      </c>
      <c r="G466" s="14" t="str">
        <f>=IF(C466="","",SUMIF($C$17:$C$502,C466,$F$17:$F$502))</f>
        <v/>
      </c>
      <c r="H466" s="14" t="str">
        <f>=IFERROR($B$14/$B$10,"")</f>
        <v/>
      </c>
      <c r="I466" s="15" t="str">
        <f>=IFERROR(G466/H466,"")</f>
        <v/>
      </c>
      <c r="J466" s="16" t="str">
        <f>=IF(F466="","",F466/3600)</f>
        <v/>
      </c>
      <c r="K466" s="11" t="str">
        <f>=IF(L466="","",IF(ISNUMBER(FIND("|",L466)),TRIM(LEFT(L466,FIND("|",L466)-1)),IF(ISNUMBER(MATCH(L466,Config!$F$1:$F$853,0)),L466,IFERROR(INDEX(Config!$F$1:$F$853,MATCH(L466,Config!$G$1:$G$853,0)),""))))</f>
        <v/>
      </c>
      <c r="L466" s="17" t="str">
        <f>=IFERROR(INDEX($L$17:L465,MATCH(C466,$C$17:C465,0)),"")</f>
        <v/>
      </c>
    </row>
    <row r="467" ht="18" customHeight="1" spans="1:12" x14ac:dyDescent="0.25">
      <c r="A467" s="10" t="s">
        <v>2</v>
      </c>
      <c r="B467" s="10" t="s">
        <v>2</v>
      </c>
      <c r="C467" s="10" t="s">
        <v>2</v>
      </c>
      <c r="D467" s="11" t="str">
        <f>=IF(E467="","",IF(ISNUMBER(FIND("|",E467)),TRIM(LEFT(E467,FIND("|",E467)-1)),IF(ISNUMBER(MATCH(E467,Config!$C$1:$C$311,0)),E467,IFERROR(INDEX(Config!$C$1:$C$311,MATCH(E467,Config!$D$1:$D$311,0)),""))))</f>
        <v/>
      </c>
      <c r="E467" s="12" t="s">
        <v>2</v>
      </c>
      <c r="F467" s="13" t="s">
        <v>2</v>
      </c>
      <c r="G467" s="14" t="str">
        <f>=IF(C467="","",SUMIF($C$17:$C$502,C467,$F$17:$F$502))</f>
        <v/>
      </c>
      <c r="H467" s="14" t="str">
        <f>=IFERROR($B$14/$B$10,"")</f>
        <v/>
      </c>
      <c r="I467" s="15" t="str">
        <f>=IFERROR(G467/H467,"")</f>
        <v/>
      </c>
      <c r="J467" s="16" t="str">
        <f>=IF(F467="","",F467/3600)</f>
        <v/>
      </c>
      <c r="K467" s="11" t="str">
        <f>=IF(L467="","",IF(ISNUMBER(FIND("|",L467)),TRIM(LEFT(L467,FIND("|",L467)-1)),IF(ISNUMBER(MATCH(L467,Config!$F$1:$F$853,0)),L467,IFERROR(INDEX(Config!$F$1:$F$853,MATCH(L467,Config!$G$1:$G$853,0)),""))))</f>
        <v/>
      </c>
      <c r="L467" s="17" t="str">
        <f>=IFERROR(INDEX($L$17:L466,MATCH(C467,$C$17:C466,0)),"")</f>
        <v/>
      </c>
    </row>
    <row r="468" ht="18" customHeight="1" spans="1:12" x14ac:dyDescent="0.25">
      <c r="A468" s="10" t="s">
        <v>2</v>
      </c>
      <c r="B468" s="10" t="s">
        <v>2</v>
      </c>
      <c r="C468" s="10" t="s">
        <v>2</v>
      </c>
      <c r="D468" s="11" t="str">
        <f>=IF(E468="","",IF(ISNUMBER(FIND("|",E468)),TRIM(LEFT(E468,FIND("|",E468)-1)),IF(ISNUMBER(MATCH(E468,Config!$C$1:$C$311,0)),E468,IFERROR(INDEX(Config!$C$1:$C$311,MATCH(E468,Config!$D$1:$D$311,0)),""))))</f>
        <v/>
      </c>
      <c r="E468" s="12" t="s">
        <v>2</v>
      </c>
      <c r="F468" s="13" t="s">
        <v>2</v>
      </c>
      <c r="G468" s="14" t="str">
        <f>=IF(C468="","",SUMIF($C$17:$C$502,C468,$F$17:$F$502))</f>
        <v/>
      </c>
      <c r="H468" s="14" t="str">
        <f>=IFERROR($B$14/$B$10,"")</f>
        <v/>
      </c>
      <c r="I468" s="15" t="str">
        <f>=IFERROR(G468/H468,"")</f>
        <v/>
      </c>
      <c r="J468" s="16" t="str">
        <f>=IF(F468="","",F468/3600)</f>
        <v/>
      </c>
      <c r="K468" s="11" t="str">
        <f>=IF(L468="","",IF(ISNUMBER(FIND("|",L468)),TRIM(LEFT(L468,FIND("|",L468)-1)),IF(ISNUMBER(MATCH(L468,Config!$F$1:$F$853,0)),L468,IFERROR(INDEX(Config!$F$1:$F$853,MATCH(L468,Config!$G$1:$G$853,0)),""))))</f>
        <v/>
      </c>
      <c r="L468" s="17" t="str">
        <f>=IFERROR(INDEX($L$17:L467,MATCH(C468,$C$17:C467,0)),"")</f>
        <v/>
      </c>
    </row>
    <row r="469" ht="18" customHeight="1" spans="1:12" x14ac:dyDescent="0.25">
      <c r="A469" s="10" t="s">
        <v>2</v>
      </c>
      <c r="B469" s="10" t="s">
        <v>2</v>
      </c>
      <c r="C469" s="10" t="s">
        <v>2</v>
      </c>
      <c r="D469" s="11" t="str">
        <f>=IF(E469="","",IF(ISNUMBER(FIND("|",E469)),TRIM(LEFT(E469,FIND("|",E469)-1)),IF(ISNUMBER(MATCH(E469,Config!$C$1:$C$311,0)),E469,IFERROR(INDEX(Config!$C$1:$C$311,MATCH(E469,Config!$D$1:$D$311,0)),""))))</f>
        <v/>
      </c>
      <c r="E469" s="12" t="s">
        <v>2</v>
      </c>
      <c r="F469" s="13" t="s">
        <v>2</v>
      </c>
      <c r="G469" s="14" t="str">
        <f>=IF(C469="","",SUMIF($C$17:$C$502,C469,$F$17:$F$502))</f>
        <v/>
      </c>
      <c r="H469" s="14" t="str">
        <f>=IFERROR($B$14/$B$10,"")</f>
        <v/>
      </c>
      <c r="I469" s="15" t="str">
        <f>=IFERROR(G469/H469,"")</f>
        <v/>
      </c>
      <c r="J469" s="16" t="str">
        <f>=IF(F469="","",F469/3600)</f>
        <v/>
      </c>
      <c r="K469" s="11" t="str">
        <f>=IF(L469="","",IF(ISNUMBER(FIND("|",L469)),TRIM(LEFT(L469,FIND("|",L469)-1)),IF(ISNUMBER(MATCH(L469,Config!$F$1:$F$853,0)),L469,IFERROR(INDEX(Config!$F$1:$F$853,MATCH(L469,Config!$G$1:$G$853,0)),""))))</f>
        <v/>
      </c>
      <c r="L469" s="17" t="str">
        <f>=IFERROR(INDEX($L$17:L468,MATCH(C469,$C$17:C468,0)),"")</f>
        <v/>
      </c>
    </row>
    <row r="470" ht="18" customHeight="1" spans="1:12" x14ac:dyDescent="0.25">
      <c r="A470" s="10" t="s">
        <v>2</v>
      </c>
      <c r="B470" s="10" t="s">
        <v>2</v>
      </c>
      <c r="C470" s="10" t="s">
        <v>2</v>
      </c>
      <c r="D470" s="11" t="str">
        <f>=IF(E470="","",IF(ISNUMBER(FIND("|",E470)),TRIM(LEFT(E470,FIND("|",E470)-1)),IF(ISNUMBER(MATCH(E470,Config!$C$1:$C$311,0)),E470,IFERROR(INDEX(Config!$C$1:$C$311,MATCH(E470,Config!$D$1:$D$311,0)),""))))</f>
        <v/>
      </c>
      <c r="E470" s="12" t="s">
        <v>2</v>
      </c>
      <c r="F470" s="13" t="s">
        <v>2</v>
      </c>
      <c r="G470" s="14" t="str">
        <f>=IF(C470="","",SUMIF($C$17:$C$502,C470,$F$17:$F$502))</f>
        <v/>
      </c>
      <c r="H470" s="14" t="str">
        <f>=IFERROR($B$14/$B$10,"")</f>
        <v/>
      </c>
      <c r="I470" s="15" t="str">
        <f>=IFERROR(G470/H470,"")</f>
        <v/>
      </c>
      <c r="J470" s="16" t="str">
        <f>=IF(F470="","",F470/3600)</f>
        <v/>
      </c>
      <c r="K470" s="11" t="str">
        <f>=IF(L470="","",IF(ISNUMBER(FIND("|",L470)),TRIM(LEFT(L470,FIND("|",L470)-1)),IF(ISNUMBER(MATCH(L470,Config!$F$1:$F$853,0)),L470,IFERROR(INDEX(Config!$F$1:$F$853,MATCH(L470,Config!$G$1:$G$853,0)),""))))</f>
        <v/>
      </c>
      <c r="L470" s="17" t="str">
        <f>=IFERROR(INDEX($L$17:L469,MATCH(C470,$C$17:C469,0)),"")</f>
        <v/>
      </c>
    </row>
    <row r="471" ht="18" customHeight="1" spans="1:12" x14ac:dyDescent="0.25">
      <c r="A471" s="10" t="s">
        <v>2</v>
      </c>
      <c r="B471" s="10" t="s">
        <v>2</v>
      </c>
      <c r="C471" s="10" t="s">
        <v>2</v>
      </c>
      <c r="D471" s="11" t="str">
        <f>=IF(E471="","",IF(ISNUMBER(FIND("|",E471)),TRIM(LEFT(E471,FIND("|",E471)-1)),IF(ISNUMBER(MATCH(E471,Config!$C$1:$C$311,0)),E471,IFERROR(INDEX(Config!$C$1:$C$311,MATCH(E471,Config!$D$1:$D$311,0)),""))))</f>
        <v/>
      </c>
      <c r="E471" s="12" t="s">
        <v>2</v>
      </c>
      <c r="F471" s="13" t="s">
        <v>2</v>
      </c>
      <c r="G471" s="14" t="str">
        <f>=IF(C471="","",SUMIF($C$17:$C$502,C471,$F$17:$F$502))</f>
        <v/>
      </c>
      <c r="H471" s="14" t="str">
        <f>=IFERROR($B$14/$B$10,"")</f>
        <v/>
      </c>
      <c r="I471" s="15" t="str">
        <f>=IFERROR(G471/H471,"")</f>
        <v/>
      </c>
      <c r="J471" s="16" t="str">
        <f>=IF(F471="","",F471/3600)</f>
        <v/>
      </c>
      <c r="K471" s="11" t="str">
        <f>=IF(L471="","",IF(ISNUMBER(FIND("|",L471)),TRIM(LEFT(L471,FIND("|",L471)-1)),IF(ISNUMBER(MATCH(L471,Config!$F$1:$F$853,0)),L471,IFERROR(INDEX(Config!$F$1:$F$853,MATCH(L471,Config!$G$1:$G$853,0)),""))))</f>
        <v/>
      </c>
      <c r="L471" s="17" t="str">
        <f>=IFERROR(INDEX($L$17:L470,MATCH(C471,$C$17:C470,0)),"")</f>
        <v/>
      </c>
    </row>
    <row r="472" ht="18" customHeight="1" spans="1:12" x14ac:dyDescent="0.25">
      <c r="A472" s="10" t="s">
        <v>2</v>
      </c>
      <c r="B472" s="10" t="s">
        <v>2</v>
      </c>
      <c r="C472" s="10" t="s">
        <v>2</v>
      </c>
      <c r="D472" s="11" t="str">
        <f>=IF(E472="","",IF(ISNUMBER(FIND("|",E472)),TRIM(LEFT(E472,FIND("|",E472)-1)),IF(ISNUMBER(MATCH(E472,Config!$C$1:$C$311,0)),E472,IFERROR(INDEX(Config!$C$1:$C$311,MATCH(E472,Config!$D$1:$D$311,0)),""))))</f>
        <v/>
      </c>
      <c r="E472" s="12" t="s">
        <v>2</v>
      </c>
      <c r="F472" s="13" t="s">
        <v>2</v>
      </c>
      <c r="G472" s="14" t="str">
        <f>=IF(C472="","",SUMIF($C$17:$C$502,C472,$F$17:$F$502))</f>
        <v/>
      </c>
      <c r="H472" s="14" t="str">
        <f>=IFERROR($B$14/$B$10,"")</f>
        <v/>
      </c>
      <c r="I472" s="15" t="str">
        <f>=IFERROR(G472/H472,"")</f>
        <v/>
      </c>
      <c r="J472" s="16" t="str">
        <f>=IF(F472="","",F472/3600)</f>
        <v/>
      </c>
      <c r="K472" s="11" t="str">
        <f>=IF(L472="","",IF(ISNUMBER(FIND("|",L472)),TRIM(LEFT(L472,FIND("|",L472)-1)),IF(ISNUMBER(MATCH(L472,Config!$F$1:$F$853,0)),L472,IFERROR(INDEX(Config!$F$1:$F$853,MATCH(L472,Config!$G$1:$G$853,0)),""))))</f>
        <v/>
      </c>
      <c r="L472" s="17" t="str">
        <f>=IFERROR(INDEX($L$17:L471,MATCH(C472,$C$17:C471,0)),"")</f>
        <v/>
      </c>
    </row>
    <row r="473" ht="18" customHeight="1" spans="1:12" x14ac:dyDescent="0.25">
      <c r="A473" s="10" t="s">
        <v>2</v>
      </c>
      <c r="B473" s="10" t="s">
        <v>2</v>
      </c>
      <c r="C473" s="10" t="s">
        <v>2</v>
      </c>
      <c r="D473" s="11" t="str">
        <f>=IF(E473="","",IF(ISNUMBER(FIND("|",E473)),TRIM(LEFT(E473,FIND("|",E473)-1)),IF(ISNUMBER(MATCH(E473,Config!$C$1:$C$311,0)),E473,IFERROR(INDEX(Config!$C$1:$C$311,MATCH(E473,Config!$D$1:$D$311,0)),""))))</f>
        <v/>
      </c>
      <c r="E473" s="12" t="s">
        <v>2</v>
      </c>
      <c r="F473" s="13" t="s">
        <v>2</v>
      </c>
      <c r="G473" s="14" t="str">
        <f>=IF(C473="","",SUMIF($C$17:$C$502,C473,$F$17:$F$502))</f>
        <v/>
      </c>
      <c r="H473" s="14" t="str">
        <f>=IFERROR($B$14/$B$10,"")</f>
        <v/>
      </c>
      <c r="I473" s="15" t="str">
        <f>=IFERROR(G473/H473,"")</f>
        <v/>
      </c>
      <c r="J473" s="16" t="str">
        <f>=IF(F473="","",F473/3600)</f>
        <v/>
      </c>
      <c r="K473" s="11" t="str">
        <f>=IF(L473="","",IF(ISNUMBER(FIND("|",L473)),TRIM(LEFT(L473,FIND("|",L473)-1)),IF(ISNUMBER(MATCH(L473,Config!$F$1:$F$853,0)),L473,IFERROR(INDEX(Config!$F$1:$F$853,MATCH(L473,Config!$G$1:$G$853,0)),""))))</f>
        <v/>
      </c>
      <c r="L473" s="17" t="str">
        <f>=IFERROR(INDEX($L$17:L472,MATCH(C473,$C$17:C472,0)),"")</f>
        <v/>
      </c>
    </row>
    <row r="474" ht="18" customHeight="1" spans="1:12" x14ac:dyDescent="0.25">
      <c r="A474" s="10" t="s">
        <v>2</v>
      </c>
      <c r="B474" s="10" t="s">
        <v>2</v>
      </c>
      <c r="C474" s="10" t="s">
        <v>2</v>
      </c>
      <c r="D474" s="11" t="str">
        <f>=IF(E474="","",IF(ISNUMBER(FIND("|",E474)),TRIM(LEFT(E474,FIND("|",E474)-1)),IF(ISNUMBER(MATCH(E474,Config!$C$1:$C$311,0)),E474,IFERROR(INDEX(Config!$C$1:$C$311,MATCH(E474,Config!$D$1:$D$311,0)),""))))</f>
        <v/>
      </c>
      <c r="E474" s="12" t="s">
        <v>2</v>
      </c>
      <c r="F474" s="13" t="s">
        <v>2</v>
      </c>
      <c r="G474" s="14" t="str">
        <f>=IF(C474="","",SUMIF($C$17:$C$502,C474,$F$17:$F$502))</f>
        <v/>
      </c>
      <c r="H474" s="14" t="str">
        <f>=IFERROR($B$14/$B$10,"")</f>
        <v/>
      </c>
      <c r="I474" s="15" t="str">
        <f>=IFERROR(G474/H474,"")</f>
        <v/>
      </c>
      <c r="J474" s="16" t="str">
        <f>=IF(F474="","",F474/3600)</f>
        <v/>
      </c>
      <c r="K474" s="11" t="str">
        <f>=IF(L474="","",IF(ISNUMBER(FIND("|",L474)),TRIM(LEFT(L474,FIND("|",L474)-1)),IF(ISNUMBER(MATCH(L474,Config!$F$1:$F$853,0)),L474,IFERROR(INDEX(Config!$F$1:$F$853,MATCH(L474,Config!$G$1:$G$853,0)),""))))</f>
        <v/>
      </c>
      <c r="L474" s="17" t="str">
        <f>=IFERROR(INDEX($L$17:L473,MATCH(C474,$C$17:C473,0)),"")</f>
        <v/>
      </c>
    </row>
    <row r="475" ht="18" customHeight="1" spans="1:12" x14ac:dyDescent="0.25">
      <c r="A475" s="10" t="s">
        <v>2</v>
      </c>
      <c r="B475" s="10" t="s">
        <v>2</v>
      </c>
      <c r="C475" s="10" t="s">
        <v>2</v>
      </c>
      <c r="D475" s="11" t="str">
        <f>=IF(E475="","",IF(ISNUMBER(FIND("|",E475)),TRIM(LEFT(E475,FIND("|",E475)-1)),IF(ISNUMBER(MATCH(E475,Config!$C$1:$C$311,0)),E475,IFERROR(INDEX(Config!$C$1:$C$311,MATCH(E475,Config!$D$1:$D$311,0)),""))))</f>
        <v/>
      </c>
      <c r="E475" s="12" t="s">
        <v>2</v>
      </c>
      <c r="F475" s="13" t="s">
        <v>2</v>
      </c>
      <c r="G475" s="14" t="str">
        <f>=IF(C475="","",SUMIF($C$17:$C$502,C475,$F$17:$F$502))</f>
        <v/>
      </c>
      <c r="H475" s="14" t="str">
        <f>=IFERROR($B$14/$B$10,"")</f>
        <v/>
      </c>
      <c r="I475" s="15" t="str">
        <f>=IFERROR(G475/H475,"")</f>
        <v/>
      </c>
      <c r="J475" s="16" t="str">
        <f>=IF(F475="","",F475/3600)</f>
        <v/>
      </c>
      <c r="K475" s="11" t="str">
        <f>=IF(L475="","",IF(ISNUMBER(FIND("|",L475)),TRIM(LEFT(L475,FIND("|",L475)-1)),IF(ISNUMBER(MATCH(L475,Config!$F$1:$F$853,0)),L475,IFERROR(INDEX(Config!$F$1:$F$853,MATCH(L475,Config!$G$1:$G$853,0)),""))))</f>
        <v/>
      </c>
      <c r="L475" s="17" t="str">
        <f>=IFERROR(INDEX($L$17:L474,MATCH(C475,$C$17:C474,0)),"")</f>
        <v/>
      </c>
    </row>
    <row r="476" ht="18" customHeight="1" spans="1:12" x14ac:dyDescent="0.25">
      <c r="A476" s="10" t="s">
        <v>2</v>
      </c>
      <c r="B476" s="10" t="s">
        <v>2</v>
      </c>
      <c r="C476" s="10" t="s">
        <v>2</v>
      </c>
      <c r="D476" s="11" t="str">
        <f>=IF(E476="","",IF(ISNUMBER(FIND("|",E476)),TRIM(LEFT(E476,FIND("|",E476)-1)),IF(ISNUMBER(MATCH(E476,Config!$C$1:$C$311,0)),E476,IFERROR(INDEX(Config!$C$1:$C$311,MATCH(E476,Config!$D$1:$D$311,0)),""))))</f>
        <v/>
      </c>
      <c r="E476" s="12" t="s">
        <v>2</v>
      </c>
      <c r="F476" s="13" t="s">
        <v>2</v>
      </c>
      <c r="G476" s="14" t="str">
        <f>=IF(C476="","",SUMIF($C$17:$C$502,C476,$F$17:$F$502))</f>
        <v/>
      </c>
      <c r="H476" s="14" t="str">
        <f>=IFERROR($B$14/$B$10,"")</f>
        <v/>
      </c>
      <c r="I476" s="15" t="str">
        <f>=IFERROR(G476/H476,"")</f>
        <v/>
      </c>
      <c r="J476" s="16" t="str">
        <f>=IF(F476="","",F476/3600)</f>
        <v/>
      </c>
      <c r="K476" s="11" t="str">
        <f>=IF(L476="","",IF(ISNUMBER(FIND("|",L476)),TRIM(LEFT(L476,FIND("|",L476)-1)),IF(ISNUMBER(MATCH(L476,Config!$F$1:$F$853,0)),L476,IFERROR(INDEX(Config!$F$1:$F$853,MATCH(L476,Config!$G$1:$G$853,0)),""))))</f>
        <v/>
      </c>
      <c r="L476" s="17" t="str">
        <f>=IFERROR(INDEX($L$17:L475,MATCH(C476,$C$17:C475,0)),"")</f>
        <v/>
      </c>
    </row>
    <row r="477" ht="18" customHeight="1" spans="1:12" x14ac:dyDescent="0.25">
      <c r="A477" s="10" t="s">
        <v>2</v>
      </c>
      <c r="B477" s="10" t="s">
        <v>2</v>
      </c>
      <c r="C477" s="10" t="s">
        <v>2</v>
      </c>
      <c r="D477" s="11" t="str">
        <f>=IF(E477="","",IF(ISNUMBER(FIND("|",E477)),TRIM(LEFT(E477,FIND("|",E477)-1)),IF(ISNUMBER(MATCH(E477,Config!$C$1:$C$311,0)),E477,IFERROR(INDEX(Config!$C$1:$C$311,MATCH(E477,Config!$D$1:$D$311,0)),""))))</f>
        <v/>
      </c>
      <c r="E477" s="12" t="s">
        <v>2</v>
      </c>
      <c r="F477" s="13" t="s">
        <v>2</v>
      </c>
      <c r="G477" s="14" t="str">
        <f>=IF(C477="","",SUMIF($C$17:$C$502,C477,$F$17:$F$502))</f>
        <v/>
      </c>
      <c r="H477" s="14" t="str">
        <f>=IFERROR($B$14/$B$10,"")</f>
        <v/>
      </c>
      <c r="I477" s="15" t="str">
        <f>=IFERROR(G477/H477,"")</f>
        <v/>
      </c>
      <c r="J477" s="16" t="str">
        <f>=IF(F477="","",F477/3600)</f>
        <v/>
      </c>
      <c r="K477" s="11" t="str">
        <f>=IF(L477="","",IF(ISNUMBER(FIND("|",L477)),TRIM(LEFT(L477,FIND("|",L477)-1)),IF(ISNUMBER(MATCH(L477,Config!$F$1:$F$853,0)),L477,IFERROR(INDEX(Config!$F$1:$F$853,MATCH(L477,Config!$G$1:$G$853,0)),""))))</f>
        <v/>
      </c>
      <c r="L477" s="17" t="str">
        <f>=IFERROR(INDEX($L$17:L476,MATCH(C477,$C$17:C476,0)),"")</f>
        <v/>
      </c>
    </row>
    <row r="478" ht="18" customHeight="1" spans="1:12" x14ac:dyDescent="0.25">
      <c r="A478" s="10" t="s">
        <v>2</v>
      </c>
      <c r="B478" s="10" t="s">
        <v>2</v>
      </c>
      <c r="C478" s="10" t="s">
        <v>2</v>
      </c>
      <c r="D478" s="11" t="str">
        <f>=IF(E478="","",IF(ISNUMBER(FIND("|",E478)),TRIM(LEFT(E478,FIND("|",E478)-1)),IF(ISNUMBER(MATCH(E478,Config!$C$1:$C$311,0)),E478,IFERROR(INDEX(Config!$C$1:$C$311,MATCH(E478,Config!$D$1:$D$311,0)),""))))</f>
        <v/>
      </c>
      <c r="E478" s="12" t="s">
        <v>2</v>
      </c>
      <c r="F478" s="13" t="s">
        <v>2</v>
      </c>
      <c r="G478" s="14" t="str">
        <f>=IF(C478="","",SUMIF($C$17:$C$502,C478,$F$17:$F$502))</f>
        <v/>
      </c>
      <c r="H478" s="14" t="str">
        <f>=IFERROR($B$14/$B$10,"")</f>
        <v/>
      </c>
      <c r="I478" s="15" t="str">
        <f>=IFERROR(G478/H478,"")</f>
        <v/>
      </c>
      <c r="J478" s="16" t="str">
        <f>=IF(F478="","",F478/3600)</f>
        <v/>
      </c>
      <c r="K478" s="11" t="str">
        <f>=IF(L478="","",IF(ISNUMBER(FIND("|",L478)),TRIM(LEFT(L478,FIND("|",L478)-1)),IF(ISNUMBER(MATCH(L478,Config!$F$1:$F$853,0)),L478,IFERROR(INDEX(Config!$F$1:$F$853,MATCH(L478,Config!$G$1:$G$853,0)),""))))</f>
        <v/>
      </c>
      <c r="L478" s="17" t="str">
        <f>=IFERROR(INDEX($L$17:L477,MATCH(C478,$C$17:C477,0)),"")</f>
        <v/>
      </c>
    </row>
    <row r="479" ht="18" customHeight="1" spans="1:12" x14ac:dyDescent="0.25">
      <c r="A479" s="10" t="s">
        <v>2</v>
      </c>
      <c r="B479" s="10" t="s">
        <v>2</v>
      </c>
      <c r="C479" s="10" t="s">
        <v>2</v>
      </c>
      <c r="D479" s="11" t="str">
        <f>=IF(E479="","",IF(ISNUMBER(FIND("|",E479)),TRIM(LEFT(E479,FIND("|",E479)-1)),IF(ISNUMBER(MATCH(E479,Config!$C$1:$C$311,0)),E479,IFERROR(INDEX(Config!$C$1:$C$311,MATCH(E479,Config!$D$1:$D$311,0)),""))))</f>
        <v/>
      </c>
      <c r="E479" s="12" t="s">
        <v>2</v>
      </c>
      <c r="F479" s="13" t="s">
        <v>2</v>
      </c>
      <c r="G479" s="14" t="str">
        <f>=IF(C479="","",SUMIF($C$17:$C$502,C479,$F$17:$F$502))</f>
        <v/>
      </c>
      <c r="H479" s="14" t="str">
        <f>=IFERROR($B$14/$B$10,"")</f>
        <v/>
      </c>
      <c r="I479" s="15" t="str">
        <f>=IFERROR(G479/H479,"")</f>
        <v/>
      </c>
      <c r="J479" s="16" t="str">
        <f>=IF(F479="","",F479/3600)</f>
        <v/>
      </c>
      <c r="K479" s="11" t="str">
        <f>=IF(L479="","",IF(ISNUMBER(FIND("|",L479)),TRIM(LEFT(L479,FIND("|",L479)-1)),IF(ISNUMBER(MATCH(L479,Config!$F$1:$F$853,0)),L479,IFERROR(INDEX(Config!$F$1:$F$853,MATCH(L479,Config!$G$1:$G$853,0)),""))))</f>
        <v/>
      </c>
      <c r="L479" s="17" t="str">
        <f>=IFERROR(INDEX($L$17:L478,MATCH(C479,$C$17:C478,0)),"")</f>
        <v/>
      </c>
    </row>
    <row r="480" ht="18" customHeight="1" spans="1:12" x14ac:dyDescent="0.25">
      <c r="A480" s="10" t="s">
        <v>2</v>
      </c>
      <c r="B480" s="10" t="s">
        <v>2</v>
      </c>
      <c r="C480" s="10" t="s">
        <v>2</v>
      </c>
      <c r="D480" s="11" t="str">
        <f>=IF(E480="","",IF(ISNUMBER(FIND("|",E480)),TRIM(LEFT(E480,FIND("|",E480)-1)),IF(ISNUMBER(MATCH(E480,Config!$C$1:$C$311,0)),E480,IFERROR(INDEX(Config!$C$1:$C$311,MATCH(E480,Config!$D$1:$D$311,0)),""))))</f>
        <v/>
      </c>
      <c r="E480" s="12" t="s">
        <v>2</v>
      </c>
      <c r="F480" s="13" t="s">
        <v>2</v>
      </c>
      <c r="G480" s="14" t="str">
        <f>=IF(C480="","",SUMIF($C$17:$C$502,C480,$F$17:$F$502))</f>
        <v/>
      </c>
      <c r="H480" s="14" t="str">
        <f>=IFERROR($B$14/$B$10,"")</f>
        <v/>
      </c>
      <c r="I480" s="15" t="str">
        <f>=IFERROR(G480/H480,"")</f>
        <v/>
      </c>
      <c r="J480" s="16" t="str">
        <f>=IF(F480="","",F480/3600)</f>
        <v/>
      </c>
      <c r="K480" s="11" t="str">
        <f>=IF(L480="","",IF(ISNUMBER(FIND("|",L480)),TRIM(LEFT(L480,FIND("|",L480)-1)),IF(ISNUMBER(MATCH(L480,Config!$F$1:$F$853,0)),L480,IFERROR(INDEX(Config!$F$1:$F$853,MATCH(L480,Config!$G$1:$G$853,0)),""))))</f>
        <v/>
      </c>
      <c r="L480" s="17" t="str">
        <f>=IFERROR(INDEX($L$17:L479,MATCH(C480,$C$17:C479,0)),"")</f>
        <v/>
      </c>
    </row>
    <row r="481" ht="18" customHeight="1" spans="1:12" x14ac:dyDescent="0.25">
      <c r="A481" s="10" t="s">
        <v>2</v>
      </c>
      <c r="B481" s="10" t="s">
        <v>2</v>
      </c>
      <c r="C481" s="10" t="s">
        <v>2</v>
      </c>
      <c r="D481" s="11" t="str">
        <f>=IF(E481="","",IF(ISNUMBER(FIND("|",E481)),TRIM(LEFT(E481,FIND("|",E481)-1)),IF(ISNUMBER(MATCH(E481,Config!$C$1:$C$311,0)),E481,IFERROR(INDEX(Config!$C$1:$C$311,MATCH(E481,Config!$D$1:$D$311,0)),""))))</f>
        <v/>
      </c>
      <c r="E481" s="12" t="s">
        <v>2</v>
      </c>
      <c r="F481" s="13" t="s">
        <v>2</v>
      </c>
      <c r="G481" s="14" t="str">
        <f>=IF(C481="","",SUMIF($C$17:$C$502,C481,$F$17:$F$502))</f>
        <v/>
      </c>
      <c r="H481" s="14" t="str">
        <f>=IFERROR($B$14/$B$10,"")</f>
        <v/>
      </c>
      <c r="I481" s="15" t="str">
        <f>=IFERROR(G481/H481,"")</f>
        <v/>
      </c>
      <c r="J481" s="16" t="str">
        <f>=IF(F481="","",F481/3600)</f>
        <v/>
      </c>
      <c r="K481" s="11" t="str">
        <f>=IF(L481="","",IF(ISNUMBER(FIND("|",L481)),TRIM(LEFT(L481,FIND("|",L481)-1)),IF(ISNUMBER(MATCH(L481,Config!$F$1:$F$853,0)),L481,IFERROR(INDEX(Config!$F$1:$F$853,MATCH(L481,Config!$G$1:$G$853,0)),""))))</f>
        <v/>
      </c>
      <c r="L481" s="17" t="str">
        <f>=IFERROR(INDEX($L$17:L480,MATCH(C481,$C$17:C480,0)),"")</f>
        <v/>
      </c>
    </row>
    <row r="482" ht="18" customHeight="1" spans="1:12" x14ac:dyDescent="0.25">
      <c r="A482" s="10" t="s">
        <v>2</v>
      </c>
      <c r="B482" s="10" t="s">
        <v>2</v>
      </c>
      <c r="C482" s="10" t="s">
        <v>2</v>
      </c>
      <c r="D482" s="11" t="str">
        <f>=IF(E482="","",IF(ISNUMBER(FIND("|",E482)),TRIM(LEFT(E482,FIND("|",E482)-1)),IF(ISNUMBER(MATCH(E482,Config!$C$1:$C$311,0)),E482,IFERROR(INDEX(Config!$C$1:$C$311,MATCH(E482,Config!$D$1:$D$311,0)),""))))</f>
        <v/>
      </c>
      <c r="E482" s="12" t="s">
        <v>2</v>
      </c>
      <c r="F482" s="13" t="s">
        <v>2</v>
      </c>
      <c r="G482" s="14" t="str">
        <f>=IF(C482="","",SUMIF($C$17:$C$502,C482,$F$17:$F$502))</f>
        <v/>
      </c>
      <c r="H482" s="14" t="str">
        <f>=IFERROR($B$14/$B$10,"")</f>
        <v/>
      </c>
      <c r="I482" s="15" t="str">
        <f>=IFERROR(G482/H482,"")</f>
        <v/>
      </c>
      <c r="J482" s="16" t="str">
        <f>=IF(F482="","",F482/3600)</f>
        <v/>
      </c>
      <c r="K482" s="11" t="str">
        <f>=IF(L482="","",IF(ISNUMBER(FIND("|",L482)),TRIM(LEFT(L482,FIND("|",L482)-1)),IF(ISNUMBER(MATCH(L482,Config!$F$1:$F$853,0)),L482,IFERROR(INDEX(Config!$F$1:$F$853,MATCH(L482,Config!$G$1:$G$853,0)),""))))</f>
        <v/>
      </c>
      <c r="L482" s="17" t="str">
        <f>=IFERROR(INDEX($L$17:L481,MATCH(C482,$C$17:C481,0)),"")</f>
        <v/>
      </c>
    </row>
    <row r="483" ht="18" customHeight="1" spans="1:12" x14ac:dyDescent="0.25">
      <c r="A483" s="10" t="s">
        <v>2</v>
      </c>
      <c r="B483" s="10" t="s">
        <v>2</v>
      </c>
      <c r="C483" s="10" t="s">
        <v>2</v>
      </c>
      <c r="D483" s="11" t="str">
        <f>=IF(E483="","",IF(ISNUMBER(FIND("|",E483)),TRIM(LEFT(E483,FIND("|",E483)-1)),IF(ISNUMBER(MATCH(E483,Config!$C$1:$C$311,0)),E483,IFERROR(INDEX(Config!$C$1:$C$311,MATCH(E483,Config!$D$1:$D$311,0)),""))))</f>
        <v/>
      </c>
      <c r="E483" s="12" t="s">
        <v>2</v>
      </c>
      <c r="F483" s="13" t="s">
        <v>2</v>
      </c>
      <c r="G483" s="14" t="str">
        <f>=IF(C483="","",SUMIF($C$17:$C$502,C483,$F$17:$F$502))</f>
        <v/>
      </c>
      <c r="H483" s="14" t="str">
        <f>=IFERROR($B$14/$B$10,"")</f>
        <v/>
      </c>
      <c r="I483" s="15" t="str">
        <f>=IFERROR(G483/H483,"")</f>
        <v/>
      </c>
      <c r="J483" s="16" t="str">
        <f>=IF(F483="","",F483/3600)</f>
        <v/>
      </c>
      <c r="K483" s="11" t="str">
        <f>=IF(L483="","",IF(ISNUMBER(FIND("|",L483)),TRIM(LEFT(L483,FIND("|",L483)-1)),IF(ISNUMBER(MATCH(L483,Config!$F$1:$F$853,0)),L483,IFERROR(INDEX(Config!$F$1:$F$853,MATCH(L483,Config!$G$1:$G$853,0)),""))))</f>
        <v/>
      </c>
      <c r="L483" s="17" t="str">
        <f>=IFERROR(INDEX($L$17:L482,MATCH(C483,$C$17:C482,0)),"")</f>
        <v/>
      </c>
    </row>
    <row r="484" ht="18" customHeight="1" spans="1:12" x14ac:dyDescent="0.25">
      <c r="A484" s="10" t="s">
        <v>2</v>
      </c>
      <c r="B484" s="10" t="s">
        <v>2</v>
      </c>
      <c r="C484" s="10" t="s">
        <v>2</v>
      </c>
      <c r="D484" s="11" t="str">
        <f>=IF(E484="","",IF(ISNUMBER(FIND("|",E484)),TRIM(LEFT(E484,FIND("|",E484)-1)),IF(ISNUMBER(MATCH(E484,Config!$C$1:$C$311,0)),E484,IFERROR(INDEX(Config!$C$1:$C$311,MATCH(E484,Config!$D$1:$D$311,0)),""))))</f>
        <v/>
      </c>
      <c r="E484" s="12" t="s">
        <v>2</v>
      </c>
      <c r="F484" s="13" t="s">
        <v>2</v>
      </c>
      <c r="G484" s="14" t="str">
        <f>=IF(C484="","",SUMIF($C$17:$C$502,C484,$F$17:$F$502))</f>
        <v/>
      </c>
      <c r="H484" s="14" t="str">
        <f>=IFERROR($B$14/$B$10,"")</f>
        <v/>
      </c>
      <c r="I484" s="15" t="str">
        <f>=IFERROR(G484/H484,"")</f>
        <v/>
      </c>
      <c r="J484" s="16" t="str">
        <f>=IF(F484="","",F484/3600)</f>
        <v/>
      </c>
      <c r="K484" s="11" t="str">
        <f>=IF(L484="","",IF(ISNUMBER(FIND("|",L484)),TRIM(LEFT(L484,FIND("|",L484)-1)),IF(ISNUMBER(MATCH(L484,Config!$F$1:$F$853,0)),L484,IFERROR(INDEX(Config!$F$1:$F$853,MATCH(L484,Config!$G$1:$G$853,0)),""))))</f>
        <v/>
      </c>
      <c r="L484" s="17" t="str">
        <f>=IFERROR(INDEX($L$17:L483,MATCH(C484,$C$17:C483,0)),"")</f>
        <v/>
      </c>
    </row>
    <row r="485" ht="18" customHeight="1" spans="1:12" x14ac:dyDescent="0.25">
      <c r="A485" s="10" t="s">
        <v>2</v>
      </c>
      <c r="B485" s="10" t="s">
        <v>2</v>
      </c>
      <c r="C485" s="10" t="s">
        <v>2</v>
      </c>
      <c r="D485" s="11" t="str">
        <f>=IF(E485="","",IF(ISNUMBER(FIND("|",E485)),TRIM(LEFT(E485,FIND("|",E485)-1)),IF(ISNUMBER(MATCH(E485,Config!$C$1:$C$311,0)),E485,IFERROR(INDEX(Config!$C$1:$C$311,MATCH(E485,Config!$D$1:$D$311,0)),""))))</f>
        <v/>
      </c>
      <c r="E485" s="12" t="s">
        <v>2</v>
      </c>
      <c r="F485" s="13" t="s">
        <v>2</v>
      </c>
      <c r="G485" s="14" t="str">
        <f>=IF(C485="","",SUMIF($C$17:$C$502,C485,$F$17:$F$502))</f>
        <v/>
      </c>
      <c r="H485" s="14" t="str">
        <f>=IFERROR($B$14/$B$10,"")</f>
        <v/>
      </c>
      <c r="I485" s="15" t="str">
        <f>=IFERROR(G485/H485,"")</f>
        <v/>
      </c>
      <c r="J485" s="16" t="str">
        <f>=IF(F485="","",F485/3600)</f>
        <v/>
      </c>
      <c r="K485" s="11" t="str">
        <f>=IF(L485="","",IF(ISNUMBER(FIND("|",L485)),TRIM(LEFT(L485,FIND("|",L485)-1)),IF(ISNUMBER(MATCH(L485,Config!$F$1:$F$853,0)),L485,IFERROR(INDEX(Config!$F$1:$F$853,MATCH(L485,Config!$G$1:$G$853,0)),""))))</f>
        <v/>
      </c>
      <c r="L485" s="17" t="str">
        <f>=IFERROR(INDEX($L$17:L484,MATCH(C485,$C$17:C484,0)),"")</f>
        <v/>
      </c>
    </row>
    <row r="486" ht="18" customHeight="1" spans="1:12" x14ac:dyDescent="0.25">
      <c r="A486" s="10" t="s">
        <v>2</v>
      </c>
      <c r="B486" s="10" t="s">
        <v>2</v>
      </c>
      <c r="C486" s="10" t="s">
        <v>2</v>
      </c>
      <c r="D486" s="11" t="str">
        <f>=IF(E486="","",IF(ISNUMBER(FIND("|",E486)),TRIM(LEFT(E486,FIND("|",E486)-1)),IF(ISNUMBER(MATCH(E486,Config!$C$1:$C$311,0)),E486,IFERROR(INDEX(Config!$C$1:$C$311,MATCH(E486,Config!$D$1:$D$311,0)),""))))</f>
        <v/>
      </c>
      <c r="E486" s="12" t="s">
        <v>2</v>
      </c>
      <c r="F486" s="13" t="s">
        <v>2</v>
      </c>
      <c r="G486" s="14" t="str">
        <f>=IF(C486="","",SUMIF($C$17:$C$502,C486,$F$17:$F$502))</f>
        <v/>
      </c>
      <c r="H486" s="14" t="str">
        <f>=IFERROR($B$14/$B$10,"")</f>
        <v/>
      </c>
      <c r="I486" s="15" t="str">
        <f>=IFERROR(G486/H486,"")</f>
        <v/>
      </c>
      <c r="J486" s="16" t="str">
        <f>=IF(F486="","",F486/3600)</f>
        <v/>
      </c>
      <c r="K486" s="11" t="str">
        <f>=IF(L486="","",IF(ISNUMBER(FIND("|",L486)),TRIM(LEFT(L486,FIND("|",L486)-1)),IF(ISNUMBER(MATCH(L486,Config!$F$1:$F$853,0)),L486,IFERROR(INDEX(Config!$F$1:$F$853,MATCH(L486,Config!$G$1:$G$853,0)),""))))</f>
        <v/>
      </c>
      <c r="L486" s="17" t="str">
        <f>=IFERROR(INDEX($L$17:L485,MATCH(C486,$C$17:C485,0)),"")</f>
        <v/>
      </c>
    </row>
    <row r="487" ht="18" customHeight="1" spans="1:12" x14ac:dyDescent="0.25">
      <c r="A487" s="10" t="s">
        <v>2</v>
      </c>
      <c r="B487" s="10" t="s">
        <v>2</v>
      </c>
      <c r="C487" s="10" t="s">
        <v>2</v>
      </c>
      <c r="D487" s="11" t="str">
        <f>=IF(E487="","",IF(ISNUMBER(FIND("|",E487)),TRIM(LEFT(E487,FIND("|",E487)-1)),IF(ISNUMBER(MATCH(E487,Config!$C$1:$C$311,0)),E487,IFERROR(INDEX(Config!$C$1:$C$311,MATCH(E487,Config!$D$1:$D$311,0)),""))))</f>
        <v/>
      </c>
      <c r="E487" s="12" t="s">
        <v>2</v>
      </c>
      <c r="F487" s="13" t="s">
        <v>2</v>
      </c>
      <c r="G487" s="14" t="str">
        <f>=IF(C487="","",SUMIF($C$17:$C$502,C487,$F$17:$F$502))</f>
        <v/>
      </c>
      <c r="H487" s="14" t="str">
        <f>=IFERROR($B$14/$B$10,"")</f>
        <v/>
      </c>
      <c r="I487" s="15" t="str">
        <f>=IFERROR(G487/H487,"")</f>
        <v/>
      </c>
      <c r="J487" s="16" t="str">
        <f>=IF(F487="","",F487/3600)</f>
        <v/>
      </c>
      <c r="K487" s="11" t="str">
        <f>=IF(L487="","",IF(ISNUMBER(FIND("|",L487)),TRIM(LEFT(L487,FIND("|",L487)-1)),IF(ISNUMBER(MATCH(L487,Config!$F$1:$F$853,0)),L487,IFERROR(INDEX(Config!$F$1:$F$853,MATCH(L487,Config!$G$1:$G$853,0)),""))))</f>
        <v/>
      </c>
      <c r="L487" s="17" t="str">
        <f>=IFERROR(INDEX($L$17:L486,MATCH(C487,$C$17:C486,0)),"")</f>
        <v/>
      </c>
    </row>
    <row r="488" ht="18" customHeight="1" spans="1:12" x14ac:dyDescent="0.25">
      <c r="A488" s="10" t="s">
        <v>2</v>
      </c>
      <c r="B488" s="10" t="s">
        <v>2</v>
      </c>
      <c r="C488" s="10" t="s">
        <v>2</v>
      </c>
      <c r="D488" s="11" t="str">
        <f>=IF(E488="","",IF(ISNUMBER(FIND("|",E488)),TRIM(LEFT(E488,FIND("|",E488)-1)),IF(ISNUMBER(MATCH(E488,Config!$C$1:$C$311,0)),E488,IFERROR(INDEX(Config!$C$1:$C$311,MATCH(E488,Config!$D$1:$D$311,0)),""))))</f>
        <v/>
      </c>
      <c r="E488" s="12" t="s">
        <v>2</v>
      </c>
      <c r="F488" s="13" t="s">
        <v>2</v>
      </c>
      <c r="G488" s="14" t="str">
        <f>=IF(C488="","",SUMIF($C$17:$C$502,C488,$F$17:$F$502))</f>
        <v/>
      </c>
      <c r="H488" s="14" t="str">
        <f>=IFERROR($B$14/$B$10,"")</f>
        <v/>
      </c>
      <c r="I488" s="15" t="str">
        <f>=IFERROR(G488/H488,"")</f>
        <v/>
      </c>
      <c r="J488" s="16" t="str">
        <f>=IF(F488="","",F488/3600)</f>
        <v/>
      </c>
      <c r="K488" s="11" t="str">
        <f>=IF(L488="","",IF(ISNUMBER(FIND("|",L488)),TRIM(LEFT(L488,FIND("|",L488)-1)),IF(ISNUMBER(MATCH(L488,Config!$F$1:$F$853,0)),L488,IFERROR(INDEX(Config!$F$1:$F$853,MATCH(L488,Config!$G$1:$G$853,0)),""))))</f>
        <v/>
      </c>
      <c r="L488" s="17" t="str">
        <f>=IFERROR(INDEX($L$17:L487,MATCH(C488,$C$17:C487,0)),"")</f>
        <v/>
      </c>
    </row>
    <row r="489" ht="18" customHeight="1" spans="1:12" x14ac:dyDescent="0.25">
      <c r="A489" s="10" t="s">
        <v>2</v>
      </c>
      <c r="B489" s="10" t="s">
        <v>2</v>
      </c>
      <c r="C489" s="10" t="s">
        <v>2</v>
      </c>
      <c r="D489" s="11" t="str">
        <f>=IF(E489="","",IF(ISNUMBER(FIND("|",E489)),TRIM(LEFT(E489,FIND("|",E489)-1)),IF(ISNUMBER(MATCH(E489,Config!$C$1:$C$311,0)),E489,IFERROR(INDEX(Config!$C$1:$C$311,MATCH(E489,Config!$D$1:$D$311,0)),""))))</f>
        <v/>
      </c>
      <c r="E489" s="12" t="s">
        <v>2</v>
      </c>
      <c r="F489" s="13" t="s">
        <v>2</v>
      </c>
      <c r="G489" s="14" t="str">
        <f>=IF(C489="","",SUMIF($C$17:$C$502,C489,$F$17:$F$502))</f>
        <v/>
      </c>
      <c r="H489" s="14" t="str">
        <f>=IFERROR($B$14/$B$10,"")</f>
        <v/>
      </c>
      <c r="I489" s="15" t="str">
        <f>=IFERROR(G489/H489,"")</f>
        <v/>
      </c>
      <c r="J489" s="16" t="str">
        <f>=IF(F489="","",F489/3600)</f>
        <v/>
      </c>
      <c r="K489" s="11" t="str">
        <f>=IF(L489="","",IF(ISNUMBER(FIND("|",L489)),TRIM(LEFT(L489,FIND("|",L489)-1)),IF(ISNUMBER(MATCH(L489,Config!$F$1:$F$853,0)),L489,IFERROR(INDEX(Config!$F$1:$F$853,MATCH(L489,Config!$G$1:$G$853,0)),""))))</f>
        <v/>
      </c>
      <c r="L489" s="17" t="str">
        <f>=IFERROR(INDEX($L$17:L488,MATCH(C489,$C$17:C488,0)),"")</f>
        <v/>
      </c>
    </row>
    <row r="490" ht="18" customHeight="1" spans="1:12" x14ac:dyDescent="0.25">
      <c r="A490" s="10" t="s">
        <v>2</v>
      </c>
      <c r="B490" s="10" t="s">
        <v>2</v>
      </c>
      <c r="C490" s="10" t="s">
        <v>2</v>
      </c>
      <c r="D490" s="11" t="str">
        <f>=IF(E490="","",IF(ISNUMBER(FIND("|",E490)),TRIM(LEFT(E490,FIND("|",E490)-1)),IF(ISNUMBER(MATCH(E490,Config!$C$1:$C$311,0)),E490,IFERROR(INDEX(Config!$C$1:$C$311,MATCH(E490,Config!$D$1:$D$311,0)),""))))</f>
        <v/>
      </c>
      <c r="E490" s="12" t="s">
        <v>2</v>
      </c>
      <c r="F490" s="13" t="s">
        <v>2</v>
      </c>
      <c r="G490" s="14" t="str">
        <f>=IF(C490="","",SUMIF($C$17:$C$502,C490,$F$17:$F$502))</f>
        <v/>
      </c>
      <c r="H490" s="14" t="str">
        <f>=IFERROR($B$14/$B$10,"")</f>
        <v/>
      </c>
      <c r="I490" s="15" t="str">
        <f>=IFERROR(G490/H490,"")</f>
        <v/>
      </c>
      <c r="J490" s="16" t="str">
        <f>=IF(F490="","",F490/3600)</f>
        <v/>
      </c>
      <c r="K490" s="11" t="str">
        <f>=IF(L490="","",IF(ISNUMBER(FIND("|",L490)),TRIM(LEFT(L490,FIND("|",L490)-1)),IF(ISNUMBER(MATCH(L490,Config!$F$1:$F$853,0)),L490,IFERROR(INDEX(Config!$F$1:$F$853,MATCH(L490,Config!$G$1:$G$853,0)),""))))</f>
        <v/>
      </c>
      <c r="L490" s="17" t="str">
        <f>=IFERROR(INDEX($L$17:L489,MATCH(C490,$C$17:C489,0)),"")</f>
        <v/>
      </c>
    </row>
    <row r="491" ht="18" customHeight="1" spans="1:12" x14ac:dyDescent="0.25">
      <c r="A491" s="10" t="s">
        <v>2</v>
      </c>
      <c r="B491" s="10" t="s">
        <v>2</v>
      </c>
      <c r="C491" s="10" t="s">
        <v>2</v>
      </c>
      <c r="D491" s="11" t="str">
        <f>=IF(E491="","",IF(ISNUMBER(FIND("|",E491)),TRIM(LEFT(E491,FIND("|",E491)-1)),IF(ISNUMBER(MATCH(E491,Config!$C$1:$C$311,0)),E491,IFERROR(INDEX(Config!$C$1:$C$311,MATCH(E491,Config!$D$1:$D$311,0)),""))))</f>
        <v/>
      </c>
      <c r="E491" s="12" t="s">
        <v>2</v>
      </c>
      <c r="F491" s="13" t="s">
        <v>2</v>
      </c>
      <c r="G491" s="14" t="str">
        <f>=IF(C491="","",SUMIF($C$17:$C$502,C491,$F$17:$F$502))</f>
        <v/>
      </c>
      <c r="H491" s="14" t="str">
        <f>=IFERROR($B$14/$B$10,"")</f>
        <v/>
      </c>
      <c r="I491" s="15" t="str">
        <f>=IFERROR(G491/H491,"")</f>
        <v/>
      </c>
      <c r="J491" s="16" t="str">
        <f>=IF(F491="","",F491/3600)</f>
        <v/>
      </c>
      <c r="K491" s="11" t="str">
        <f>=IF(L491="","",IF(ISNUMBER(FIND("|",L491)),TRIM(LEFT(L491,FIND("|",L491)-1)),IF(ISNUMBER(MATCH(L491,Config!$F$1:$F$853,0)),L491,IFERROR(INDEX(Config!$F$1:$F$853,MATCH(L491,Config!$G$1:$G$853,0)),""))))</f>
        <v/>
      </c>
      <c r="L491" s="17" t="str">
        <f>=IFERROR(INDEX($L$17:L490,MATCH(C491,$C$17:C490,0)),"")</f>
        <v/>
      </c>
    </row>
    <row r="492" ht="18" customHeight="1" spans="1:12" x14ac:dyDescent="0.25">
      <c r="A492" s="10" t="s">
        <v>2</v>
      </c>
      <c r="B492" s="10" t="s">
        <v>2</v>
      </c>
      <c r="C492" s="10" t="s">
        <v>2</v>
      </c>
      <c r="D492" s="11" t="str">
        <f>=IF(E492="","",IF(ISNUMBER(FIND("|",E492)),TRIM(LEFT(E492,FIND("|",E492)-1)),IF(ISNUMBER(MATCH(E492,Config!$C$1:$C$311,0)),E492,IFERROR(INDEX(Config!$C$1:$C$311,MATCH(E492,Config!$D$1:$D$311,0)),""))))</f>
        <v/>
      </c>
      <c r="E492" s="12" t="s">
        <v>2</v>
      </c>
      <c r="F492" s="13" t="s">
        <v>2</v>
      </c>
      <c r="G492" s="14" t="str">
        <f>=IF(C492="","",SUMIF($C$17:$C$502,C492,$F$17:$F$502))</f>
        <v/>
      </c>
      <c r="H492" s="14" t="str">
        <f>=IFERROR($B$14/$B$10,"")</f>
        <v/>
      </c>
      <c r="I492" s="15" t="str">
        <f>=IFERROR(G492/H492,"")</f>
        <v/>
      </c>
      <c r="J492" s="16" t="str">
        <f>=IF(F492="","",F492/3600)</f>
        <v/>
      </c>
      <c r="K492" s="11" t="str">
        <f>=IF(L492="","",IF(ISNUMBER(FIND("|",L492)),TRIM(LEFT(L492,FIND("|",L492)-1)),IF(ISNUMBER(MATCH(L492,Config!$F$1:$F$853,0)),L492,IFERROR(INDEX(Config!$F$1:$F$853,MATCH(L492,Config!$G$1:$G$853,0)),""))))</f>
        <v/>
      </c>
      <c r="L492" s="17" t="str">
        <f>=IFERROR(INDEX($L$17:L491,MATCH(C492,$C$17:C491,0)),"")</f>
        <v/>
      </c>
    </row>
    <row r="493" ht="18" customHeight="1" spans="1:12" x14ac:dyDescent="0.25">
      <c r="A493" s="10" t="s">
        <v>2</v>
      </c>
      <c r="B493" s="10" t="s">
        <v>2</v>
      </c>
      <c r="C493" s="10" t="s">
        <v>2</v>
      </c>
      <c r="D493" s="11" t="str">
        <f>=IF(E493="","",IF(ISNUMBER(FIND("|",E493)),TRIM(LEFT(E493,FIND("|",E493)-1)),IF(ISNUMBER(MATCH(E493,Config!$C$1:$C$311,0)),E493,IFERROR(INDEX(Config!$C$1:$C$311,MATCH(E493,Config!$D$1:$D$311,0)),""))))</f>
        <v/>
      </c>
      <c r="E493" s="12" t="s">
        <v>2</v>
      </c>
      <c r="F493" s="13" t="s">
        <v>2</v>
      </c>
      <c r="G493" s="14" t="str">
        <f>=IF(C493="","",SUMIF($C$17:$C$502,C493,$F$17:$F$502))</f>
        <v/>
      </c>
      <c r="H493" s="14" t="str">
        <f>=IFERROR($B$14/$B$10,"")</f>
        <v/>
      </c>
      <c r="I493" s="15" t="str">
        <f>=IFERROR(G493/H493,"")</f>
        <v/>
      </c>
      <c r="J493" s="16" t="str">
        <f>=IF(F493="","",F493/3600)</f>
        <v/>
      </c>
      <c r="K493" s="11" t="str">
        <f>=IF(L493="","",IF(ISNUMBER(FIND("|",L493)),TRIM(LEFT(L493,FIND("|",L493)-1)),IF(ISNUMBER(MATCH(L493,Config!$F$1:$F$853,0)),L493,IFERROR(INDEX(Config!$F$1:$F$853,MATCH(L493,Config!$G$1:$G$853,0)),""))))</f>
        <v/>
      </c>
      <c r="L493" s="17" t="str">
        <f>=IFERROR(INDEX($L$17:L492,MATCH(C493,$C$17:C492,0)),"")</f>
        <v/>
      </c>
    </row>
    <row r="494" ht="18" customHeight="1" spans="1:12" x14ac:dyDescent="0.25">
      <c r="A494" s="10" t="s">
        <v>2</v>
      </c>
      <c r="B494" s="10" t="s">
        <v>2</v>
      </c>
      <c r="C494" s="10" t="s">
        <v>2</v>
      </c>
      <c r="D494" s="11" t="str">
        <f>=IF(E494="","",IF(ISNUMBER(FIND("|",E494)),TRIM(LEFT(E494,FIND("|",E494)-1)),IF(ISNUMBER(MATCH(E494,Config!$C$1:$C$311,0)),E494,IFERROR(INDEX(Config!$C$1:$C$311,MATCH(E494,Config!$D$1:$D$311,0)),""))))</f>
        <v/>
      </c>
      <c r="E494" s="12" t="s">
        <v>2</v>
      </c>
      <c r="F494" s="13" t="s">
        <v>2</v>
      </c>
      <c r="G494" s="14" t="str">
        <f>=IF(C494="","",SUMIF($C$17:$C$502,C494,$F$17:$F$502))</f>
        <v/>
      </c>
      <c r="H494" s="14" t="str">
        <f>=IFERROR($B$14/$B$10,"")</f>
        <v/>
      </c>
      <c r="I494" s="15" t="str">
        <f>=IFERROR(G494/H494,"")</f>
        <v/>
      </c>
      <c r="J494" s="16" t="str">
        <f>=IF(F494="","",F494/3600)</f>
        <v/>
      </c>
      <c r="K494" s="11" t="str">
        <f>=IF(L494="","",IF(ISNUMBER(FIND("|",L494)),TRIM(LEFT(L494,FIND("|",L494)-1)),IF(ISNUMBER(MATCH(L494,Config!$F$1:$F$853,0)),L494,IFERROR(INDEX(Config!$F$1:$F$853,MATCH(L494,Config!$G$1:$G$853,0)),""))))</f>
        <v/>
      </c>
      <c r="L494" s="17" t="str">
        <f>=IFERROR(INDEX($L$17:L493,MATCH(C494,$C$17:C493,0)),"")</f>
        <v/>
      </c>
    </row>
    <row r="495" ht="18" customHeight="1" spans="1:12" x14ac:dyDescent="0.25">
      <c r="A495" s="10" t="s">
        <v>2</v>
      </c>
      <c r="B495" s="10" t="s">
        <v>2</v>
      </c>
      <c r="C495" s="10" t="s">
        <v>2</v>
      </c>
      <c r="D495" s="11" t="str">
        <f>=IF(E495="","",IF(ISNUMBER(FIND("|",E495)),TRIM(LEFT(E495,FIND("|",E495)-1)),IF(ISNUMBER(MATCH(E495,Config!$C$1:$C$311,0)),E495,IFERROR(INDEX(Config!$C$1:$C$311,MATCH(E495,Config!$D$1:$D$311,0)),""))))</f>
        <v/>
      </c>
      <c r="E495" s="12" t="s">
        <v>2</v>
      </c>
      <c r="F495" s="13" t="s">
        <v>2</v>
      </c>
      <c r="G495" s="14" t="str">
        <f>=IF(C495="","",SUMIF($C$17:$C$502,C495,$F$17:$F$502))</f>
        <v/>
      </c>
      <c r="H495" s="14" t="str">
        <f>=IFERROR($B$14/$B$10,"")</f>
        <v/>
      </c>
      <c r="I495" s="15" t="str">
        <f>=IFERROR(G495/H495,"")</f>
        <v/>
      </c>
      <c r="J495" s="16" t="str">
        <f>=IF(F495="","",F495/3600)</f>
        <v/>
      </c>
      <c r="K495" s="11" t="str">
        <f>=IF(L495="","",IF(ISNUMBER(FIND("|",L495)),TRIM(LEFT(L495,FIND("|",L495)-1)),IF(ISNUMBER(MATCH(L495,Config!$F$1:$F$853,0)),L495,IFERROR(INDEX(Config!$F$1:$F$853,MATCH(L495,Config!$G$1:$G$853,0)),""))))</f>
        <v/>
      </c>
      <c r="L495" s="17" t="str">
        <f>=IFERROR(INDEX($L$17:L494,MATCH(C495,$C$17:C494,0)),"")</f>
        <v/>
      </c>
    </row>
    <row r="496" ht="18" customHeight="1" spans="1:12" x14ac:dyDescent="0.25">
      <c r="A496" s="10" t="s">
        <v>2</v>
      </c>
      <c r="B496" s="10" t="s">
        <v>2</v>
      </c>
      <c r="C496" s="10" t="s">
        <v>2</v>
      </c>
      <c r="D496" s="11" t="str">
        <f>=IF(E496="","",IF(ISNUMBER(FIND("|",E496)),TRIM(LEFT(E496,FIND("|",E496)-1)),IF(ISNUMBER(MATCH(E496,Config!$C$1:$C$311,0)),E496,IFERROR(INDEX(Config!$C$1:$C$311,MATCH(E496,Config!$D$1:$D$311,0)),""))))</f>
        <v/>
      </c>
      <c r="E496" s="12" t="s">
        <v>2</v>
      </c>
      <c r="F496" s="13" t="s">
        <v>2</v>
      </c>
      <c r="G496" s="14" t="str">
        <f>=IF(C496="","",SUMIF($C$17:$C$502,C496,$F$17:$F$502))</f>
        <v/>
      </c>
      <c r="H496" s="14" t="str">
        <f>=IFERROR($B$14/$B$10,"")</f>
        <v/>
      </c>
      <c r="I496" s="15" t="str">
        <f>=IFERROR(G496/H496,"")</f>
        <v/>
      </c>
      <c r="J496" s="16" t="str">
        <f>=IF(F496="","",F496/3600)</f>
        <v/>
      </c>
      <c r="K496" s="11" t="str">
        <f>=IF(L496="","",IF(ISNUMBER(FIND("|",L496)),TRIM(LEFT(L496,FIND("|",L496)-1)),IF(ISNUMBER(MATCH(L496,Config!$F$1:$F$853,0)),L496,IFERROR(INDEX(Config!$F$1:$F$853,MATCH(L496,Config!$G$1:$G$853,0)),""))))</f>
        <v/>
      </c>
      <c r="L496" s="17" t="str">
        <f>=IFERROR(INDEX($L$17:L495,MATCH(C496,$C$17:C495,0)),"")</f>
        <v/>
      </c>
    </row>
    <row r="497" ht="18" customHeight="1" spans="1:12" x14ac:dyDescent="0.25">
      <c r="A497" s="10" t="s">
        <v>2</v>
      </c>
      <c r="B497" s="10" t="s">
        <v>2</v>
      </c>
      <c r="C497" s="10" t="s">
        <v>2</v>
      </c>
      <c r="D497" s="11" t="str">
        <f>=IF(E497="","",IF(ISNUMBER(FIND("|",E497)),TRIM(LEFT(E497,FIND("|",E497)-1)),IF(ISNUMBER(MATCH(E497,Config!$C$1:$C$311,0)),E497,IFERROR(INDEX(Config!$C$1:$C$311,MATCH(E497,Config!$D$1:$D$311,0)),""))))</f>
        <v/>
      </c>
      <c r="E497" s="12" t="s">
        <v>2</v>
      </c>
      <c r="F497" s="13" t="s">
        <v>2</v>
      </c>
      <c r="G497" s="14" t="str">
        <f>=IF(C497="","",SUMIF($C$17:$C$502,C497,$F$17:$F$502))</f>
        <v/>
      </c>
      <c r="H497" s="14" t="str">
        <f>=IFERROR($B$14/$B$10,"")</f>
        <v/>
      </c>
      <c r="I497" s="15" t="str">
        <f>=IFERROR(G497/H497,"")</f>
        <v/>
      </c>
      <c r="J497" s="16" t="str">
        <f>=IF(F497="","",F497/3600)</f>
        <v/>
      </c>
      <c r="K497" s="11" t="str">
        <f>=IF(L497="","",IF(ISNUMBER(FIND("|",L497)),TRIM(LEFT(L497,FIND("|",L497)-1)),IF(ISNUMBER(MATCH(L497,Config!$F$1:$F$853,0)),L497,IFERROR(INDEX(Config!$F$1:$F$853,MATCH(L497,Config!$G$1:$G$853,0)),""))))</f>
        <v/>
      </c>
      <c r="L497" s="17" t="str">
        <f>=IFERROR(INDEX($L$17:L496,MATCH(C497,$C$17:C496,0)),"")</f>
        <v/>
      </c>
    </row>
    <row r="498" ht="18" customHeight="1" spans="1:12" x14ac:dyDescent="0.25">
      <c r="A498" s="10" t="s">
        <v>2</v>
      </c>
      <c r="B498" s="10" t="s">
        <v>2</v>
      </c>
      <c r="C498" s="10" t="s">
        <v>2</v>
      </c>
      <c r="D498" s="11" t="str">
        <f>=IF(E498="","",IF(ISNUMBER(FIND("|",E498)),TRIM(LEFT(E498,FIND("|",E498)-1)),IF(ISNUMBER(MATCH(E498,Config!$C$1:$C$311,0)),E498,IFERROR(INDEX(Config!$C$1:$C$311,MATCH(E498,Config!$D$1:$D$311,0)),""))))</f>
        <v/>
      </c>
      <c r="E498" s="12" t="s">
        <v>2</v>
      </c>
      <c r="F498" s="13" t="s">
        <v>2</v>
      </c>
      <c r="G498" s="14" t="str">
        <f>=IF(C498="","",SUMIF($C$17:$C$502,C498,$F$17:$F$502))</f>
        <v/>
      </c>
      <c r="H498" s="14" t="str">
        <f>=IFERROR($B$14/$B$10,"")</f>
        <v/>
      </c>
      <c r="I498" s="15" t="str">
        <f>=IFERROR(G498/H498,"")</f>
        <v/>
      </c>
      <c r="J498" s="16" t="str">
        <f>=IF(F498="","",F498/3600)</f>
        <v/>
      </c>
      <c r="K498" s="11" t="str">
        <f>=IF(L498="","",IF(ISNUMBER(FIND("|",L498)),TRIM(LEFT(L498,FIND("|",L498)-1)),IF(ISNUMBER(MATCH(L498,Config!$F$1:$F$853,0)),L498,IFERROR(INDEX(Config!$F$1:$F$853,MATCH(L498,Config!$G$1:$G$853,0)),""))))</f>
        <v/>
      </c>
      <c r="L498" s="17" t="str">
        <f>=IFERROR(INDEX($L$17:L497,MATCH(C498,$C$17:C497,0)),"")</f>
        <v/>
      </c>
    </row>
    <row r="499" ht="18" customHeight="1" spans="1:12" x14ac:dyDescent="0.25">
      <c r="A499" s="10" t="s">
        <v>2</v>
      </c>
      <c r="B499" s="10" t="s">
        <v>2</v>
      </c>
      <c r="C499" s="10" t="s">
        <v>2</v>
      </c>
      <c r="D499" s="11" t="str">
        <f>=IF(E499="","",IF(ISNUMBER(FIND("|",E499)),TRIM(LEFT(E499,FIND("|",E499)-1)),IF(ISNUMBER(MATCH(E499,Config!$C$1:$C$311,0)),E499,IFERROR(INDEX(Config!$C$1:$C$311,MATCH(E499,Config!$D$1:$D$311,0)),""))))</f>
        <v/>
      </c>
      <c r="E499" s="12" t="s">
        <v>2</v>
      </c>
      <c r="F499" s="13" t="s">
        <v>2</v>
      </c>
      <c r="G499" s="14" t="str">
        <f>=IF(C499="","",SUMIF($C$17:$C$502,C499,$F$17:$F$502))</f>
        <v/>
      </c>
      <c r="H499" s="14" t="str">
        <f>=IFERROR($B$14/$B$10,"")</f>
        <v/>
      </c>
      <c r="I499" s="15" t="str">
        <f>=IFERROR(G499/H499,"")</f>
        <v/>
      </c>
      <c r="J499" s="16" t="str">
        <f>=IF(F499="","",F499/3600)</f>
        <v/>
      </c>
      <c r="K499" s="11" t="str">
        <f>=IF(L499="","",IF(ISNUMBER(FIND("|",L499)),TRIM(LEFT(L499,FIND("|",L499)-1)),IF(ISNUMBER(MATCH(L499,Config!$F$1:$F$853,0)),L499,IFERROR(INDEX(Config!$F$1:$F$853,MATCH(L499,Config!$G$1:$G$853,0)),""))))</f>
        <v/>
      </c>
      <c r="L499" s="17" t="str">
        <f>=IFERROR(INDEX($L$17:L498,MATCH(C499,$C$17:C498,0)),"")</f>
        <v/>
      </c>
    </row>
    <row r="500" ht="18" customHeight="1" spans="1:12" x14ac:dyDescent="0.25">
      <c r="A500" s="10" t="s">
        <v>2</v>
      </c>
      <c r="B500" s="10" t="s">
        <v>2</v>
      </c>
      <c r="C500" s="10" t="s">
        <v>2</v>
      </c>
      <c r="D500" s="11" t="str">
        <f>=IF(E500="","",IF(ISNUMBER(FIND("|",E500)),TRIM(LEFT(E500,FIND("|",E500)-1)),IF(ISNUMBER(MATCH(E500,Config!$C$1:$C$311,0)),E500,IFERROR(INDEX(Config!$C$1:$C$311,MATCH(E500,Config!$D$1:$D$311,0)),""))))</f>
        <v/>
      </c>
      <c r="E500" s="12" t="s">
        <v>2</v>
      </c>
      <c r="F500" s="13" t="s">
        <v>2</v>
      </c>
      <c r="G500" s="14" t="str">
        <f>=IF(C500="","",SUMIF($C$17:$C$502,C500,$F$17:$F$502))</f>
        <v/>
      </c>
      <c r="H500" s="14" t="str">
        <f>=IFERROR($B$14/$B$10,"")</f>
        <v/>
      </c>
      <c r="I500" s="15" t="str">
        <f>=IFERROR(G500/H500,"")</f>
        <v/>
      </c>
      <c r="J500" s="16" t="str">
        <f>=IF(F500="","",F500/3600)</f>
        <v/>
      </c>
      <c r="K500" s="11" t="str">
        <f>=IF(L500="","",IF(ISNUMBER(FIND("|",L500)),TRIM(LEFT(L500,FIND("|",L500)-1)),IF(ISNUMBER(MATCH(L500,Config!$F$1:$F$853,0)),L500,IFERROR(INDEX(Config!$F$1:$F$853,MATCH(L500,Config!$G$1:$G$853,0)),""))))</f>
        <v/>
      </c>
      <c r="L500" s="17" t="str">
        <f>=IFERROR(INDEX($L$17:L499,MATCH(C500,$C$17:C499,0)),"")</f>
        <v/>
      </c>
    </row>
    <row r="501" ht="18" customHeight="1" spans="1:12" x14ac:dyDescent="0.25">
      <c r="A501" s="10" t="s">
        <v>2</v>
      </c>
      <c r="B501" s="10" t="s">
        <v>2</v>
      </c>
      <c r="C501" s="10" t="s">
        <v>2</v>
      </c>
      <c r="D501" s="11" t="str">
        <f>=IF(E501="","",IF(ISNUMBER(FIND("|",E501)),TRIM(LEFT(E501,FIND("|",E501)-1)),IF(ISNUMBER(MATCH(E501,Config!$C$1:$C$311,0)),E501,IFERROR(INDEX(Config!$C$1:$C$311,MATCH(E501,Config!$D$1:$D$311,0)),""))))</f>
        <v/>
      </c>
      <c r="E501" s="12" t="s">
        <v>2</v>
      </c>
      <c r="F501" s="13" t="s">
        <v>2</v>
      </c>
      <c r="G501" s="14" t="str">
        <f>=IF(C501="","",SUMIF($C$17:$C$502,C501,$F$17:$F$502))</f>
        <v/>
      </c>
      <c r="H501" s="14" t="str">
        <f>=IFERROR($B$14/$B$10,"")</f>
        <v/>
      </c>
      <c r="I501" s="15" t="str">
        <f>=IFERROR(G501/H501,"")</f>
        <v/>
      </c>
      <c r="J501" s="16" t="str">
        <f>=IF(F501="","",F501/3600)</f>
        <v/>
      </c>
      <c r="K501" s="11" t="str">
        <f>=IF(L501="","",IF(ISNUMBER(FIND("|",L501)),TRIM(LEFT(L501,FIND("|",L501)-1)),IF(ISNUMBER(MATCH(L501,Config!$F$1:$F$853,0)),L501,IFERROR(INDEX(Config!$F$1:$F$853,MATCH(L501,Config!$G$1:$G$853,0)),""))))</f>
        <v/>
      </c>
      <c r="L501" s="17" t="str">
        <f>=IFERROR(INDEX($L$17:L500,MATCH(C501,$C$17:C500,0)),"")</f>
        <v/>
      </c>
    </row>
    <row r="502" ht="18" customHeight="1" spans="1:12" x14ac:dyDescent="0.25">
      <c r="A502" s="10" t="s">
        <v>2</v>
      </c>
      <c r="B502" s="10" t="s">
        <v>2</v>
      </c>
      <c r="C502" s="10" t="s">
        <v>2</v>
      </c>
      <c r="D502" s="11" t="str">
        <f>=IF(E502="","",IF(ISNUMBER(FIND("|",E502)),TRIM(LEFT(E502,FIND("|",E502)-1)),IF(ISNUMBER(MATCH(E502,Config!$C$1:$C$311,0)),E502,IFERROR(INDEX(Config!$C$1:$C$311,MATCH(E502,Config!$D$1:$D$311,0)),""))))</f>
        <v/>
      </c>
      <c r="E502" s="12" t="s">
        <v>2</v>
      </c>
      <c r="F502" s="13" t="s">
        <v>2</v>
      </c>
      <c r="G502" s="14" t="str">
        <f>=IF(C502="","",SUMIF($C$17:$C$502,C502,$F$17:$F$502))</f>
        <v/>
      </c>
      <c r="H502" s="14" t="str">
        <f>=IFERROR($B$14/$B$10,"")</f>
        <v/>
      </c>
      <c r="I502" s="15" t="str">
        <f>=IFERROR(G502/H502,"")</f>
        <v/>
      </c>
      <c r="J502" s="16" t="str">
        <f>=IF(F502="","",F502/3600)</f>
        <v/>
      </c>
      <c r="K502" s="11" t="str">
        <f>=IF(L502="","",IF(ISNUMBER(FIND("|",L502)),TRIM(LEFT(L502,FIND("|",L502)-1)),IF(ISNUMBER(MATCH(L502,Config!$F$1:$F$853,0)),L502,IFERROR(INDEX(Config!$F$1:$F$853,MATCH(L502,Config!$G$1:$G$853,0)),""))))</f>
        <v/>
      </c>
      <c r="L502" s="17" t="str">
        <f>=IFERROR(INDEX($L$17:L501,MATCH(C502,$C$17:C501,0)),"")</f>
        <v/>
      </c>
    </row>
  </sheetData>
  <mergeCells count="13">
    <mergeCell ref="A1:L1"/>
    <mergeCell ref="C3:L3"/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</mergeCells>
  <dataValidations count="10">
    <dataValidation type="list" allowBlank="1" sqref="A100:A502">
      <formula1>Config!$B$1:$B$50</formula1>
    </dataValidation>
    <dataValidation type="list" allowBlank="1" sqref="A17:A502">
      <formula1>Config!$B$1:$B$50</formula1>
    </dataValidation>
    <dataValidation type="list" allowBlank="1" sqref="B100:B502">
      <formula1>Config!$I$1:$I$2</formula1>
    </dataValidation>
    <dataValidation type="list" allowBlank="1" sqref="B17:B502">
      <formula1>Config!$I$1:$I$2</formula1>
    </dataValidation>
    <dataValidation type="list" allowBlank="1" sqref="C100:C502">
      <formula1>Config!$A$1:$A$100</formula1>
    </dataValidation>
    <dataValidation type="list" allowBlank="1" sqref="C17:C502">
      <formula1>Config!$A$1:$A$100</formula1>
    </dataValidation>
    <dataValidation type="list" allowBlank="1" sqref="E100:E502">
      <formula1>Config!$E$1:$E$311</formula1>
    </dataValidation>
    <dataValidation type="list" allowBlank="1" sqref="E17:E502">
      <formula1>Config!$E$1:$E$311</formula1>
    </dataValidation>
    <dataValidation type="list" allowBlank="1" sqref="L100:L502">
      <formula1>Config!$H$1:$H$853</formula1>
    </dataValidation>
    <dataValidation type="list" allowBlank="1" sqref="L17:L502">
      <formula1>Config!$H$1:$H$853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853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9" x14ac:dyDescent="0.25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</row>
    <row r="2" spans="1:9" x14ac:dyDescent="0.25">
      <c r="A2" t="s">
        <v>221</v>
      </c>
      <c r="B2" t="s">
        <v>222</v>
      </c>
      <c r="C2" t="s">
        <v>223</v>
      </c>
      <c r="D2" t="s">
        <v>224</v>
      </c>
      <c r="E2" t="s">
        <v>225</v>
      </c>
      <c r="F2" t="s">
        <v>226</v>
      </c>
      <c r="G2" t="s">
        <v>227</v>
      </c>
      <c r="H2" t="s">
        <v>228</v>
      </c>
      <c r="I2" t="s">
        <v>229</v>
      </c>
    </row>
    <row r="3" spans="1:9" x14ac:dyDescent="0.25">
      <c r="A3" t="s">
        <v>230</v>
      </c>
      <c r="B3" t="s">
        <v>231</v>
      </c>
      <c r="C3" t="s">
        <v>232</v>
      </c>
      <c r="D3" t="s">
        <v>233</v>
      </c>
      <c r="E3" t="s">
        <v>234</v>
      </c>
      <c r="F3" t="s">
        <v>235</v>
      </c>
      <c r="G3" t="s">
        <v>236</v>
      </c>
      <c r="H3" t="s">
        <v>237</v>
      </c>
    </row>
    <row r="4" spans="1:9" x14ac:dyDescent="0.25">
      <c r="A4" t="s">
        <v>238</v>
      </c>
      <c r="B4" t="s">
        <v>239</v>
      </c>
      <c r="C4" t="s">
        <v>240</v>
      </c>
      <c r="D4" t="s">
        <v>241</v>
      </c>
      <c r="E4" t="s">
        <v>242</v>
      </c>
      <c r="F4" t="s">
        <v>243</v>
      </c>
      <c r="G4" t="s">
        <v>244</v>
      </c>
      <c r="H4" t="s">
        <v>245</v>
      </c>
    </row>
    <row r="5" spans="1:9" x14ac:dyDescent="0.25">
      <c r="A5" t="s">
        <v>246</v>
      </c>
      <c r="B5" t="s">
        <v>247</v>
      </c>
      <c r="C5" t="s">
        <v>248</v>
      </c>
      <c r="D5" t="s">
        <v>249</v>
      </c>
      <c r="E5" t="s">
        <v>250</v>
      </c>
      <c r="F5" t="s">
        <v>251</v>
      </c>
      <c r="G5" t="s">
        <v>252</v>
      </c>
      <c r="H5" t="s">
        <v>253</v>
      </c>
    </row>
    <row r="6" spans="1:9" x14ac:dyDescent="0.25">
      <c r="A6" t="s">
        <v>254</v>
      </c>
      <c r="B6" t="s">
        <v>255</v>
      </c>
      <c r="C6" t="s">
        <v>256</v>
      </c>
      <c r="D6" t="s">
        <v>257</v>
      </c>
      <c r="E6" t="s">
        <v>258</v>
      </c>
      <c r="F6" t="s">
        <v>259</v>
      </c>
      <c r="G6" t="s">
        <v>260</v>
      </c>
      <c r="H6" t="s">
        <v>261</v>
      </c>
    </row>
    <row r="7" spans="1:9" x14ac:dyDescent="0.25">
      <c r="A7" t="s">
        <v>262</v>
      </c>
      <c r="B7" t="s">
        <v>263</v>
      </c>
      <c r="C7" t="s">
        <v>264</v>
      </c>
      <c r="D7" t="s">
        <v>265</v>
      </c>
      <c r="E7" t="s">
        <v>266</v>
      </c>
      <c r="F7" t="s">
        <v>267</v>
      </c>
      <c r="G7" t="s">
        <v>268</v>
      </c>
      <c r="H7" t="s">
        <v>269</v>
      </c>
    </row>
    <row r="8" spans="1:9" x14ac:dyDescent="0.25">
      <c r="A8" t="s">
        <v>270</v>
      </c>
      <c r="B8" t="s">
        <v>271</v>
      </c>
      <c r="C8" t="s">
        <v>272</v>
      </c>
      <c r="D8" t="s">
        <v>273</v>
      </c>
      <c r="E8" t="s">
        <v>274</v>
      </c>
      <c r="F8" t="s">
        <v>275</v>
      </c>
      <c r="G8" t="s">
        <v>276</v>
      </c>
      <c r="H8" t="s">
        <v>277</v>
      </c>
    </row>
    <row r="9" spans="1:9" x14ac:dyDescent="0.25">
      <c r="A9" t="s">
        <v>278</v>
      </c>
      <c r="B9" t="s">
        <v>279</v>
      </c>
      <c r="C9" t="s">
        <v>280</v>
      </c>
      <c r="D9" t="s">
        <v>281</v>
      </c>
      <c r="E9" t="s">
        <v>282</v>
      </c>
      <c r="F9" t="s">
        <v>283</v>
      </c>
      <c r="G9" t="s">
        <v>284</v>
      </c>
      <c r="H9" t="s">
        <v>285</v>
      </c>
    </row>
    <row r="10" spans="1:9" x14ac:dyDescent="0.25">
      <c r="A10" t="s">
        <v>286</v>
      </c>
      <c r="B10" t="s">
        <v>287</v>
      </c>
      <c r="C10" t="s">
        <v>288</v>
      </c>
      <c r="D10" t="s">
        <v>289</v>
      </c>
      <c r="E10" t="s">
        <v>290</v>
      </c>
      <c r="F10" t="s">
        <v>291</v>
      </c>
      <c r="G10" t="s">
        <v>292</v>
      </c>
      <c r="H10" t="s">
        <v>293</v>
      </c>
    </row>
    <row r="11" spans="1:9" x14ac:dyDescent="0.25">
      <c r="A11" t="s">
        <v>294</v>
      </c>
      <c r="B11" t="s">
        <v>295</v>
      </c>
      <c r="C11" t="s">
        <v>296</v>
      </c>
      <c r="D11" t="s">
        <v>297</v>
      </c>
      <c r="E11" t="s">
        <v>298</v>
      </c>
      <c r="F11" t="s">
        <v>299</v>
      </c>
      <c r="G11" t="s">
        <v>300</v>
      </c>
      <c r="H11" t="s">
        <v>301</v>
      </c>
    </row>
    <row r="12" spans="1:9" x14ac:dyDescent="0.25">
      <c r="A12" t="s">
        <v>302</v>
      </c>
      <c r="B12" t="s">
        <v>303</v>
      </c>
      <c r="C12" t="s">
        <v>304</v>
      </c>
      <c r="D12" t="s">
        <v>305</v>
      </c>
      <c r="E12" t="s">
        <v>306</v>
      </c>
      <c r="F12" t="s">
        <v>307</v>
      </c>
      <c r="G12" t="s">
        <v>308</v>
      </c>
      <c r="H12" t="s">
        <v>309</v>
      </c>
    </row>
    <row r="13" spans="1:9" x14ac:dyDescent="0.25">
      <c r="A13" t="s">
        <v>310</v>
      </c>
      <c r="B13" t="s">
        <v>311</v>
      </c>
      <c r="C13" t="s">
        <v>312</v>
      </c>
      <c r="D13" t="s">
        <v>313</v>
      </c>
      <c r="E13" t="s">
        <v>314</v>
      </c>
      <c r="F13" t="s">
        <v>315</v>
      </c>
      <c r="G13" t="s">
        <v>316</v>
      </c>
      <c r="H13" t="s">
        <v>317</v>
      </c>
    </row>
    <row r="14" spans="1:9" x14ac:dyDescent="0.25">
      <c r="A14" t="s">
        <v>318</v>
      </c>
      <c r="B14" t="s">
        <v>319</v>
      </c>
      <c r="C14" t="s">
        <v>320</v>
      </c>
      <c r="D14" t="s">
        <v>321</v>
      </c>
      <c r="E14" t="s">
        <v>322</v>
      </c>
      <c r="F14" t="s">
        <v>323</v>
      </c>
      <c r="G14" t="s">
        <v>324</v>
      </c>
      <c r="H14" t="s">
        <v>325</v>
      </c>
    </row>
    <row r="15" spans="1:9" x14ac:dyDescent="0.25">
      <c r="A15" t="s">
        <v>326</v>
      </c>
      <c r="B15" t="s">
        <v>327</v>
      </c>
      <c r="C15" t="s">
        <v>328</v>
      </c>
      <c r="D15" t="s">
        <v>329</v>
      </c>
      <c r="E15" t="s">
        <v>330</v>
      </c>
      <c r="F15" t="s">
        <v>331</v>
      </c>
      <c r="G15" t="s">
        <v>332</v>
      </c>
      <c r="H15" t="s">
        <v>333</v>
      </c>
    </row>
    <row r="16" spans="1:9" x14ac:dyDescent="0.25">
      <c r="A16" t="s">
        <v>334</v>
      </c>
      <c r="B16" t="s">
        <v>335</v>
      </c>
      <c r="C16" t="s">
        <v>336</v>
      </c>
      <c r="D16" t="s">
        <v>337</v>
      </c>
      <c r="E16" t="s">
        <v>338</v>
      </c>
      <c r="F16" t="s">
        <v>339</v>
      </c>
      <c r="G16" t="s">
        <v>332</v>
      </c>
      <c r="H16" t="s">
        <v>340</v>
      </c>
    </row>
    <row r="17" spans="1:9" x14ac:dyDescent="0.25">
      <c r="A17" t="s">
        <v>341</v>
      </c>
      <c r="B17" t="s">
        <v>342</v>
      </c>
      <c r="C17" t="s">
        <v>343</v>
      </c>
      <c r="D17" t="s">
        <v>344</v>
      </c>
      <c r="E17" t="s">
        <v>345</v>
      </c>
      <c r="F17" t="s">
        <v>346</v>
      </c>
      <c r="G17" t="s">
        <v>347</v>
      </c>
      <c r="H17" t="s">
        <v>348</v>
      </c>
    </row>
    <row r="18" spans="1:9" x14ac:dyDescent="0.25">
      <c r="A18" t="s">
        <v>349</v>
      </c>
      <c r="B18" t="s">
        <v>350</v>
      </c>
      <c r="C18" t="s">
        <v>351</v>
      </c>
      <c r="D18" t="s">
        <v>352</v>
      </c>
      <c r="E18" t="s">
        <v>353</v>
      </c>
      <c r="F18" t="s">
        <v>354</v>
      </c>
      <c r="G18" t="s">
        <v>355</v>
      </c>
      <c r="H18" t="s">
        <v>356</v>
      </c>
    </row>
    <row r="19" spans="1:9" x14ac:dyDescent="0.25">
      <c r="A19" t="s">
        <v>357</v>
      </c>
      <c r="B19" t="s">
        <v>358</v>
      </c>
      <c r="C19" t="s">
        <v>359</v>
      </c>
      <c r="D19" t="s">
        <v>360</v>
      </c>
      <c r="E19" t="s">
        <v>361</v>
      </c>
      <c r="F19" t="s">
        <v>362</v>
      </c>
      <c r="G19" t="s">
        <v>363</v>
      </c>
      <c r="H19" t="s">
        <v>364</v>
      </c>
    </row>
    <row r="20" spans="1:9" x14ac:dyDescent="0.25">
      <c r="A20" t="s">
        <v>365</v>
      </c>
      <c r="B20" t="s">
        <v>366</v>
      </c>
      <c r="C20" t="s">
        <v>367</v>
      </c>
      <c r="D20" t="s">
        <v>368</v>
      </c>
      <c r="E20" t="s">
        <v>369</v>
      </c>
      <c r="F20" t="s">
        <v>370</v>
      </c>
      <c r="G20" t="s">
        <v>371</v>
      </c>
      <c r="H20" t="s">
        <v>372</v>
      </c>
    </row>
    <row r="21" spans="1:9" x14ac:dyDescent="0.25">
      <c r="A21" t="s">
        <v>373</v>
      </c>
      <c r="B21" t="s">
        <v>374</v>
      </c>
      <c r="C21" t="s">
        <v>375</v>
      </c>
      <c r="D21" t="s">
        <v>376</v>
      </c>
      <c r="E21" t="s">
        <v>377</v>
      </c>
      <c r="F21" t="s">
        <v>378</v>
      </c>
      <c r="G21" t="s">
        <v>379</v>
      </c>
      <c r="H21" t="s">
        <v>380</v>
      </c>
    </row>
    <row r="22" spans="1:9" x14ac:dyDescent="0.25">
      <c r="A22" t="s">
        <v>381</v>
      </c>
      <c r="B22" t="s">
        <v>382</v>
      </c>
      <c r="C22" t="s">
        <v>383</v>
      </c>
      <c r="D22" t="s">
        <v>384</v>
      </c>
      <c r="E22" t="s">
        <v>385</v>
      </c>
      <c r="F22" t="s">
        <v>386</v>
      </c>
      <c r="G22" t="s">
        <v>387</v>
      </c>
      <c r="H22" t="s">
        <v>388</v>
      </c>
    </row>
    <row r="23" spans="1:9" x14ac:dyDescent="0.25">
      <c r="A23" t="s">
        <v>389</v>
      </c>
      <c r="B23" t="s">
        <v>390</v>
      </c>
      <c r="C23" t="s">
        <v>391</v>
      </c>
      <c r="D23" t="s">
        <v>392</v>
      </c>
      <c r="E23" t="s">
        <v>393</v>
      </c>
      <c r="F23" t="s">
        <v>394</v>
      </c>
      <c r="G23" t="s">
        <v>395</v>
      </c>
      <c r="H23" t="s">
        <v>396</v>
      </c>
    </row>
    <row r="24" spans="1:9" x14ac:dyDescent="0.25">
      <c r="A24" t="s">
        <v>397</v>
      </c>
      <c r="B24" t="s">
        <v>398</v>
      </c>
      <c r="C24" t="s">
        <v>399</v>
      </c>
      <c r="D24" t="s">
        <v>400</v>
      </c>
      <c r="E24" t="s">
        <v>401</v>
      </c>
      <c r="F24" t="s">
        <v>402</v>
      </c>
      <c r="G24" t="s">
        <v>403</v>
      </c>
      <c r="H24" t="s">
        <v>404</v>
      </c>
    </row>
    <row r="25" spans="1:9" x14ac:dyDescent="0.25">
      <c r="A25" t="s">
        <v>405</v>
      </c>
      <c r="B25" t="s">
        <v>406</v>
      </c>
      <c r="C25" t="s">
        <v>407</v>
      </c>
      <c r="D25" t="s">
        <v>408</v>
      </c>
      <c r="E25" t="s">
        <v>409</v>
      </c>
      <c r="F25" t="s">
        <v>410</v>
      </c>
      <c r="G25" t="s">
        <v>411</v>
      </c>
      <c r="H25" t="s">
        <v>412</v>
      </c>
    </row>
    <row r="26" spans="1:9" x14ac:dyDescent="0.25">
      <c r="A26" t="s">
        <v>413</v>
      </c>
      <c r="B26" t="s">
        <v>414</v>
      </c>
      <c r="C26" t="s">
        <v>415</v>
      </c>
      <c r="D26" t="s">
        <v>416</v>
      </c>
      <c r="E26" t="s">
        <v>417</v>
      </c>
      <c r="F26" t="s">
        <v>418</v>
      </c>
      <c r="G26" t="s">
        <v>419</v>
      </c>
      <c r="H26" t="s">
        <v>420</v>
      </c>
    </row>
    <row r="27" spans="1:9" x14ac:dyDescent="0.25">
      <c r="A27" t="s">
        <v>421</v>
      </c>
      <c r="B27" t="s">
        <v>422</v>
      </c>
      <c r="C27" t="s">
        <v>423</v>
      </c>
      <c r="D27" t="s">
        <v>424</v>
      </c>
      <c r="E27" t="s">
        <v>425</v>
      </c>
      <c r="F27" t="s">
        <v>426</v>
      </c>
      <c r="G27" t="s">
        <v>427</v>
      </c>
      <c r="H27" t="s">
        <v>428</v>
      </c>
    </row>
    <row r="28" spans="1:9" x14ac:dyDescent="0.25">
      <c r="A28" t="s">
        <v>429</v>
      </c>
      <c r="B28" t="s">
        <v>430</v>
      </c>
      <c r="C28" t="s">
        <v>431</v>
      </c>
      <c r="D28" t="s">
        <v>432</v>
      </c>
      <c r="E28" t="s">
        <v>433</v>
      </c>
      <c r="F28" t="s">
        <v>434</v>
      </c>
      <c r="G28" t="s">
        <v>435</v>
      </c>
      <c r="H28" t="s">
        <v>436</v>
      </c>
    </row>
    <row r="29" spans="1:9" x14ac:dyDescent="0.25">
      <c r="A29" t="s">
        <v>437</v>
      </c>
      <c r="B29" t="s">
        <v>438</v>
      </c>
      <c r="C29" t="s">
        <v>439</v>
      </c>
      <c r="D29" t="s">
        <v>440</v>
      </c>
      <c r="E29" t="s">
        <v>441</v>
      </c>
      <c r="F29" t="s">
        <v>442</v>
      </c>
      <c r="G29" t="s">
        <v>443</v>
      </c>
      <c r="H29" t="s">
        <v>444</v>
      </c>
    </row>
    <row r="30" spans="1:9" x14ac:dyDescent="0.25">
      <c r="A30" t="s">
        <v>445</v>
      </c>
      <c r="B30" t="s">
        <v>446</v>
      </c>
      <c r="C30" t="s">
        <v>447</v>
      </c>
      <c r="D30" t="s">
        <v>448</v>
      </c>
      <c r="E30" t="s">
        <v>449</v>
      </c>
      <c r="F30" t="s">
        <v>450</v>
      </c>
      <c r="G30" t="s">
        <v>451</v>
      </c>
      <c r="H30" t="s">
        <v>452</v>
      </c>
    </row>
    <row r="31" spans="1:9" x14ac:dyDescent="0.25">
      <c r="A31" t="s">
        <v>453</v>
      </c>
      <c r="B31" t="s">
        <v>454</v>
      </c>
      <c r="C31" t="s">
        <v>455</v>
      </c>
      <c r="D31" t="s">
        <v>456</v>
      </c>
      <c r="E31" t="s">
        <v>457</v>
      </c>
      <c r="F31" t="s">
        <v>458</v>
      </c>
      <c r="G31" t="s">
        <v>459</v>
      </c>
      <c r="H31" t="s">
        <v>460</v>
      </c>
    </row>
    <row r="32" spans="1:9" x14ac:dyDescent="0.25">
      <c r="A32" t="s">
        <v>461</v>
      </c>
      <c r="B32" t="s">
        <v>462</v>
      </c>
      <c r="C32" t="s">
        <v>463</v>
      </c>
      <c r="D32" t="s">
        <v>464</v>
      </c>
      <c r="E32" t="s">
        <v>465</v>
      </c>
      <c r="F32" t="s">
        <v>466</v>
      </c>
      <c r="G32" t="s">
        <v>467</v>
      </c>
      <c r="H32" t="s">
        <v>468</v>
      </c>
    </row>
    <row r="33" spans="1:9" x14ac:dyDescent="0.25">
      <c r="A33" t="s">
        <v>469</v>
      </c>
      <c r="B33" t="s">
        <v>470</v>
      </c>
      <c r="C33" t="s">
        <v>471</v>
      </c>
      <c r="D33" t="s">
        <v>472</v>
      </c>
      <c r="E33" t="s">
        <v>473</v>
      </c>
      <c r="F33" t="s">
        <v>474</v>
      </c>
      <c r="G33" t="s">
        <v>475</v>
      </c>
      <c r="H33" t="s">
        <v>476</v>
      </c>
    </row>
    <row r="34" spans="1:9" x14ac:dyDescent="0.25">
      <c r="A34" t="s">
        <v>477</v>
      </c>
      <c r="B34" t="s">
        <v>478</v>
      </c>
      <c r="C34" t="s">
        <v>479</v>
      </c>
      <c r="D34" t="s">
        <v>480</v>
      </c>
      <c r="E34" t="s">
        <v>481</v>
      </c>
      <c r="F34" t="s">
        <v>482</v>
      </c>
      <c r="G34" t="s">
        <v>483</v>
      </c>
      <c r="H34" t="s">
        <v>484</v>
      </c>
    </row>
    <row r="35" spans="1:9" x14ac:dyDescent="0.25">
      <c r="A35" t="s">
        <v>485</v>
      </c>
      <c r="B35" t="s">
        <v>486</v>
      </c>
      <c r="C35" t="s">
        <v>487</v>
      </c>
      <c r="D35" t="s">
        <v>488</v>
      </c>
      <c r="E35" t="s">
        <v>489</v>
      </c>
      <c r="F35" t="s">
        <v>490</v>
      </c>
      <c r="G35" t="s">
        <v>491</v>
      </c>
      <c r="H35" t="s">
        <v>492</v>
      </c>
    </row>
    <row r="36" spans="1:9" x14ac:dyDescent="0.25">
      <c r="A36" t="s">
        <v>493</v>
      </c>
      <c r="B36" t="s">
        <v>494</v>
      </c>
      <c r="C36" t="s">
        <v>495</v>
      </c>
      <c r="D36" t="s">
        <v>496</v>
      </c>
      <c r="E36" t="s">
        <v>497</v>
      </c>
      <c r="F36" t="s">
        <v>498</v>
      </c>
      <c r="G36" t="s">
        <v>499</v>
      </c>
      <c r="H36" t="s">
        <v>500</v>
      </c>
    </row>
    <row r="37" spans="1:9" x14ac:dyDescent="0.25">
      <c r="A37" t="s">
        <v>501</v>
      </c>
      <c r="B37" t="s">
        <v>502</v>
      </c>
      <c r="C37" t="s">
        <v>503</v>
      </c>
      <c r="D37" t="s">
        <v>504</v>
      </c>
      <c r="E37" t="s">
        <v>505</v>
      </c>
      <c r="F37" t="s">
        <v>506</v>
      </c>
      <c r="G37" t="s">
        <v>507</v>
      </c>
      <c r="H37" t="s">
        <v>508</v>
      </c>
    </row>
    <row r="38" spans="1:9" x14ac:dyDescent="0.25">
      <c r="A38" t="s">
        <v>509</v>
      </c>
      <c r="B38" t="s">
        <v>510</v>
      </c>
      <c r="C38" t="s">
        <v>511</v>
      </c>
      <c r="D38" t="s">
        <v>512</v>
      </c>
      <c r="E38" t="s">
        <v>513</v>
      </c>
      <c r="F38" t="s">
        <v>514</v>
      </c>
      <c r="G38" t="s">
        <v>515</v>
      </c>
      <c r="H38" t="s">
        <v>516</v>
      </c>
    </row>
    <row r="39" spans="1:9" x14ac:dyDescent="0.25">
      <c r="A39" t="s">
        <v>517</v>
      </c>
      <c r="B39" t="s">
        <v>518</v>
      </c>
      <c r="C39" t="s">
        <v>519</v>
      </c>
      <c r="D39" t="s">
        <v>520</v>
      </c>
      <c r="E39" t="s">
        <v>521</v>
      </c>
      <c r="F39" t="s">
        <v>522</v>
      </c>
      <c r="G39" t="s">
        <v>523</v>
      </c>
      <c r="H39" t="s">
        <v>524</v>
      </c>
    </row>
    <row r="40" spans="1:9" x14ac:dyDescent="0.25">
      <c r="A40" t="s">
        <v>525</v>
      </c>
      <c r="B40" t="s">
        <v>526</v>
      </c>
      <c r="C40" t="s">
        <v>527</v>
      </c>
      <c r="D40" t="s">
        <v>528</v>
      </c>
      <c r="E40" t="s">
        <v>529</v>
      </c>
      <c r="F40" t="s">
        <v>530</v>
      </c>
      <c r="G40" t="s">
        <v>531</v>
      </c>
      <c r="H40" t="s">
        <v>532</v>
      </c>
    </row>
    <row r="41" spans="1:9" x14ac:dyDescent="0.25">
      <c r="A41" t="s">
        <v>533</v>
      </c>
      <c r="B41" t="s">
        <v>534</v>
      </c>
      <c r="C41" t="s">
        <v>535</v>
      </c>
      <c r="D41" t="s">
        <v>536</v>
      </c>
      <c r="E41" t="s">
        <v>537</v>
      </c>
      <c r="F41" t="s">
        <v>538</v>
      </c>
      <c r="G41" t="s">
        <v>539</v>
      </c>
      <c r="H41" t="s">
        <v>540</v>
      </c>
    </row>
    <row r="42" spans="1:9" x14ac:dyDescent="0.25">
      <c r="A42" t="s">
        <v>541</v>
      </c>
      <c r="B42" t="s">
        <v>542</v>
      </c>
      <c r="C42" t="s">
        <v>543</v>
      </c>
      <c r="D42" t="s">
        <v>544</v>
      </c>
      <c r="E42" t="s">
        <v>545</v>
      </c>
      <c r="F42" t="s">
        <v>546</v>
      </c>
      <c r="G42" t="s">
        <v>547</v>
      </c>
      <c r="H42" t="s">
        <v>548</v>
      </c>
    </row>
    <row r="43" spans="1:9" x14ac:dyDescent="0.25">
      <c r="A43" t="s">
        <v>549</v>
      </c>
      <c r="B43" t="s">
        <v>550</v>
      </c>
      <c r="C43" t="s">
        <v>551</v>
      </c>
      <c r="D43" t="s">
        <v>552</v>
      </c>
      <c r="E43" t="s">
        <v>553</v>
      </c>
      <c r="F43" t="s">
        <v>554</v>
      </c>
      <c r="G43" t="s">
        <v>555</v>
      </c>
      <c r="H43" t="s">
        <v>556</v>
      </c>
    </row>
    <row r="44" spans="1:9" x14ac:dyDescent="0.25">
      <c r="A44" t="s">
        <v>557</v>
      </c>
      <c r="B44" t="s">
        <v>558</v>
      </c>
      <c r="C44" t="s">
        <v>559</v>
      </c>
      <c r="D44" t="s">
        <v>560</v>
      </c>
      <c r="E44" t="s">
        <v>561</v>
      </c>
      <c r="F44" t="s">
        <v>562</v>
      </c>
      <c r="G44" t="s">
        <v>563</v>
      </c>
      <c r="H44" t="s">
        <v>564</v>
      </c>
    </row>
    <row r="45" spans="1:9" x14ac:dyDescent="0.25">
      <c r="A45" t="s">
        <v>565</v>
      </c>
      <c r="B45" t="s">
        <v>566</v>
      </c>
      <c r="C45" t="s">
        <v>567</v>
      </c>
      <c r="D45" t="s">
        <v>568</v>
      </c>
      <c r="E45" t="s">
        <v>569</v>
      </c>
      <c r="F45" t="s">
        <v>570</v>
      </c>
      <c r="G45" t="s">
        <v>571</v>
      </c>
      <c r="H45" t="s">
        <v>572</v>
      </c>
    </row>
    <row r="46" spans="1:9" x14ac:dyDescent="0.25">
      <c r="A46" t="s">
        <v>573</v>
      </c>
      <c r="B46" t="s">
        <v>574</v>
      </c>
      <c r="C46" t="s">
        <v>575</v>
      </c>
      <c r="D46" t="s">
        <v>576</v>
      </c>
      <c r="E46" t="s">
        <v>577</v>
      </c>
      <c r="F46" t="s">
        <v>578</v>
      </c>
      <c r="G46" t="s">
        <v>579</v>
      </c>
      <c r="H46" t="s">
        <v>580</v>
      </c>
    </row>
    <row r="47" spans="1:9" x14ac:dyDescent="0.25">
      <c r="A47" t="s">
        <v>581</v>
      </c>
      <c r="B47" t="s">
        <v>582</v>
      </c>
      <c r="C47" t="s">
        <v>583</v>
      </c>
      <c r="D47" t="s">
        <v>584</v>
      </c>
      <c r="E47" t="s">
        <v>585</v>
      </c>
      <c r="F47" t="s">
        <v>586</v>
      </c>
      <c r="G47" t="s">
        <v>587</v>
      </c>
      <c r="H47" t="s">
        <v>588</v>
      </c>
    </row>
    <row r="48" spans="1:9" x14ac:dyDescent="0.25">
      <c r="A48" t="s">
        <v>589</v>
      </c>
      <c r="B48" t="s">
        <v>590</v>
      </c>
      <c r="C48" t="s">
        <v>591</v>
      </c>
      <c r="D48" t="s">
        <v>592</v>
      </c>
      <c r="E48" t="s">
        <v>593</v>
      </c>
      <c r="F48" t="s">
        <v>594</v>
      </c>
      <c r="G48" t="s">
        <v>595</v>
      </c>
      <c r="H48" t="s">
        <v>596</v>
      </c>
    </row>
    <row r="49" spans="1:9" x14ac:dyDescent="0.25">
      <c r="A49" t="s">
        <v>597</v>
      </c>
      <c r="B49" t="s">
        <v>598</v>
      </c>
      <c r="C49" t="s">
        <v>599</v>
      </c>
      <c r="D49" t="s">
        <v>600</v>
      </c>
      <c r="E49" t="s">
        <v>601</v>
      </c>
      <c r="F49" t="s">
        <v>602</v>
      </c>
      <c r="G49" t="s">
        <v>603</v>
      </c>
      <c r="H49" t="s">
        <v>604</v>
      </c>
    </row>
    <row r="50" spans="1:9" x14ac:dyDescent="0.25">
      <c r="A50" t="s">
        <v>605</v>
      </c>
      <c r="B50" t="s">
        <v>606</v>
      </c>
      <c r="C50" t="s">
        <v>607</v>
      </c>
      <c r="D50" t="s">
        <v>608</v>
      </c>
      <c r="E50" t="s">
        <v>609</v>
      </c>
      <c r="F50" t="s">
        <v>610</v>
      </c>
      <c r="G50" t="s">
        <v>611</v>
      </c>
      <c r="H50" t="s">
        <v>612</v>
      </c>
    </row>
    <row r="51" spans="1:9" x14ac:dyDescent="0.25">
      <c r="A51" t="s">
        <v>613</v>
      </c>
      <c r="C51" t="s">
        <v>614</v>
      </c>
      <c r="D51" t="s">
        <v>615</v>
      </c>
      <c r="E51" t="s">
        <v>616</v>
      </c>
      <c r="F51" t="s">
        <v>617</v>
      </c>
      <c r="G51" t="s">
        <v>618</v>
      </c>
      <c r="H51" t="s">
        <v>619</v>
      </c>
    </row>
    <row r="52" spans="1:9" x14ac:dyDescent="0.25">
      <c r="A52" t="s">
        <v>620</v>
      </c>
      <c r="C52" t="s">
        <v>621</v>
      </c>
      <c r="D52" t="s">
        <v>622</v>
      </c>
      <c r="E52" t="s">
        <v>623</v>
      </c>
      <c r="F52" t="s">
        <v>624</v>
      </c>
      <c r="G52" t="s">
        <v>625</v>
      </c>
      <c r="H52" t="s">
        <v>626</v>
      </c>
    </row>
    <row r="53" spans="1:9" x14ac:dyDescent="0.25">
      <c r="A53" t="s">
        <v>627</v>
      </c>
      <c r="C53" t="s">
        <v>628</v>
      </c>
      <c r="D53" t="s">
        <v>629</v>
      </c>
      <c r="E53" t="s">
        <v>630</v>
      </c>
      <c r="F53" t="s">
        <v>631</v>
      </c>
      <c r="G53" t="s">
        <v>632</v>
      </c>
      <c r="H53" t="s">
        <v>633</v>
      </c>
    </row>
    <row r="54" spans="1:9" x14ac:dyDescent="0.25">
      <c r="A54" t="s">
        <v>634</v>
      </c>
      <c r="C54" t="s">
        <v>635</v>
      </c>
      <c r="D54" t="s">
        <v>636</v>
      </c>
      <c r="E54" t="s">
        <v>637</v>
      </c>
      <c r="F54" t="s">
        <v>638</v>
      </c>
      <c r="G54" t="s">
        <v>639</v>
      </c>
      <c r="H54" t="s">
        <v>640</v>
      </c>
    </row>
    <row r="55" spans="1:9" x14ac:dyDescent="0.25">
      <c r="A55" t="s">
        <v>641</v>
      </c>
      <c r="C55" t="s">
        <v>642</v>
      </c>
      <c r="D55" t="s">
        <v>643</v>
      </c>
      <c r="E55" t="s">
        <v>644</v>
      </c>
      <c r="F55" t="s">
        <v>645</v>
      </c>
      <c r="G55" t="s">
        <v>646</v>
      </c>
      <c r="H55" t="s">
        <v>647</v>
      </c>
    </row>
    <row r="56" spans="1:9" x14ac:dyDescent="0.25">
      <c r="A56" t="s">
        <v>648</v>
      </c>
      <c r="C56" t="s">
        <v>649</v>
      </c>
      <c r="D56" t="s">
        <v>650</v>
      </c>
      <c r="E56" t="s">
        <v>651</v>
      </c>
      <c r="F56" t="s">
        <v>652</v>
      </c>
      <c r="G56" t="s">
        <v>653</v>
      </c>
      <c r="H56" t="s">
        <v>654</v>
      </c>
    </row>
    <row r="57" spans="1:9" x14ac:dyDescent="0.25">
      <c r="A57" t="s">
        <v>655</v>
      </c>
      <c r="C57" t="s">
        <v>656</v>
      </c>
      <c r="D57" t="s">
        <v>657</v>
      </c>
      <c r="E57" t="s">
        <v>658</v>
      </c>
      <c r="F57" t="s">
        <v>659</v>
      </c>
      <c r="G57" t="s">
        <v>660</v>
      </c>
      <c r="H57" t="s">
        <v>661</v>
      </c>
    </row>
    <row r="58" spans="1:9" x14ac:dyDescent="0.25">
      <c r="A58" t="s">
        <v>662</v>
      </c>
      <c r="C58" t="s">
        <v>663</v>
      </c>
      <c r="D58" t="s">
        <v>664</v>
      </c>
      <c r="E58" t="s">
        <v>665</v>
      </c>
      <c r="F58" t="s">
        <v>666</v>
      </c>
      <c r="G58" t="s">
        <v>667</v>
      </c>
      <c r="H58" t="s">
        <v>668</v>
      </c>
    </row>
    <row r="59" spans="1:9" x14ac:dyDescent="0.25">
      <c r="A59" t="s">
        <v>669</v>
      </c>
      <c r="C59" t="s">
        <v>670</v>
      </c>
      <c r="D59" t="s">
        <v>671</v>
      </c>
      <c r="E59" t="s">
        <v>672</v>
      </c>
      <c r="F59" t="s">
        <v>673</v>
      </c>
      <c r="G59" t="s">
        <v>674</v>
      </c>
      <c r="H59" t="s">
        <v>675</v>
      </c>
    </row>
    <row r="60" spans="1:9" x14ac:dyDescent="0.25">
      <c r="A60" t="s">
        <v>676</v>
      </c>
      <c r="C60" t="s">
        <v>677</v>
      </c>
      <c r="D60" t="s">
        <v>678</v>
      </c>
      <c r="E60" t="s">
        <v>679</v>
      </c>
      <c r="F60" t="s">
        <v>680</v>
      </c>
      <c r="G60" t="s">
        <v>681</v>
      </c>
      <c r="H60" t="s">
        <v>682</v>
      </c>
    </row>
    <row r="61" spans="1:9" x14ac:dyDescent="0.25">
      <c r="A61" t="s">
        <v>683</v>
      </c>
      <c r="C61" t="s">
        <v>684</v>
      </c>
      <c r="D61" t="s">
        <v>685</v>
      </c>
      <c r="E61" t="s">
        <v>686</v>
      </c>
      <c r="F61" t="s">
        <v>687</v>
      </c>
      <c r="G61" t="s">
        <v>688</v>
      </c>
      <c r="H61" t="s">
        <v>689</v>
      </c>
    </row>
    <row r="62" spans="1:9" x14ac:dyDescent="0.25">
      <c r="A62" t="s">
        <v>690</v>
      </c>
      <c r="C62" t="s">
        <v>691</v>
      </c>
      <c r="D62" t="s">
        <v>692</v>
      </c>
      <c r="E62" t="s">
        <v>693</v>
      </c>
      <c r="F62" t="s">
        <v>694</v>
      </c>
      <c r="G62" t="s">
        <v>695</v>
      </c>
      <c r="H62" t="s">
        <v>696</v>
      </c>
    </row>
    <row r="63" spans="1:9" x14ac:dyDescent="0.25">
      <c r="A63" t="s">
        <v>697</v>
      </c>
      <c r="C63" t="s">
        <v>698</v>
      </c>
      <c r="D63" t="s">
        <v>699</v>
      </c>
      <c r="E63" t="s">
        <v>700</v>
      </c>
      <c r="F63" t="s">
        <v>701</v>
      </c>
      <c r="G63" t="s">
        <v>702</v>
      </c>
      <c r="H63" t="s">
        <v>703</v>
      </c>
    </row>
    <row r="64" spans="1:9" x14ac:dyDescent="0.25">
      <c r="A64" t="s">
        <v>704</v>
      </c>
      <c r="C64" t="s">
        <v>705</v>
      </c>
      <c r="D64" t="s">
        <v>706</v>
      </c>
      <c r="E64" t="s">
        <v>707</v>
      </c>
      <c r="F64" t="s">
        <v>708</v>
      </c>
      <c r="G64" t="s">
        <v>709</v>
      </c>
      <c r="H64" t="s">
        <v>710</v>
      </c>
    </row>
    <row r="65" spans="1:9" x14ac:dyDescent="0.25">
      <c r="A65" t="s">
        <v>711</v>
      </c>
      <c r="C65" t="s">
        <v>712</v>
      </c>
      <c r="D65" t="s">
        <v>713</v>
      </c>
      <c r="E65" t="s">
        <v>714</v>
      </c>
      <c r="F65" t="s">
        <v>715</v>
      </c>
      <c r="G65" t="s">
        <v>716</v>
      </c>
      <c r="H65" t="s">
        <v>717</v>
      </c>
    </row>
    <row r="66" spans="1:9" x14ac:dyDescent="0.25">
      <c r="A66" t="s">
        <v>718</v>
      </c>
      <c r="C66" t="s">
        <v>719</v>
      </c>
      <c r="D66" t="s">
        <v>720</v>
      </c>
      <c r="E66" t="s">
        <v>721</v>
      </c>
      <c r="F66" t="s">
        <v>722</v>
      </c>
      <c r="G66" t="s">
        <v>723</v>
      </c>
      <c r="H66" t="s">
        <v>724</v>
      </c>
    </row>
    <row r="67" spans="1:9" x14ac:dyDescent="0.25">
      <c r="A67" t="s">
        <v>725</v>
      </c>
      <c r="C67" t="s">
        <v>726</v>
      </c>
      <c r="D67" t="s">
        <v>727</v>
      </c>
      <c r="E67" t="s">
        <v>728</v>
      </c>
      <c r="F67" t="s">
        <v>729</v>
      </c>
      <c r="G67" t="s">
        <v>730</v>
      </c>
      <c r="H67" t="s">
        <v>731</v>
      </c>
    </row>
    <row r="68" spans="1:9" x14ac:dyDescent="0.25">
      <c r="A68" t="s">
        <v>732</v>
      </c>
      <c r="C68" t="s">
        <v>733</v>
      </c>
      <c r="D68" t="s">
        <v>734</v>
      </c>
      <c r="E68" t="s">
        <v>735</v>
      </c>
      <c r="F68" t="s">
        <v>736</v>
      </c>
      <c r="G68" t="s">
        <v>737</v>
      </c>
      <c r="H68" t="s">
        <v>738</v>
      </c>
    </row>
    <row r="69" spans="1:9" x14ac:dyDescent="0.25">
      <c r="A69" t="s">
        <v>739</v>
      </c>
      <c r="C69" t="s">
        <v>740</v>
      </c>
      <c r="D69" t="s">
        <v>741</v>
      </c>
      <c r="E69" t="s">
        <v>742</v>
      </c>
      <c r="F69" t="s">
        <v>743</v>
      </c>
      <c r="G69" t="s">
        <v>744</v>
      </c>
      <c r="H69" t="s">
        <v>745</v>
      </c>
    </row>
    <row r="70" spans="1:9" x14ac:dyDescent="0.25">
      <c r="A70" t="s">
        <v>746</v>
      </c>
      <c r="C70" t="s">
        <v>747</v>
      </c>
      <c r="D70" t="s">
        <v>748</v>
      </c>
      <c r="E70" t="s">
        <v>749</v>
      </c>
      <c r="F70" t="s">
        <v>750</v>
      </c>
      <c r="G70" t="s">
        <v>751</v>
      </c>
      <c r="H70" t="s">
        <v>752</v>
      </c>
    </row>
    <row r="71" spans="1:9" x14ac:dyDescent="0.25">
      <c r="A71" t="s">
        <v>753</v>
      </c>
      <c r="C71" t="s">
        <v>754</v>
      </c>
      <c r="D71" t="s">
        <v>755</v>
      </c>
      <c r="E71" t="s">
        <v>756</v>
      </c>
      <c r="F71" t="s">
        <v>757</v>
      </c>
      <c r="G71" t="s">
        <v>758</v>
      </c>
      <c r="H71" t="s">
        <v>759</v>
      </c>
    </row>
    <row r="72" spans="1:9" x14ac:dyDescent="0.25">
      <c r="A72" t="s">
        <v>760</v>
      </c>
      <c r="C72" t="s">
        <v>761</v>
      </c>
      <c r="D72" t="s">
        <v>762</v>
      </c>
      <c r="E72" t="s">
        <v>763</v>
      </c>
      <c r="F72" t="s">
        <v>764</v>
      </c>
      <c r="G72" t="s">
        <v>765</v>
      </c>
      <c r="H72" t="s">
        <v>766</v>
      </c>
    </row>
    <row r="73" spans="1:9" x14ac:dyDescent="0.25">
      <c r="A73" t="s">
        <v>767</v>
      </c>
      <c r="C73" t="s">
        <v>768</v>
      </c>
      <c r="D73" t="s">
        <v>769</v>
      </c>
      <c r="E73" t="s">
        <v>770</v>
      </c>
      <c r="F73" t="s">
        <v>771</v>
      </c>
      <c r="G73" t="s">
        <v>772</v>
      </c>
      <c r="H73" t="s">
        <v>773</v>
      </c>
    </row>
    <row r="74" spans="1:9" x14ac:dyDescent="0.25">
      <c r="A74" t="s">
        <v>774</v>
      </c>
      <c r="C74" t="s">
        <v>775</v>
      </c>
      <c r="D74" t="s">
        <v>776</v>
      </c>
      <c r="E74" t="s">
        <v>777</v>
      </c>
      <c r="F74" t="s">
        <v>778</v>
      </c>
      <c r="G74" t="s">
        <v>779</v>
      </c>
      <c r="H74" t="s">
        <v>780</v>
      </c>
    </row>
    <row r="75" spans="1:9" x14ac:dyDescent="0.25">
      <c r="A75" t="s">
        <v>781</v>
      </c>
      <c r="C75" t="s">
        <v>782</v>
      </c>
      <c r="D75" t="s">
        <v>783</v>
      </c>
      <c r="E75" t="s">
        <v>784</v>
      </c>
      <c r="F75" t="s">
        <v>785</v>
      </c>
      <c r="G75" t="s">
        <v>786</v>
      </c>
      <c r="H75" t="s">
        <v>787</v>
      </c>
    </row>
    <row r="76" spans="1:9" x14ac:dyDescent="0.25">
      <c r="A76" t="s">
        <v>788</v>
      </c>
      <c r="C76" t="s">
        <v>789</v>
      </c>
      <c r="D76" t="s">
        <v>790</v>
      </c>
      <c r="E76" t="s">
        <v>791</v>
      </c>
      <c r="F76" t="s">
        <v>792</v>
      </c>
      <c r="G76" t="s">
        <v>793</v>
      </c>
      <c r="H76" t="s">
        <v>794</v>
      </c>
    </row>
    <row r="77" spans="1:9" x14ac:dyDescent="0.25">
      <c r="A77" t="s">
        <v>795</v>
      </c>
      <c r="C77" t="s">
        <v>796</v>
      </c>
      <c r="D77" t="s">
        <v>797</v>
      </c>
      <c r="E77" t="s">
        <v>798</v>
      </c>
      <c r="F77" t="s">
        <v>799</v>
      </c>
      <c r="G77" t="s">
        <v>800</v>
      </c>
      <c r="H77" t="s">
        <v>801</v>
      </c>
    </row>
    <row r="78" spans="1:9" x14ac:dyDescent="0.25">
      <c r="A78" t="s">
        <v>802</v>
      </c>
      <c r="C78" t="s">
        <v>803</v>
      </c>
      <c r="D78" t="s">
        <v>804</v>
      </c>
      <c r="E78" t="s">
        <v>805</v>
      </c>
      <c r="F78" t="s">
        <v>806</v>
      </c>
      <c r="G78" t="s">
        <v>807</v>
      </c>
      <c r="H78" t="s">
        <v>808</v>
      </c>
    </row>
    <row r="79" spans="1:9" x14ac:dyDescent="0.25">
      <c r="A79" t="s">
        <v>809</v>
      </c>
      <c r="C79" t="s">
        <v>810</v>
      </c>
      <c r="D79" t="s">
        <v>811</v>
      </c>
      <c r="E79" t="s">
        <v>812</v>
      </c>
      <c r="F79" t="s">
        <v>813</v>
      </c>
      <c r="G79" t="s">
        <v>814</v>
      </c>
      <c r="H79" t="s">
        <v>815</v>
      </c>
    </row>
    <row r="80" spans="1:9" x14ac:dyDescent="0.25">
      <c r="A80" t="s">
        <v>816</v>
      </c>
      <c r="C80" t="s">
        <v>817</v>
      </c>
      <c r="D80" t="s">
        <v>818</v>
      </c>
      <c r="E80" t="s">
        <v>819</v>
      </c>
      <c r="F80" t="s">
        <v>820</v>
      </c>
      <c r="G80" t="s">
        <v>821</v>
      </c>
      <c r="H80" t="s">
        <v>822</v>
      </c>
    </row>
    <row r="81" spans="1:9" x14ac:dyDescent="0.25">
      <c r="A81" t="s">
        <v>823</v>
      </c>
      <c r="C81" t="s">
        <v>824</v>
      </c>
      <c r="D81" t="s">
        <v>825</v>
      </c>
      <c r="E81" t="s">
        <v>826</v>
      </c>
      <c r="F81" t="s">
        <v>827</v>
      </c>
      <c r="G81" t="s">
        <v>828</v>
      </c>
      <c r="H81" t="s">
        <v>829</v>
      </c>
    </row>
    <row r="82" spans="1:9" x14ac:dyDescent="0.25">
      <c r="A82" t="s">
        <v>830</v>
      </c>
      <c r="C82" t="s">
        <v>831</v>
      </c>
      <c r="D82" t="s">
        <v>832</v>
      </c>
      <c r="E82" t="s">
        <v>833</v>
      </c>
      <c r="F82" t="s">
        <v>834</v>
      </c>
      <c r="G82" t="s">
        <v>835</v>
      </c>
      <c r="H82" t="s">
        <v>836</v>
      </c>
    </row>
    <row r="83" spans="1:9" x14ac:dyDescent="0.25">
      <c r="A83" t="s">
        <v>837</v>
      </c>
      <c r="C83" t="s">
        <v>838</v>
      </c>
      <c r="D83" t="s">
        <v>839</v>
      </c>
      <c r="E83" t="s">
        <v>840</v>
      </c>
      <c r="F83" t="s">
        <v>841</v>
      </c>
      <c r="G83" t="s">
        <v>842</v>
      </c>
      <c r="H83" t="s">
        <v>843</v>
      </c>
    </row>
    <row r="84" spans="1:9" x14ac:dyDescent="0.25">
      <c r="A84" t="s">
        <v>844</v>
      </c>
      <c r="C84" t="s">
        <v>845</v>
      </c>
      <c r="D84" t="s">
        <v>846</v>
      </c>
      <c r="E84" t="s">
        <v>847</v>
      </c>
      <c r="F84" t="s">
        <v>848</v>
      </c>
      <c r="G84" t="s">
        <v>849</v>
      </c>
      <c r="H84" t="s">
        <v>850</v>
      </c>
    </row>
    <row r="85" spans="1:9" x14ac:dyDescent="0.25">
      <c r="A85" t="s">
        <v>851</v>
      </c>
      <c r="C85" t="s">
        <v>852</v>
      </c>
      <c r="D85" t="s">
        <v>853</v>
      </c>
      <c r="E85" t="s">
        <v>854</v>
      </c>
      <c r="F85" t="s">
        <v>855</v>
      </c>
      <c r="G85" t="s">
        <v>856</v>
      </c>
      <c r="H85" t="s">
        <v>857</v>
      </c>
    </row>
    <row r="86" spans="1:9" x14ac:dyDescent="0.25">
      <c r="A86" t="s">
        <v>858</v>
      </c>
      <c r="C86" t="s">
        <v>859</v>
      </c>
      <c r="D86" t="s">
        <v>860</v>
      </c>
      <c r="E86" t="s">
        <v>861</v>
      </c>
      <c r="F86" t="s">
        <v>862</v>
      </c>
      <c r="G86" t="s">
        <v>863</v>
      </c>
      <c r="H86" t="s">
        <v>864</v>
      </c>
    </row>
    <row r="87" spans="1:9" x14ac:dyDescent="0.25">
      <c r="A87" t="s">
        <v>865</v>
      </c>
      <c r="C87" t="s">
        <v>866</v>
      </c>
      <c r="D87" t="s">
        <v>867</v>
      </c>
      <c r="E87" t="s">
        <v>868</v>
      </c>
      <c r="F87" t="s">
        <v>869</v>
      </c>
      <c r="G87" t="s">
        <v>870</v>
      </c>
      <c r="H87" t="s">
        <v>871</v>
      </c>
    </row>
    <row r="88" spans="1:9" x14ac:dyDescent="0.25">
      <c r="A88" t="s">
        <v>872</v>
      </c>
      <c r="C88" t="s">
        <v>873</v>
      </c>
      <c r="D88" t="s">
        <v>874</v>
      </c>
      <c r="E88" t="s">
        <v>875</v>
      </c>
      <c r="F88" t="s">
        <v>876</v>
      </c>
      <c r="G88" t="s">
        <v>877</v>
      </c>
      <c r="H88" t="s">
        <v>878</v>
      </c>
    </row>
    <row r="89" spans="1:9" x14ac:dyDescent="0.25">
      <c r="A89" t="s">
        <v>879</v>
      </c>
      <c r="C89" t="s">
        <v>880</v>
      </c>
      <c r="D89" t="s">
        <v>881</v>
      </c>
      <c r="E89" t="s">
        <v>882</v>
      </c>
      <c r="F89" t="s">
        <v>883</v>
      </c>
      <c r="G89" t="s">
        <v>884</v>
      </c>
      <c r="H89" t="s">
        <v>885</v>
      </c>
    </row>
    <row r="90" spans="1:9" x14ac:dyDescent="0.25">
      <c r="A90" t="s">
        <v>886</v>
      </c>
      <c r="C90" t="s">
        <v>887</v>
      </c>
      <c r="D90" t="s">
        <v>888</v>
      </c>
      <c r="E90" t="s">
        <v>889</v>
      </c>
      <c r="F90" t="s">
        <v>890</v>
      </c>
      <c r="G90" t="s">
        <v>891</v>
      </c>
      <c r="H90" t="s">
        <v>892</v>
      </c>
    </row>
    <row r="91" spans="1:9" x14ac:dyDescent="0.25">
      <c r="A91" t="s">
        <v>893</v>
      </c>
      <c r="C91" t="s">
        <v>894</v>
      </c>
      <c r="D91" t="s">
        <v>895</v>
      </c>
      <c r="E91" t="s">
        <v>896</v>
      </c>
      <c r="F91" t="s">
        <v>897</v>
      </c>
      <c r="G91" t="s">
        <v>898</v>
      </c>
      <c r="H91" t="s">
        <v>899</v>
      </c>
    </row>
    <row r="92" spans="1:9" x14ac:dyDescent="0.25">
      <c r="A92" t="s">
        <v>900</v>
      </c>
      <c r="C92" t="s">
        <v>901</v>
      </c>
      <c r="D92" t="s">
        <v>902</v>
      </c>
      <c r="E92" t="s">
        <v>903</v>
      </c>
      <c r="F92" t="s">
        <v>904</v>
      </c>
      <c r="G92" t="s">
        <v>905</v>
      </c>
      <c r="H92" t="s">
        <v>906</v>
      </c>
    </row>
    <row r="93" spans="1:9" x14ac:dyDescent="0.25">
      <c r="A93" t="s">
        <v>907</v>
      </c>
      <c r="C93" t="s">
        <v>908</v>
      </c>
      <c r="D93" t="s">
        <v>909</v>
      </c>
      <c r="E93" t="s">
        <v>910</v>
      </c>
      <c r="F93" t="s">
        <v>911</v>
      </c>
      <c r="G93" t="s">
        <v>905</v>
      </c>
      <c r="H93" t="s">
        <v>912</v>
      </c>
    </row>
    <row r="94" spans="1:9" x14ac:dyDescent="0.25">
      <c r="A94" t="s">
        <v>913</v>
      </c>
      <c r="C94" t="s">
        <v>914</v>
      </c>
      <c r="D94" t="s">
        <v>915</v>
      </c>
      <c r="E94" t="s">
        <v>916</v>
      </c>
      <c r="F94" t="s">
        <v>917</v>
      </c>
      <c r="G94" t="s">
        <v>905</v>
      </c>
      <c r="H94" t="s">
        <v>918</v>
      </c>
    </row>
    <row r="95" spans="1:9" x14ac:dyDescent="0.25">
      <c r="A95" t="s">
        <v>919</v>
      </c>
      <c r="C95" t="s">
        <v>920</v>
      </c>
      <c r="D95" t="s">
        <v>921</v>
      </c>
      <c r="E95" t="s">
        <v>922</v>
      </c>
      <c r="F95" t="s">
        <v>923</v>
      </c>
      <c r="G95" t="s">
        <v>924</v>
      </c>
      <c r="H95" t="s">
        <v>925</v>
      </c>
    </row>
    <row r="96" spans="1:9" x14ac:dyDescent="0.25">
      <c r="A96" t="s">
        <v>926</v>
      </c>
      <c r="C96" t="s">
        <v>927</v>
      </c>
      <c r="D96" t="s">
        <v>928</v>
      </c>
      <c r="E96" t="s">
        <v>929</v>
      </c>
      <c r="F96" t="s">
        <v>930</v>
      </c>
      <c r="G96" t="s">
        <v>931</v>
      </c>
      <c r="H96" t="s">
        <v>932</v>
      </c>
    </row>
    <row r="97" spans="1:9" x14ac:dyDescent="0.25">
      <c r="A97" t="s">
        <v>933</v>
      </c>
      <c r="C97" t="s">
        <v>934</v>
      </c>
      <c r="D97" t="s">
        <v>935</v>
      </c>
      <c r="E97" t="s">
        <v>936</v>
      </c>
      <c r="F97" t="s">
        <v>937</v>
      </c>
      <c r="G97" t="s">
        <v>938</v>
      </c>
      <c r="H97" t="s">
        <v>939</v>
      </c>
    </row>
    <row r="98" spans="1:9" x14ac:dyDescent="0.25">
      <c r="A98" t="s">
        <v>940</v>
      </c>
      <c r="C98" t="s">
        <v>941</v>
      </c>
      <c r="D98" t="s">
        <v>942</v>
      </c>
      <c r="E98" t="s">
        <v>943</v>
      </c>
      <c r="F98" t="s">
        <v>944</v>
      </c>
      <c r="G98" t="s">
        <v>945</v>
      </c>
      <c r="H98" t="s">
        <v>946</v>
      </c>
    </row>
    <row r="99" spans="1:9" x14ac:dyDescent="0.25">
      <c r="A99" t="s">
        <v>947</v>
      </c>
      <c r="C99" t="s">
        <v>948</v>
      </c>
      <c r="D99" t="s">
        <v>949</v>
      </c>
      <c r="E99" t="s">
        <v>950</v>
      </c>
      <c r="F99" t="s">
        <v>951</v>
      </c>
      <c r="G99" t="s">
        <v>945</v>
      </c>
      <c r="H99" t="s">
        <v>952</v>
      </c>
    </row>
    <row r="100" spans="1:9" x14ac:dyDescent="0.25">
      <c r="A100" t="s">
        <v>953</v>
      </c>
      <c r="C100" t="s">
        <v>954</v>
      </c>
      <c r="D100" t="s">
        <v>955</v>
      </c>
      <c r="E100" t="s">
        <v>956</v>
      </c>
      <c r="F100" t="s">
        <v>957</v>
      </c>
      <c r="G100" t="s">
        <v>958</v>
      </c>
      <c r="H100" t="s">
        <v>959</v>
      </c>
    </row>
    <row r="101" spans="1:9" x14ac:dyDescent="0.25">
      <c r="C101" t="s">
        <v>960</v>
      </c>
      <c r="D101" t="s">
        <v>961</v>
      </c>
      <c r="E101" t="s">
        <v>962</v>
      </c>
      <c r="F101" t="s">
        <v>963</v>
      </c>
      <c r="G101" t="s">
        <v>964</v>
      </c>
      <c r="H101" t="s">
        <v>965</v>
      </c>
    </row>
    <row r="102" spans="1:9" x14ac:dyDescent="0.25">
      <c r="C102" t="s">
        <v>966</v>
      </c>
      <c r="D102" t="s">
        <v>967</v>
      </c>
      <c r="E102" t="s">
        <v>968</v>
      </c>
      <c r="F102" t="s">
        <v>969</v>
      </c>
      <c r="G102" t="s">
        <v>970</v>
      </c>
      <c r="H102" t="s">
        <v>971</v>
      </c>
    </row>
    <row r="103" spans="1:9" x14ac:dyDescent="0.25">
      <c r="C103" t="s">
        <v>972</v>
      </c>
      <c r="D103" t="s">
        <v>973</v>
      </c>
      <c r="E103" t="s">
        <v>974</v>
      </c>
      <c r="F103" t="s">
        <v>975</v>
      </c>
      <c r="G103" t="s">
        <v>976</v>
      </c>
      <c r="H103" t="s">
        <v>977</v>
      </c>
    </row>
    <row r="104" spans="1:9" x14ac:dyDescent="0.25">
      <c r="C104" t="s">
        <v>978</v>
      </c>
      <c r="D104" t="s">
        <v>979</v>
      </c>
      <c r="E104" t="s">
        <v>980</v>
      </c>
      <c r="F104" t="s">
        <v>981</v>
      </c>
      <c r="G104" t="s">
        <v>982</v>
      </c>
      <c r="H104" t="s">
        <v>983</v>
      </c>
    </row>
    <row r="105" spans="1:9" x14ac:dyDescent="0.25">
      <c r="C105" t="s">
        <v>984</v>
      </c>
      <c r="D105" t="s">
        <v>985</v>
      </c>
      <c r="E105" t="s">
        <v>986</v>
      </c>
      <c r="F105" t="s">
        <v>987</v>
      </c>
      <c r="G105" t="s">
        <v>988</v>
      </c>
      <c r="H105" t="s">
        <v>989</v>
      </c>
    </row>
    <row r="106" spans="1:9" x14ac:dyDescent="0.25">
      <c r="C106" t="s">
        <v>990</v>
      </c>
      <c r="D106" t="s">
        <v>991</v>
      </c>
      <c r="E106" t="s">
        <v>992</v>
      </c>
      <c r="F106" t="s">
        <v>993</v>
      </c>
      <c r="G106" t="s">
        <v>994</v>
      </c>
      <c r="H106" t="s">
        <v>995</v>
      </c>
    </row>
    <row r="107" spans="1:9" x14ac:dyDescent="0.25">
      <c r="C107" t="s">
        <v>996</v>
      </c>
      <c r="D107" t="s">
        <v>997</v>
      </c>
      <c r="E107" t="s">
        <v>998</v>
      </c>
      <c r="F107" t="s">
        <v>999</v>
      </c>
      <c r="G107" t="s">
        <v>1000</v>
      </c>
      <c r="H107" t="s">
        <v>1001</v>
      </c>
    </row>
    <row r="108" spans="1:9" x14ac:dyDescent="0.25">
      <c r="C108" t="s">
        <v>1002</v>
      </c>
      <c r="D108" t="s">
        <v>1003</v>
      </c>
      <c r="E108" t="s">
        <v>1004</v>
      </c>
      <c r="F108" t="s">
        <v>1005</v>
      </c>
      <c r="G108" t="s">
        <v>1006</v>
      </c>
      <c r="H108" t="s">
        <v>1007</v>
      </c>
    </row>
    <row r="109" spans="1:9" x14ac:dyDescent="0.25">
      <c r="C109" t="s">
        <v>1008</v>
      </c>
      <c r="D109" t="s">
        <v>1009</v>
      </c>
      <c r="E109" t="s">
        <v>1010</v>
      </c>
      <c r="F109" t="s">
        <v>1011</v>
      </c>
      <c r="G109" t="s">
        <v>1012</v>
      </c>
      <c r="H109" t="s">
        <v>1013</v>
      </c>
    </row>
    <row r="110" spans="1:9" x14ac:dyDescent="0.25">
      <c r="C110" t="s">
        <v>1014</v>
      </c>
      <c r="D110" t="s">
        <v>1015</v>
      </c>
      <c r="E110" t="s">
        <v>1016</v>
      </c>
      <c r="F110" t="s">
        <v>1017</v>
      </c>
      <c r="G110" t="s">
        <v>1018</v>
      </c>
      <c r="H110" t="s">
        <v>1019</v>
      </c>
    </row>
    <row r="111" spans="1:9" x14ac:dyDescent="0.25">
      <c r="C111" t="s">
        <v>1020</v>
      </c>
      <c r="D111" t="s">
        <v>1021</v>
      </c>
      <c r="E111" t="s">
        <v>1022</v>
      </c>
      <c r="F111" t="s">
        <v>1023</v>
      </c>
      <c r="G111" t="s">
        <v>1024</v>
      </c>
      <c r="H111" t="s">
        <v>1025</v>
      </c>
    </row>
    <row r="112" spans="1:9" x14ac:dyDescent="0.25">
      <c r="C112" t="s">
        <v>1026</v>
      </c>
      <c r="D112" t="s">
        <v>1027</v>
      </c>
      <c r="E112" t="s">
        <v>1028</v>
      </c>
      <c r="F112" t="s">
        <v>1029</v>
      </c>
      <c r="G112" t="s">
        <v>1030</v>
      </c>
      <c r="H112" t="s">
        <v>1031</v>
      </c>
    </row>
    <row r="113" spans="1:9" x14ac:dyDescent="0.25">
      <c r="C113" t="s">
        <v>1032</v>
      </c>
      <c r="D113" t="s">
        <v>1033</v>
      </c>
      <c r="E113" t="s">
        <v>1034</v>
      </c>
      <c r="F113" t="s">
        <v>1035</v>
      </c>
      <c r="G113" t="s">
        <v>1036</v>
      </c>
      <c r="H113" t="s">
        <v>1037</v>
      </c>
    </row>
    <row r="114" spans="1:9" x14ac:dyDescent="0.25">
      <c r="C114" t="s">
        <v>1038</v>
      </c>
      <c r="D114" t="s">
        <v>1039</v>
      </c>
      <c r="E114" t="s">
        <v>1040</v>
      </c>
      <c r="F114" t="s">
        <v>1041</v>
      </c>
      <c r="G114" t="s">
        <v>1042</v>
      </c>
      <c r="H114" t="s">
        <v>1043</v>
      </c>
    </row>
    <row r="115" spans="1:9" x14ac:dyDescent="0.25">
      <c r="C115" t="s">
        <v>1044</v>
      </c>
      <c r="D115" t="s">
        <v>1045</v>
      </c>
      <c r="E115" t="s">
        <v>1046</v>
      </c>
      <c r="F115" t="s">
        <v>1047</v>
      </c>
      <c r="G115" t="s">
        <v>1048</v>
      </c>
      <c r="H115" t="s">
        <v>1049</v>
      </c>
    </row>
    <row r="116" spans="1:9" x14ac:dyDescent="0.25">
      <c r="C116" t="s">
        <v>1050</v>
      </c>
      <c r="D116" t="s">
        <v>1051</v>
      </c>
      <c r="E116" t="s">
        <v>1052</v>
      </c>
      <c r="F116" t="s">
        <v>1053</v>
      </c>
      <c r="G116" t="s">
        <v>1054</v>
      </c>
      <c r="H116" t="s">
        <v>1055</v>
      </c>
    </row>
    <row r="117" spans="1:9" x14ac:dyDescent="0.25">
      <c r="C117" t="s">
        <v>1056</v>
      </c>
      <c r="D117" t="s">
        <v>1057</v>
      </c>
      <c r="E117" t="s">
        <v>1058</v>
      </c>
      <c r="F117" t="s">
        <v>1059</v>
      </c>
      <c r="G117" t="s">
        <v>1060</v>
      </c>
      <c r="H117" t="s">
        <v>1061</v>
      </c>
    </row>
    <row r="118" spans="1:9" x14ac:dyDescent="0.25">
      <c r="C118" t="s">
        <v>1062</v>
      </c>
      <c r="D118" t="s">
        <v>1063</v>
      </c>
      <c r="E118" t="s">
        <v>1064</v>
      </c>
      <c r="F118" t="s">
        <v>1065</v>
      </c>
      <c r="G118" t="s">
        <v>1066</v>
      </c>
      <c r="H118" t="s">
        <v>1067</v>
      </c>
    </row>
    <row r="119" spans="1:9" x14ac:dyDescent="0.25">
      <c r="C119" t="s">
        <v>1068</v>
      </c>
      <c r="D119" t="s">
        <v>1069</v>
      </c>
      <c r="E119" t="s">
        <v>1070</v>
      </c>
      <c r="F119" t="s">
        <v>1071</v>
      </c>
      <c r="G119" t="s">
        <v>1072</v>
      </c>
      <c r="H119" t="s">
        <v>1073</v>
      </c>
    </row>
    <row r="120" spans="1:9" x14ac:dyDescent="0.25">
      <c r="C120" t="s">
        <v>1074</v>
      </c>
      <c r="D120" t="s">
        <v>1075</v>
      </c>
      <c r="E120" t="s">
        <v>1076</v>
      </c>
      <c r="F120" t="s">
        <v>1077</v>
      </c>
      <c r="G120" t="s">
        <v>1078</v>
      </c>
      <c r="H120" t="s">
        <v>1079</v>
      </c>
    </row>
    <row r="121" spans="1:9" x14ac:dyDescent="0.25">
      <c r="C121" t="s">
        <v>1080</v>
      </c>
      <c r="D121" t="s">
        <v>1081</v>
      </c>
      <c r="E121" t="s">
        <v>1082</v>
      </c>
      <c r="F121" t="s">
        <v>1083</v>
      </c>
      <c r="G121" t="s">
        <v>1084</v>
      </c>
      <c r="H121" t="s">
        <v>1085</v>
      </c>
    </row>
    <row r="122" spans="1:9" x14ac:dyDescent="0.25">
      <c r="C122" t="s">
        <v>1086</v>
      </c>
      <c r="D122" t="s">
        <v>1087</v>
      </c>
      <c r="E122" t="s">
        <v>1088</v>
      </c>
      <c r="F122" t="s">
        <v>1089</v>
      </c>
      <c r="G122" t="s">
        <v>1090</v>
      </c>
      <c r="H122" t="s">
        <v>1091</v>
      </c>
    </row>
    <row r="123" spans="1:9" x14ac:dyDescent="0.25">
      <c r="C123" t="s">
        <v>1092</v>
      </c>
      <c r="D123" t="s">
        <v>1093</v>
      </c>
      <c r="E123" t="s">
        <v>1094</v>
      </c>
      <c r="F123" t="s">
        <v>1095</v>
      </c>
      <c r="G123" t="s">
        <v>1090</v>
      </c>
      <c r="H123" t="s">
        <v>1096</v>
      </c>
    </row>
    <row r="124" spans="1:9" x14ac:dyDescent="0.25">
      <c r="C124" t="s">
        <v>1097</v>
      </c>
      <c r="D124" t="s">
        <v>1098</v>
      </c>
      <c r="E124" t="s">
        <v>1099</v>
      </c>
      <c r="F124" t="s">
        <v>1100</v>
      </c>
      <c r="G124" t="s">
        <v>1101</v>
      </c>
      <c r="H124" t="s">
        <v>1102</v>
      </c>
    </row>
    <row r="125" spans="1:9" x14ac:dyDescent="0.25">
      <c r="C125" t="s">
        <v>1103</v>
      </c>
      <c r="D125" t="s">
        <v>1104</v>
      </c>
      <c r="E125" t="s">
        <v>1105</v>
      </c>
      <c r="F125" t="s">
        <v>1106</v>
      </c>
      <c r="G125" t="s">
        <v>1107</v>
      </c>
      <c r="H125" t="s">
        <v>1108</v>
      </c>
    </row>
    <row r="126" spans="1:9" x14ac:dyDescent="0.25">
      <c r="C126" t="s">
        <v>1109</v>
      </c>
      <c r="D126" t="s">
        <v>1110</v>
      </c>
      <c r="E126" t="s">
        <v>1111</v>
      </c>
      <c r="F126" t="s">
        <v>1112</v>
      </c>
      <c r="G126" t="s">
        <v>1113</v>
      </c>
      <c r="H126" t="s">
        <v>1114</v>
      </c>
    </row>
    <row r="127" spans="1:9" x14ac:dyDescent="0.25">
      <c r="C127" t="s">
        <v>1115</v>
      </c>
      <c r="D127" t="s">
        <v>1116</v>
      </c>
      <c r="E127" t="s">
        <v>1117</v>
      </c>
      <c r="F127" t="s">
        <v>1118</v>
      </c>
      <c r="G127" t="s">
        <v>1119</v>
      </c>
      <c r="H127" t="s">
        <v>1120</v>
      </c>
    </row>
    <row r="128" spans="1:9" x14ac:dyDescent="0.25">
      <c r="C128" t="s">
        <v>1121</v>
      </c>
      <c r="D128" t="s">
        <v>1122</v>
      </c>
      <c r="E128" t="s">
        <v>1123</v>
      </c>
      <c r="F128" t="s">
        <v>1124</v>
      </c>
      <c r="G128" t="s">
        <v>1119</v>
      </c>
      <c r="H128" t="s">
        <v>1125</v>
      </c>
    </row>
    <row r="129" spans="1:9" x14ac:dyDescent="0.25">
      <c r="C129" t="s">
        <v>1126</v>
      </c>
      <c r="D129" t="s">
        <v>1127</v>
      </c>
      <c r="E129" t="s">
        <v>1128</v>
      </c>
      <c r="F129" t="s">
        <v>1129</v>
      </c>
      <c r="G129" t="s">
        <v>1130</v>
      </c>
      <c r="H129" t="s">
        <v>1131</v>
      </c>
    </row>
    <row r="130" spans="1:9" x14ac:dyDescent="0.25">
      <c r="C130" t="s">
        <v>1132</v>
      </c>
      <c r="D130" t="s">
        <v>1133</v>
      </c>
      <c r="E130" t="s">
        <v>1134</v>
      </c>
      <c r="F130" t="s">
        <v>1135</v>
      </c>
      <c r="G130" t="s">
        <v>1136</v>
      </c>
      <c r="H130" t="s">
        <v>1137</v>
      </c>
    </row>
    <row r="131" spans="1:9" x14ac:dyDescent="0.25">
      <c r="C131" t="s">
        <v>1138</v>
      </c>
      <c r="D131" t="s">
        <v>1139</v>
      </c>
      <c r="E131" t="s">
        <v>1140</v>
      </c>
      <c r="F131" t="s">
        <v>1141</v>
      </c>
      <c r="G131" t="s">
        <v>1142</v>
      </c>
      <c r="H131" t="s">
        <v>1143</v>
      </c>
    </row>
    <row r="132" spans="1:9" x14ac:dyDescent="0.25">
      <c r="C132" t="s">
        <v>1144</v>
      </c>
      <c r="D132" t="s">
        <v>1145</v>
      </c>
      <c r="E132" t="s">
        <v>1146</v>
      </c>
      <c r="F132" t="s">
        <v>1147</v>
      </c>
      <c r="G132" t="s">
        <v>1148</v>
      </c>
      <c r="H132" t="s">
        <v>1149</v>
      </c>
    </row>
    <row r="133" spans="1:9" x14ac:dyDescent="0.25">
      <c r="C133" t="s">
        <v>1150</v>
      </c>
      <c r="D133" t="s">
        <v>1151</v>
      </c>
      <c r="E133" t="s">
        <v>1152</v>
      </c>
      <c r="F133" t="s">
        <v>1153</v>
      </c>
      <c r="G133" t="s">
        <v>1154</v>
      </c>
      <c r="H133" t="s">
        <v>1155</v>
      </c>
    </row>
    <row r="134" spans="1:9" x14ac:dyDescent="0.25">
      <c r="C134" t="s">
        <v>1156</v>
      </c>
      <c r="D134" t="s">
        <v>1157</v>
      </c>
      <c r="E134" t="s">
        <v>1158</v>
      </c>
      <c r="F134" t="s">
        <v>1159</v>
      </c>
      <c r="G134" t="s">
        <v>1160</v>
      </c>
      <c r="H134" t="s">
        <v>1161</v>
      </c>
    </row>
    <row r="135" spans="1:9" x14ac:dyDescent="0.25">
      <c r="C135" t="s">
        <v>1162</v>
      </c>
      <c r="D135" t="s">
        <v>1163</v>
      </c>
      <c r="E135" t="s">
        <v>1164</v>
      </c>
      <c r="F135" t="s">
        <v>1165</v>
      </c>
      <c r="G135" t="s">
        <v>1166</v>
      </c>
      <c r="H135" t="s">
        <v>1167</v>
      </c>
    </row>
    <row r="136" spans="1:9" x14ac:dyDescent="0.25">
      <c r="C136" t="s">
        <v>1168</v>
      </c>
      <c r="D136" t="s">
        <v>1169</v>
      </c>
      <c r="E136" t="s">
        <v>1170</v>
      </c>
      <c r="F136" t="s">
        <v>1171</v>
      </c>
      <c r="G136" t="s">
        <v>1172</v>
      </c>
      <c r="H136" t="s">
        <v>1173</v>
      </c>
    </row>
    <row r="137" spans="1:9" x14ac:dyDescent="0.25">
      <c r="C137" t="s">
        <v>1174</v>
      </c>
      <c r="D137" t="s">
        <v>1175</v>
      </c>
      <c r="E137" t="s">
        <v>1176</v>
      </c>
      <c r="F137" t="s">
        <v>1177</v>
      </c>
      <c r="G137" t="s">
        <v>1178</v>
      </c>
      <c r="H137" t="s">
        <v>1179</v>
      </c>
    </row>
    <row r="138" spans="1:9" x14ac:dyDescent="0.25">
      <c r="C138" t="s">
        <v>1180</v>
      </c>
      <c r="D138" t="s">
        <v>1181</v>
      </c>
      <c r="E138" t="s">
        <v>1182</v>
      </c>
      <c r="F138" t="s">
        <v>1183</v>
      </c>
      <c r="G138" t="s">
        <v>1184</v>
      </c>
      <c r="H138" t="s">
        <v>1185</v>
      </c>
    </row>
    <row r="139" spans="1:9" x14ac:dyDescent="0.25">
      <c r="C139" t="s">
        <v>1186</v>
      </c>
      <c r="D139" t="s">
        <v>1187</v>
      </c>
      <c r="E139" t="s">
        <v>1188</v>
      </c>
      <c r="F139" t="s">
        <v>1189</v>
      </c>
      <c r="G139" t="s">
        <v>1190</v>
      </c>
      <c r="H139" t="s">
        <v>1191</v>
      </c>
    </row>
    <row r="140" spans="1:9" x14ac:dyDescent="0.25">
      <c r="C140" t="s">
        <v>1192</v>
      </c>
      <c r="D140" t="s">
        <v>40</v>
      </c>
      <c r="E140" t="s">
        <v>1193</v>
      </c>
      <c r="F140" t="s">
        <v>1194</v>
      </c>
      <c r="G140" t="s">
        <v>1195</v>
      </c>
      <c r="H140" t="s">
        <v>1196</v>
      </c>
    </row>
    <row r="141" spans="1:9" x14ac:dyDescent="0.25">
      <c r="C141" t="s">
        <v>1197</v>
      </c>
      <c r="D141" t="s">
        <v>41</v>
      </c>
      <c r="E141" t="s">
        <v>1198</v>
      </c>
      <c r="F141" t="s">
        <v>1199</v>
      </c>
      <c r="G141" t="s">
        <v>1200</v>
      </c>
      <c r="H141" t="s">
        <v>1201</v>
      </c>
    </row>
    <row r="142" spans="1:9" x14ac:dyDescent="0.25">
      <c r="C142" t="s">
        <v>1202</v>
      </c>
      <c r="D142" t="s">
        <v>42</v>
      </c>
      <c r="E142" t="s">
        <v>1203</v>
      </c>
      <c r="F142" t="s">
        <v>1204</v>
      </c>
      <c r="G142" t="s">
        <v>1205</v>
      </c>
      <c r="H142" t="s">
        <v>1206</v>
      </c>
    </row>
    <row r="143" spans="1:9" x14ac:dyDescent="0.25">
      <c r="C143" t="s">
        <v>1207</v>
      </c>
      <c r="D143" t="s">
        <v>43</v>
      </c>
      <c r="E143" t="s">
        <v>1208</v>
      </c>
      <c r="F143" t="s">
        <v>1209</v>
      </c>
      <c r="G143" t="s">
        <v>1205</v>
      </c>
      <c r="H143" t="s">
        <v>1210</v>
      </c>
    </row>
    <row r="144" spans="1:9" x14ac:dyDescent="0.25">
      <c r="C144" t="s">
        <v>1211</v>
      </c>
      <c r="D144" t="s">
        <v>44</v>
      </c>
      <c r="E144" t="s">
        <v>1212</v>
      </c>
      <c r="F144" t="s">
        <v>1213</v>
      </c>
      <c r="G144" t="s">
        <v>1214</v>
      </c>
      <c r="H144" t="s">
        <v>1215</v>
      </c>
    </row>
    <row r="145" spans="1:9" x14ac:dyDescent="0.25">
      <c r="C145" t="s">
        <v>1216</v>
      </c>
      <c r="D145" t="s">
        <v>45</v>
      </c>
      <c r="E145" t="s">
        <v>1217</v>
      </c>
      <c r="F145" t="s">
        <v>1218</v>
      </c>
      <c r="G145" t="s">
        <v>1219</v>
      </c>
      <c r="H145" t="s">
        <v>1220</v>
      </c>
    </row>
    <row r="146" spans="1:9" x14ac:dyDescent="0.25">
      <c r="C146" t="s">
        <v>1221</v>
      </c>
      <c r="D146" t="s">
        <v>46</v>
      </c>
      <c r="E146" t="s">
        <v>1222</v>
      </c>
      <c r="F146" t="s">
        <v>1223</v>
      </c>
      <c r="G146" t="s">
        <v>1224</v>
      </c>
      <c r="H146" t="s">
        <v>1225</v>
      </c>
    </row>
    <row r="147" spans="1:9" x14ac:dyDescent="0.25">
      <c r="C147" t="s">
        <v>1226</v>
      </c>
      <c r="D147" t="s">
        <v>47</v>
      </c>
      <c r="E147" t="s">
        <v>1227</v>
      </c>
      <c r="F147" t="s">
        <v>1228</v>
      </c>
      <c r="G147" t="s">
        <v>1229</v>
      </c>
      <c r="H147" t="s">
        <v>1230</v>
      </c>
    </row>
    <row r="148" spans="1:9" x14ac:dyDescent="0.25">
      <c r="C148" t="s">
        <v>1231</v>
      </c>
      <c r="D148" t="s">
        <v>48</v>
      </c>
      <c r="E148" t="s">
        <v>1232</v>
      </c>
      <c r="F148" t="s">
        <v>1233</v>
      </c>
      <c r="G148" t="s">
        <v>1234</v>
      </c>
      <c r="H148" t="s">
        <v>1235</v>
      </c>
    </row>
    <row r="149" spans="1:9" x14ac:dyDescent="0.25">
      <c r="C149" t="s">
        <v>1236</v>
      </c>
      <c r="D149" t="s">
        <v>49</v>
      </c>
      <c r="E149" t="s">
        <v>1237</v>
      </c>
      <c r="F149" t="s">
        <v>1238</v>
      </c>
      <c r="G149" t="s">
        <v>1239</v>
      </c>
      <c r="H149" t="s">
        <v>1240</v>
      </c>
    </row>
    <row r="150" spans="1:9" x14ac:dyDescent="0.25">
      <c r="C150" t="s">
        <v>1241</v>
      </c>
      <c r="D150" t="s">
        <v>50</v>
      </c>
      <c r="E150" t="s">
        <v>1242</v>
      </c>
      <c r="F150" t="s">
        <v>1243</v>
      </c>
      <c r="G150" t="s">
        <v>1244</v>
      </c>
      <c r="H150" t="s">
        <v>1245</v>
      </c>
    </row>
    <row r="151" spans="1:9" x14ac:dyDescent="0.25">
      <c r="C151" t="s">
        <v>1246</v>
      </c>
      <c r="D151" t="s">
        <v>51</v>
      </c>
      <c r="E151" t="s">
        <v>1247</v>
      </c>
      <c r="F151" t="s">
        <v>1248</v>
      </c>
      <c r="G151" t="s">
        <v>1249</v>
      </c>
      <c r="H151" t="s">
        <v>1250</v>
      </c>
    </row>
    <row r="152" spans="1:9" x14ac:dyDescent="0.25">
      <c r="C152" t="s">
        <v>1251</v>
      </c>
      <c r="D152" t="s">
        <v>52</v>
      </c>
      <c r="E152" t="s">
        <v>1252</v>
      </c>
      <c r="F152" t="s">
        <v>1253</v>
      </c>
      <c r="G152" t="s">
        <v>1254</v>
      </c>
      <c r="H152" t="s">
        <v>1255</v>
      </c>
    </row>
    <row r="153" spans="1:9" x14ac:dyDescent="0.25">
      <c r="C153" t="s">
        <v>1256</v>
      </c>
      <c r="D153" t="s">
        <v>53</v>
      </c>
      <c r="E153" t="s">
        <v>1257</v>
      </c>
      <c r="F153" t="s">
        <v>1258</v>
      </c>
      <c r="G153" t="s">
        <v>1259</v>
      </c>
      <c r="H153" t="s">
        <v>1260</v>
      </c>
    </row>
    <row r="154" spans="1:9" x14ac:dyDescent="0.25">
      <c r="C154" t="s">
        <v>1261</v>
      </c>
      <c r="D154" t="s">
        <v>54</v>
      </c>
      <c r="E154" t="s">
        <v>1262</v>
      </c>
      <c r="F154" t="s">
        <v>1263</v>
      </c>
      <c r="G154" t="s">
        <v>1264</v>
      </c>
      <c r="H154" t="s">
        <v>1265</v>
      </c>
    </row>
    <row r="155" spans="1:9" x14ac:dyDescent="0.25">
      <c r="C155" t="s">
        <v>1266</v>
      </c>
      <c r="D155" t="s">
        <v>55</v>
      </c>
      <c r="E155" t="s">
        <v>1267</v>
      </c>
      <c r="F155" t="s">
        <v>1268</v>
      </c>
      <c r="G155" t="s">
        <v>1269</v>
      </c>
      <c r="H155" t="s">
        <v>1270</v>
      </c>
    </row>
    <row r="156" spans="1:9" x14ac:dyDescent="0.25">
      <c r="C156" t="s">
        <v>1271</v>
      </c>
      <c r="D156" t="s">
        <v>56</v>
      </c>
      <c r="E156" t="s">
        <v>1272</v>
      </c>
      <c r="F156" t="s">
        <v>1273</v>
      </c>
      <c r="G156" t="s">
        <v>1274</v>
      </c>
      <c r="H156" t="s">
        <v>1275</v>
      </c>
    </row>
    <row r="157" spans="1:9" x14ac:dyDescent="0.25">
      <c r="C157" t="s">
        <v>1276</v>
      </c>
      <c r="D157" t="s">
        <v>57</v>
      </c>
      <c r="E157" t="s">
        <v>1277</v>
      </c>
      <c r="F157" t="s">
        <v>1278</v>
      </c>
      <c r="G157" t="s">
        <v>1279</v>
      </c>
      <c r="H157" t="s">
        <v>1280</v>
      </c>
    </row>
    <row r="158" spans="1:9" x14ac:dyDescent="0.25">
      <c r="C158" t="s">
        <v>1281</v>
      </c>
      <c r="D158" t="s">
        <v>58</v>
      </c>
      <c r="E158" t="s">
        <v>1282</v>
      </c>
      <c r="F158" t="s">
        <v>1283</v>
      </c>
      <c r="G158" t="s">
        <v>1284</v>
      </c>
      <c r="H158" t="s">
        <v>1285</v>
      </c>
    </row>
    <row r="159" spans="1:9" x14ac:dyDescent="0.25">
      <c r="C159" t="s">
        <v>1286</v>
      </c>
      <c r="D159" t="s">
        <v>59</v>
      </c>
      <c r="E159" t="s">
        <v>1287</v>
      </c>
      <c r="F159" t="s">
        <v>1288</v>
      </c>
      <c r="G159" t="s">
        <v>1289</v>
      </c>
      <c r="H159" t="s">
        <v>1290</v>
      </c>
    </row>
    <row r="160" spans="1:9" x14ac:dyDescent="0.25">
      <c r="C160" t="s">
        <v>1291</v>
      </c>
      <c r="D160" t="s">
        <v>60</v>
      </c>
      <c r="E160" t="s">
        <v>1292</v>
      </c>
      <c r="F160" t="s">
        <v>1293</v>
      </c>
      <c r="G160" t="s">
        <v>1294</v>
      </c>
      <c r="H160" t="s">
        <v>1295</v>
      </c>
    </row>
    <row r="161" spans="1:9" x14ac:dyDescent="0.25">
      <c r="C161" t="s">
        <v>1296</v>
      </c>
      <c r="D161" t="s">
        <v>61</v>
      </c>
      <c r="E161" t="s">
        <v>1297</v>
      </c>
      <c r="F161" t="s">
        <v>1298</v>
      </c>
      <c r="G161" t="s">
        <v>1299</v>
      </c>
      <c r="H161" t="s">
        <v>1300</v>
      </c>
    </row>
    <row r="162" spans="1:9" x14ac:dyDescent="0.25">
      <c r="C162" t="s">
        <v>1301</v>
      </c>
      <c r="D162" t="s">
        <v>62</v>
      </c>
      <c r="E162" t="s">
        <v>1302</v>
      </c>
      <c r="F162" t="s">
        <v>1303</v>
      </c>
      <c r="G162" t="s">
        <v>1304</v>
      </c>
      <c r="H162" t="s">
        <v>1305</v>
      </c>
    </row>
    <row r="163" spans="1:9" x14ac:dyDescent="0.25">
      <c r="C163" t="s">
        <v>1306</v>
      </c>
      <c r="D163" t="s">
        <v>63</v>
      </c>
      <c r="E163" t="s">
        <v>1307</v>
      </c>
      <c r="F163" t="s">
        <v>1308</v>
      </c>
      <c r="G163" t="s">
        <v>1309</v>
      </c>
      <c r="H163" t="s">
        <v>1310</v>
      </c>
    </row>
    <row r="164" spans="1:9" x14ac:dyDescent="0.25">
      <c r="C164" t="s">
        <v>1311</v>
      </c>
      <c r="D164" t="s">
        <v>64</v>
      </c>
      <c r="E164" t="s">
        <v>1312</v>
      </c>
      <c r="F164" t="s">
        <v>1313</v>
      </c>
      <c r="G164" t="s">
        <v>1309</v>
      </c>
      <c r="H164" t="s">
        <v>1314</v>
      </c>
    </row>
    <row r="165" spans="1:9" x14ac:dyDescent="0.25">
      <c r="C165" t="s">
        <v>1315</v>
      </c>
      <c r="D165" t="s">
        <v>65</v>
      </c>
      <c r="E165" t="s">
        <v>1316</v>
      </c>
      <c r="F165" t="s">
        <v>1317</v>
      </c>
      <c r="G165" t="s">
        <v>1309</v>
      </c>
      <c r="H165" t="s">
        <v>1318</v>
      </c>
    </row>
    <row r="166" spans="1:9" x14ac:dyDescent="0.25">
      <c r="C166" t="s">
        <v>1319</v>
      </c>
      <c r="D166" t="s">
        <v>66</v>
      </c>
      <c r="E166" t="s">
        <v>1320</v>
      </c>
      <c r="F166" t="s">
        <v>1321</v>
      </c>
      <c r="G166" t="s">
        <v>1322</v>
      </c>
      <c r="H166" t="s">
        <v>1323</v>
      </c>
    </row>
    <row r="167" spans="1:9" x14ac:dyDescent="0.25">
      <c r="C167" t="s">
        <v>1324</v>
      </c>
      <c r="D167" t="s">
        <v>67</v>
      </c>
      <c r="E167" t="s">
        <v>1325</v>
      </c>
      <c r="F167" t="s">
        <v>1326</v>
      </c>
      <c r="G167" t="s">
        <v>1327</v>
      </c>
      <c r="H167" t="s">
        <v>1328</v>
      </c>
    </row>
    <row r="168" spans="1:9" x14ac:dyDescent="0.25">
      <c r="C168" t="s">
        <v>1329</v>
      </c>
      <c r="D168" t="s">
        <v>68</v>
      </c>
      <c r="E168" t="s">
        <v>1330</v>
      </c>
      <c r="F168" t="s">
        <v>1331</v>
      </c>
      <c r="G168" t="s">
        <v>1327</v>
      </c>
      <c r="H168" t="s">
        <v>1332</v>
      </c>
    </row>
    <row r="169" spans="1:9" x14ac:dyDescent="0.25">
      <c r="C169" t="s">
        <v>1333</v>
      </c>
      <c r="D169" t="s">
        <v>69</v>
      </c>
      <c r="E169" t="s">
        <v>1334</v>
      </c>
      <c r="F169" t="s">
        <v>1335</v>
      </c>
      <c r="G169" t="s">
        <v>1336</v>
      </c>
      <c r="H169" t="s">
        <v>1337</v>
      </c>
    </row>
    <row r="170" spans="1:9" x14ac:dyDescent="0.25">
      <c r="C170" t="s">
        <v>1338</v>
      </c>
      <c r="D170" t="s">
        <v>70</v>
      </c>
      <c r="E170" t="s">
        <v>1339</v>
      </c>
      <c r="F170" t="s">
        <v>1340</v>
      </c>
      <c r="G170" t="s">
        <v>1341</v>
      </c>
      <c r="H170" t="s">
        <v>1342</v>
      </c>
    </row>
    <row r="171" spans="1:9" x14ac:dyDescent="0.25">
      <c r="C171" t="s">
        <v>1343</v>
      </c>
      <c r="D171" t="s">
        <v>71</v>
      </c>
      <c r="E171" t="s">
        <v>1344</v>
      </c>
      <c r="F171" t="s">
        <v>1345</v>
      </c>
      <c r="G171" t="s">
        <v>1346</v>
      </c>
      <c r="H171" t="s">
        <v>1347</v>
      </c>
    </row>
    <row r="172" spans="1:9" x14ac:dyDescent="0.25">
      <c r="C172" t="s">
        <v>1348</v>
      </c>
      <c r="D172" t="s">
        <v>72</v>
      </c>
      <c r="E172" t="s">
        <v>1349</v>
      </c>
      <c r="F172" t="s">
        <v>1350</v>
      </c>
      <c r="G172" t="s">
        <v>1351</v>
      </c>
      <c r="H172" t="s">
        <v>1352</v>
      </c>
    </row>
    <row r="173" spans="1:9" x14ac:dyDescent="0.25">
      <c r="C173" t="s">
        <v>1353</v>
      </c>
      <c r="D173" t="s">
        <v>73</v>
      </c>
      <c r="E173" t="s">
        <v>1354</v>
      </c>
      <c r="F173" t="s">
        <v>1355</v>
      </c>
      <c r="G173" t="s">
        <v>1356</v>
      </c>
      <c r="H173" t="s">
        <v>1357</v>
      </c>
    </row>
    <row r="174" spans="1:9" x14ac:dyDescent="0.25">
      <c r="C174" t="s">
        <v>1358</v>
      </c>
      <c r="D174" t="s">
        <v>74</v>
      </c>
      <c r="E174" t="s">
        <v>1359</v>
      </c>
      <c r="F174" t="s">
        <v>1360</v>
      </c>
      <c r="G174" t="s">
        <v>1361</v>
      </c>
      <c r="H174" t="s">
        <v>1362</v>
      </c>
    </row>
    <row r="175" spans="1:9" x14ac:dyDescent="0.25">
      <c r="C175" t="s">
        <v>1363</v>
      </c>
      <c r="D175" t="s">
        <v>75</v>
      </c>
      <c r="E175" t="s">
        <v>1364</v>
      </c>
      <c r="F175" t="s">
        <v>1365</v>
      </c>
      <c r="G175" t="s">
        <v>1366</v>
      </c>
      <c r="H175" t="s">
        <v>1367</v>
      </c>
    </row>
    <row r="176" spans="1:9" x14ac:dyDescent="0.25">
      <c r="C176" t="s">
        <v>1368</v>
      </c>
      <c r="D176" t="s">
        <v>76</v>
      </c>
      <c r="E176" t="s">
        <v>1369</v>
      </c>
      <c r="F176" t="s">
        <v>1370</v>
      </c>
      <c r="G176" t="s">
        <v>1371</v>
      </c>
      <c r="H176" t="s">
        <v>1372</v>
      </c>
    </row>
    <row r="177" spans="1:9" x14ac:dyDescent="0.25">
      <c r="C177" t="s">
        <v>1373</v>
      </c>
      <c r="D177" t="s">
        <v>77</v>
      </c>
      <c r="E177" t="s">
        <v>1374</v>
      </c>
      <c r="F177" t="s">
        <v>1375</v>
      </c>
      <c r="G177" t="s">
        <v>1376</v>
      </c>
      <c r="H177" t="s">
        <v>1377</v>
      </c>
    </row>
    <row r="178" spans="1:9" x14ac:dyDescent="0.25">
      <c r="C178" t="s">
        <v>1378</v>
      </c>
      <c r="D178" t="s">
        <v>78</v>
      </c>
      <c r="E178" t="s">
        <v>1379</v>
      </c>
      <c r="F178" t="s">
        <v>1380</v>
      </c>
      <c r="G178" t="s">
        <v>1381</v>
      </c>
      <c r="H178" t="s">
        <v>1382</v>
      </c>
    </row>
    <row r="179" spans="1:9" x14ac:dyDescent="0.25">
      <c r="C179" t="s">
        <v>1383</v>
      </c>
      <c r="D179" t="s">
        <v>79</v>
      </c>
      <c r="E179" t="s">
        <v>1384</v>
      </c>
      <c r="F179" t="s">
        <v>1385</v>
      </c>
      <c r="G179" t="s">
        <v>1381</v>
      </c>
      <c r="H179" t="s">
        <v>1386</v>
      </c>
    </row>
    <row r="180" spans="1:9" x14ac:dyDescent="0.25">
      <c r="C180" t="s">
        <v>1387</v>
      </c>
      <c r="D180" t="s">
        <v>80</v>
      </c>
      <c r="E180" t="s">
        <v>1388</v>
      </c>
      <c r="F180" t="s">
        <v>1389</v>
      </c>
      <c r="G180" t="s">
        <v>1390</v>
      </c>
      <c r="H180" t="s">
        <v>1391</v>
      </c>
    </row>
    <row r="181" spans="1:9" x14ac:dyDescent="0.25">
      <c r="C181" t="s">
        <v>1392</v>
      </c>
      <c r="D181" t="s">
        <v>81</v>
      </c>
      <c r="E181" t="s">
        <v>1393</v>
      </c>
      <c r="F181" t="s">
        <v>1394</v>
      </c>
      <c r="G181" t="s">
        <v>1395</v>
      </c>
      <c r="H181" t="s">
        <v>1396</v>
      </c>
    </row>
    <row r="182" spans="1:9" x14ac:dyDescent="0.25">
      <c r="C182" t="s">
        <v>1397</v>
      </c>
      <c r="D182" t="s">
        <v>82</v>
      </c>
      <c r="E182" t="s">
        <v>1398</v>
      </c>
      <c r="F182" t="s">
        <v>1399</v>
      </c>
      <c r="G182" t="s">
        <v>1400</v>
      </c>
      <c r="H182" t="s">
        <v>1401</v>
      </c>
    </row>
    <row r="183" spans="1:9" x14ac:dyDescent="0.25">
      <c r="C183" t="s">
        <v>1402</v>
      </c>
      <c r="D183" t="s">
        <v>83</v>
      </c>
      <c r="E183" t="s">
        <v>1403</v>
      </c>
      <c r="F183" t="s">
        <v>1404</v>
      </c>
      <c r="G183" t="s">
        <v>1405</v>
      </c>
      <c r="H183" t="s">
        <v>1406</v>
      </c>
    </row>
    <row r="184" spans="1:9" x14ac:dyDescent="0.25">
      <c r="C184" t="s">
        <v>1407</v>
      </c>
      <c r="D184" t="s">
        <v>84</v>
      </c>
      <c r="E184" t="s">
        <v>1408</v>
      </c>
      <c r="F184" t="s">
        <v>1409</v>
      </c>
      <c r="G184" t="s">
        <v>1410</v>
      </c>
      <c r="H184" t="s">
        <v>1411</v>
      </c>
    </row>
    <row r="185" spans="1:9" x14ac:dyDescent="0.25">
      <c r="C185" t="s">
        <v>1412</v>
      </c>
      <c r="D185" t="s">
        <v>85</v>
      </c>
      <c r="E185" t="s">
        <v>1413</v>
      </c>
      <c r="F185" t="s">
        <v>1414</v>
      </c>
      <c r="G185" t="s">
        <v>1415</v>
      </c>
      <c r="H185" t="s">
        <v>1416</v>
      </c>
    </row>
    <row r="186" spans="1:9" x14ac:dyDescent="0.25">
      <c r="C186" t="s">
        <v>1417</v>
      </c>
      <c r="D186" t="s">
        <v>86</v>
      </c>
      <c r="E186" t="s">
        <v>1418</v>
      </c>
      <c r="F186" t="s">
        <v>1419</v>
      </c>
      <c r="G186" t="s">
        <v>1420</v>
      </c>
      <c r="H186" t="s">
        <v>1421</v>
      </c>
    </row>
    <row r="187" spans="1:9" x14ac:dyDescent="0.25">
      <c r="C187" t="s">
        <v>1422</v>
      </c>
      <c r="D187" t="s">
        <v>87</v>
      </c>
      <c r="E187" t="s">
        <v>1423</v>
      </c>
      <c r="F187" t="s">
        <v>1424</v>
      </c>
      <c r="G187" t="s">
        <v>1425</v>
      </c>
      <c r="H187" t="s">
        <v>1426</v>
      </c>
    </row>
    <row r="188" spans="1:9" x14ac:dyDescent="0.25">
      <c r="C188" t="s">
        <v>1427</v>
      </c>
      <c r="D188" t="s">
        <v>88</v>
      </c>
      <c r="E188" t="s">
        <v>1428</v>
      </c>
      <c r="F188" t="s">
        <v>1429</v>
      </c>
      <c r="G188" t="s">
        <v>1430</v>
      </c>
      <c r="H188" t="s">
        <v>1431</v>
      </c>
    </row>
    <row r="189" spans="1:9" x14ac:dyDescent="0.25">
      <c r="C189" t="s">
        <v>1432</v>
      </c>
      <c r="D189" t="s">
        <v>89</v>
      </c>
      <c r="E189" t="s">
        <v>1433</v>
      </c>
      <c r="F189" t="s">
        <v>1434</v>
      </c>
      <c r="G189" t="s">
        <v>1435</v>
      </c>
      <c r="H189" t="s">
        <v>1436</v>
      </c>
    </row>
    <row r="190" spans="1:9" x14ac:dyDescent="0.25">
      <c r="C190" t="s">
        <v>1437</v>
      </c>
      <c r="D190" t="s">
        <v>90</v>
      </c>
      <c r="E190" t="s">
        <v>1438</v>
      </c>
      <c r="F190" t="s">
        <v>1439</v>
      </c>
      <c r="G190" t="s">
        <v>1435</v>
      </c>
      <c r="H190" t="s">
        <v>1440</v>
      </c>
    </row>
    <row r="191" spans="1:9" x14ac:dyDescent="0.25">
      <c r="C191" t="s">
        <v>1441</v>
      </c>
      <c r="D191" t="s">
        <v>91</v>
      </c>
      <c r="E191" t="s">
        <v>1442</v>
      </c>
      <c r="F191" t="s">
        <v>1443</v>
      </c>
      <c r="G191" t="s">
        <v>1444</v>
      </c>
      <c r="H191" t="s">
        <v>1445</v>
      </c>
    </row>
    <row r="192" spans="1:9" x14ac:dyDescent="0.25">
      <c r="C192" t="s">
        <v>1446</v>
      </c>
      <c r="D192" t="s">
        <v>92</v>
      </c>
      <c r="E192" t="s">
        <v>1447</v>
      </c>
      <c r="F192" t="s">
        <v>1448</v>
      </c>
      <c r="G192" t="s">
        <v>1449</v>
      </c>
      <c r="H192" t="s">
        <v>1450</v>
      </c>
    </row>
    <row r="193" spans="1:9" x14ac:dyDescent="0.25">
      <c r="C193" t="s">
        <v>1451</v>
      </c>
      <c r="D193" t="s">
        <v>93</v>
      </c>
      <c r="E193" t="s">
        <v>1452</v>
      </c>
      <c r="F193" t="s">
        <v>1453</v>
      </c>
      <c r="G193" t="s">
        <v>1454</v>
      </c>
      <c r="H193" t="s">
        <v>1455</v>
      </c>
    </row>
    <row r="194" spans="1:9" x14ac:dyDescent="0.25">
      <c r="C194" t="s">
        <v>1456</v>
      </c>
      <c r="D194" t="s">
        <v>94</v>
      </c>
      <c r="E194" t="s">
        <v>1457</v>
      </c>
      <c r="F194" t="s">
        <v>1458</v>
      </c>
      <c r="G194" t="s">
        <v>1459</v>
      </c>
      <c r="H194" t="s">
        <v>1460</v>
      </c>
    </row>
    <row r="195" spans="1:9" x14ac:dyDescent="0.25">
      <c r="C195" t="s">
        <v>1461</v>
      </c>
      <c r="D195" t="s">
        <v>95</v>
      </c>
      <c r="E195" t="s">
        <v>1462</v>
      </c>
      <c r="F195" t="s">
        <v>1463</v>
      </c>
      <c r="G195" t="s">
        <v>1464</v>
      </c>
      <c r="H195" t="s">
        <v>1465</v>
      </c>
    </row>
    <row r="196" spans="1:9" x14ac:dyDescent="0.25">
      <c r="C196" t="s">
        <v>1466</v>
      </c>
      <c r="D196" t="s">
        <v>96</v>
      </c>
      <c r="E196" t="s">
        <v>1467</v>
      </c>
      <c r="F196" t="s">
        <v>1468</v>
      </c>
      <c r="G196" t="s">
        <v>1469</v>
      </c>
      <c r="H196" t="s">
        <v>1470</v>
      </c>
    </row>
    <row r="197" spans="1:9" x14ac:dyDescent="0.25">
      <c r="C197" t="s">
        <v>1471</v>
      </c>
      <c r="D197" t="s">
        <v>97</v>
      </c>
      <c r="E197" t="s">
        <v>1472</v>
      </c>
      <c r="F197" t="s">
        <v>1473</v>
      </c>
      <c r="G197" t="s">
        <v>1474</v>
      </c>
      <c r="H197" t="s">
        <v>1475</v>
      </c>
    </row>
    <row r="198" spans="1:9" x14ac:dyDescent="0.25">
      <c r="C198" t="s">
        <v>1476</v>
      </c>
      <c r="D198" t="s">
        <v>98</v>
      </c>
      <c r="E198" t="s">
        <v>1477</v>
      </c>
      <c r="F198" t="s">
        <v>1478</v>
      </c>
      <c r="G198" t="s">
        <v>1479</v>
      </c>
      <c r="H198" t="s">
        <v>1480</v>
      </c>
    </row>
    <row r="199" spans="1:9" x14ac:dyDescent="0.25">
      <c r="C199" t="s">
        <v>1481</v>
      </c>
      <c r="D199" t="s">
        <v>99</v>
      </c>
      <c r="E199" t="s">
        <v>1482</v>
      </c>
      <c r="F199" t="s">
        <v>1483</v>
      </c>
      <c r="G199" t="s">
        <v>1484</v>
      </c>
      <c r="H199" t="s">
        <v>1485</v>
      </c>
    </row>
    <row r="200" spans="1:9" x14ac:dyDescent="0.25">
      <c r="C200" t="s">
        <v>1486</v>
      </c>
      <c r="D200" t="s">
        <v>100</v>
      </c>
      <c r="E200" t="s">
        <v>1487</v>
      </c>
      <c r="F200" t="s">
        <v>1488</v>
      </c>
      <c r="G200" t="s">
        <v>1489</v>
      </c>
      <c r="H200" t="s">
        <v>1490</v>
      </c>
    </row>
    <row r="201" spans="1:9" x14ac:dyDescent="0.25">
      <c r="C201" t="s">
        <v>1491</v>
      </c>
      <c r="D201" t="s">
        <v>101</v>
      </c>
      <c r="E201" t="s">
        <v>1492</v>
      </c>
      <c r="F201" t="s">
        <v>1493</v>
      </c>
      <c r="G201" t="s">
        <v>1494</v>
      </c>
      <c r="H201" t="s">
        <v>1495</v>
      </c>
    </row>
    <row r="202" spans="1:9" x14ac:dyDescent="0.25">
      <c r="C202" t="s">
        <v>1496</v>
      </c>
      <c r="D202" t="s">
        <v>102</v>
      </c>
      <c r="E202" t="s">
        <v>1497</v>
      </c>
      <c r="F202" t="s">
        <v>1498</v>
      </c>
      <c r="G202" t="s">
        <v>1499</v>
      </c>
      <c r="H202" t="s">
        <v>1500</v>
      </c>
    </row>
    <row r="203" spans="1:9" x14ac:dyDescent="0.25">
      <c r="C203" t="s">
        <v>1501</v>
      </c>
      <c r="D203" t="s">
        <v>103</v>
      </c>
      <c r="E203" t="s">
        <v>1502</v>
      </c>
      <c r="F203" t="s">
        <v>1503</v>
      </c>
      <c r="G203" t="s">
        <v>1504</v>
      </c>
      <c r="H203" t="s">
        <v>1505</v>
      </c>
    </row>
    <row r="204" spans="1:9" x14ac:dyDescent="0.25">
      <c r="C204" t="s">
        <v>1506</v>
      </c>
      <c r="D204" t="s">
        <v>104</v>
      </c>
      <c r="E204" t="s">
        <v>1507</v>
      </c>
      <c r="F204" t="s">
        <v>1508</v>
      </c>
      <c r="G204" t="s">
        <v>1509</v>
      </c>
      <c r="H204" t="s">
        <v>1510</v>
      </c>
    </row>
    <row r="205" spans="1:9" x14ac:dyDescent="0.25">
      <c r="C205" t="s">
        <v>1511</v>
      </c>
      <c r="D205" t="s">
        <v>105</v>
      </c>
      <c r="E205" t="s">
        <v>1512</v>
      </c>
      <c r="F205" t="s">
        <v>1513</v>
      </c>
      <c r="G205" t="s">
        <v>1514</v>
      </c>
      <c r="H205" t="s">
        <v>1515</v>
      </c>
    </row>
    <row r="206" spans="1:9" x14ac:dyDescent="0.25">
      <c r="C206" t="s">
        <v>1516</v>
      </c>
      <c r="D206" t="s">
        <v>106</v>
      </c>
      <c r="E206" t="s">
        <v>1517</v>
      </c>
      <c r="F206" t="s">
        <v>1518</v>
      </c>
      <c r="G206" t="s">
        <v>1519</v>
      </c>
      <c r="H206" t="s">
        <v>1520</v>
      </c>
    </row>
    <row r="207" spans="1:9" x14ac:dyDescent="0.25">
      <c r="C207" t="s">
        <v>1521</v>
      </c>
      <c r="D207" t="s">
        <v>107</v>
      </c>
      <c r="E207" t="s">
        <v>1522</v>
      </c>
      <c r="F207" t="s">
        <v>1523</v>
      </c>
      <c r="G207" t="s">
        <v>1524</v>
      </c>
      <c r="H207" t="s">
        <v>1525</v>
      </c>
    </row>
    <row r="208" spans="1:9" x14ac:dyDescent="0.25">
      <c r="C208" t="s">
        <v>1526</v>
      </c>
      <c r="D208" t="s">
        <v>108</v>
      </c>
      <c r="E208" t="s">
        <v>1527</v>
      </c>
      <c r="F208" t="s">
        <v>1528</v>
      </c>
      <c r="G208" t="s">
        <v>1529</v>
      </c>
      <c r="H208" t="s">
        <v>1530</v>
      </c>
    </row>
    <row r="209" spans="1:9" x14ac:dyDescent="0.25">
      <c r="C209" t="s">
        <v>1531</v>
      </c>
      <c r="D209" t="s">
        <v>109</v>
      </c>
      <c r="E209" t="s">
        <v>1532</v>
      </c>
      <c r="F209" t="s">
        <v>1533</v>
      </c>
      <c r="G209" t="s">
        <v>1534</v>
      </c>
      <c r="H209" t="s">
        <v>1535</v>
      </c>
    </row>
    <row r="210" spans="1:9" x14ac:dyDescent="0.25">
      <c r="C210" t="s">
        <v>1536</v>
      </c>
      <c r="D210" t="s">
        <v>110</v>
      </c>
      <c r="E210" t="s">
        <v>1537</v>
      </c>
      <c r="F210" t="s">
        <v>1538</v>
      </c>
      <c r="G210" t="s">
        <v>1539</v>
      </c>
      <c r="H210" t="s">
        <v>1540</v>
      </c>
    </row>
    <row r="211" spans="1:9" x14ac:dyDescent="0.25">
      <c r="C211" t="s">
        <v>1541</v>
      </c>
      <c r="D211" t="s">
        <v>111</v>
      </c>
      <c r="E211" t="s">
        <v>1542</v>
      </c>
      <c r="F211" t="s">
        <v>1543</v>
      </c>
      <c r="G211" t="s">
        <v>1544</v>
      </c>
      <c r="H211" t="s">
        <v>1545</v>
      </c>
    </row>
    <row r="212" spans="1:9" x14ac:dyDescent="0.25">
      <c r="C212" t="s">
        <v>1546</v>
      </c>
      <c r="D212" t="s">
        <v>112</v>
      </c>
      <c r="E212" t="s">
        <v>1547</v>
      </c>
      <c r="F212" t="s">
        <v>1548</v>
      </c>
      <c r="G212" t="s">
        <v>1549</v>
      </c>
      <c r="H212" t="s">
        <v>1550</v>
      </c>
    </row>
    <row r="213" spans="1:9" x14ac:dyDescent="0.25">
      <c r="C213" t="s">
        <v>1551</v>
      </c>
      <c r="D213" t="s">
        <v>113</v>
      </c>
      <c r="E213" t="s">
        <v>1552</v>
      </c>
      <c r="F213" t="s">
        <v>1553</v>
      </c>
      <c r="G213" t="s">
        <v>1554</v>
      </c>
      <c r="H213" t="s">
        <v>1555</v>
      </c>
    </row>
    <row r="214" spans="1:9" x14ac:dyDescent="0.25">
      <c r="C214" t="s">
        <v>1556</v>
      </c>
      <c r="D214" t="s">
        <v>114</v>
      </c>
      <c r="E214" t="s">
        <v>1557</v>
      </c>
      <c r="F214" t="s">
        <v>1558</v>
      </c>
      <c r="G214" t="s">
        <v>1559</v>
      </c>
      <c r="H214" t="s">
        <v>1560</v>
      </c>
    </row>
    <row r="215" spans="1:9" x14ac:dyDescent="0.25">
      <c r="C215" t="s">
        <v>1561</v>
      </c>
      <c r="D215" t="s">
        <v>115</v>
      </c>
      <c r="E215" t="s">
        <v>1562</v>
      </c>
      <c r="F215" t="s">
        <v>1563</v>
      </c>
      <c r="G215" t="s">
        <v>1564</v>
      </c>
      <c r="H215" t="s">
        <v>1565</v>
      </c>
    </row>
    <row r="216" spans="1:9" x14ac:dyDescent="0.25">
      <c r="C216" t="s">
        <v>1566</v>
      </c>
      <c r="D216" t="s">
        <v>116</v>
      </c>
      <c r="E216" t="s">
        <v>1567</v>
      </c>
      <c r="F216" t="s">
        <v>1568</v>
      </c>
      <c r="G216" t="s">
        <v>1569</v>
      </c>
      <c r="H216" t="s">
        <v>1570</v>
      </c>
    </row>
    <row r="217" spans="1:9" x14ac:dyDescent="0.25">
      <c r="C217" t="s">
        <v>1571</v>
      </c>
      <c r="D217" t="s">
        <v>117</v>
      </c>
      <c r="E217" t="s">
        <v>1572</v>
      </c>
      <c r="F217" t="s">
        <v>1573</v>
      </c>
      <c r="G217" t="s">
        <v>1574</v>
      </c>
      <c r="H217" t="s">
        <v>1575</v>
      </c>
    </row>
    <row r="218" spans="1:9" x14ac:dyDescent="0.25">
      <c r="C218" t="s">
        <v>1576</v>
      </c>
      <c r="D218" t="s">
        <v>118</v>
      </c>
      <c r="E218" t="s">
        <v>1577</v>
      </c>
      <c r="F218" t="s">
        <v>1578</v>
      </c>
      <c r="G218" t="s">
        <v>1579</v>
      </c>
      <c r="H218" t="s">
        <v>1580</v>
      </c>
    </row>
    <row r="219" spans="1:9" x14ac:dyDescent="0.25">
      <c r="C219" t="s">
        <v>1581</v>
      </c>
      <c r="D219" t="s">
        <v>119</v>
      </c>
      <c r="E219" t="s">
        <v>1582</v>
      </c>
      <c r="F219" t="s">
        <v>1583</v>
      </c>
      <c r="G219" t="s">
        <v>1584</v>
      </c>
      <c r="H219" t="s">
        <v>1585</v>
      </c>
    </row>
    <row r="220" spans="1:9" x14ac:dyDescent="0.25">
      <c r="C220" t="s">
        <v>1586</v>
      </c>
      <c r="D220" t="s">
        <v>120</v>
      </c>
      <c r="E220" t="s">
        <v>1587</v>
      </c>
      <c r="F220" t="s">
        <v>1588</v>
      </c>
      <c r="G220" t="s">
        <v>1589</v>
      </c>
      <c r="H220" t="s">
        <v>1590</v>
      </c>
    </row>
    <row r="221" spans="1:9" x14ac:dyDescent="0.25">
      <c r="C221" t="s">
        <v>1591</v>
      </c>
      <c r="D221" t="s">
        <v>121</v>
      </c>
      <c r="E221" t="s">
        <v>1592</v>
      </c>
      <c r="F221" t="s">
        <v>1593</v>
      </c>
      <c r="G221" t="s">
        <v>1594</v>
      </c>
      <c r="H221" t="s">
        <v>1595</v>
      </c>
    </row>
    <row r="222" spans="1:9" x14ac:dyDescent="0.25">
      <c r="C222" t="s">
        <v>1596</v>
      </c>
      <c r="D222" t="s">
        <v>122</v>
      </c>
      <c r="E222" t="s">
        <v>1597</v>
      </c>
      <c r="F222" t="s">
        <v>1598</v>
      </c>
      <c r="G222" t="s">
        <v>1599</v>
      </c>
      <c r="H222" t="s">
        <v>1600</v>
      </c>
    </row>
    <row r="223" spans="1:9" x14ac:dyDescent="0.25">
      <c r="C223" t="s">
        <v>1601</v>
      </c>
      <c r="D223" t="s">
        <v>123</v>
      </c>
      <c r="E223" t="s">
        <v>1602</v>
      </c>
      <c r="F223" t="s">
        <v>1603</v>
      </c>
      <c r="G223" t="s">
        <v>1604</v>
      </c>
      <c r="H223" t="s">
        <v>1605</v>
      </c>
    </row>
    <row r="224" spans="1:9" x14ac:dyDescent="0.25">
      <c r="C224" t="s">
        <v>1606</v>
      </c>
      <c r="D224" t="s">
        <v>124</v>
      </c>
      <c r="E224" t="s">
        <v>1607</v>
      </c>
      <c r="F224" t="s">
        <v>1608</v>
      </c>
      <c r="G224" t="s">
        <v>1609</v>
      </c>
      <c r="H224" t="s">
        <v>1610</v>
      </c>
    </row>
    <row r="225" spans="1:9" x14ac:dyDescent="0.25">
      <c r="C225" t="s">
        <v>1611</v>
      </c>
      <c r="D225" t="s">
        <v>125</v>
      </c>
      <c r="E225" t="s">
        <v>1612</v>
      </c>
      <c r="F225" t="s">
        <v>1613</v>
      </c>
      <c r="G225" t="s">
        <v>1614</v>
      </c>
      <c r="H225" t="s">
        <v>1615</v>
      </c>
    </row>
    <row r="226" spans="1:9" x14ac:dyDescent="0.25">
      <c r="C226" t="s">
        <v>1616</v>
      </c>
      <c r="D226" t="s">
        <v>126</v>
      </c>
      <c r="E226" t="s">
        <v>1617</v>
      </c>
      <c r="F226" t="s">
        <v>1618</v>
      </c>
      <c r="G226" t="s">
        <v>1619</v>
      </c>
      <c r="H226" t="s">
        <v>1620</v>
      </c>
    </row>
    <row r="227" spans="1:9" x14ac:dyDescent="0.25">
      <c r="C227" t="s">
        <v>1621</v>
      </c>
      <c r="D227" t="s">
        <v>127</v>
      </c>
      <c r="E227" t="s">
        <v>1622</v>
      </c>
      <c r="F227" t="s">
        <v>1623</v>
      </c>
      <c r="G227" t="s">
        <v>1624</v>
      </c>
      <c r="H227" t="s">
        <v>1625</v>
      </c>
    </row>
    <row r="228" spans="1:9" x14ac:dyDescent="0.25">
      <c r="C228" t="s">
        <v>1626</v>
      </c>
      <c r="D228" t="s">
        <v>128</v>
      </c>
      <c r="E228" t="s">
        <v>1627</v>
      </c>
      <c r="F228" t="s">
        <v>1628</v>
      </c>
      <c r="G228" t="s">
        <v>1629</v>
      </c>
      <c r="H228" t="s">
        <v>1630</v>
      </c>
    </row>
    <row r="229" spans="1:9" x14ac:dyDescent="0.25">
      <c r="C229" t="s">
        <v>1631</v>
      </c>
      <c r="D229" t="s">
        <v>129</v>
      </c>
      <c r="E229" t="s">
        <v>1632</v>
      </c>
      <c r="F229" t="s">
        <v>1633</v>
      </c>
      <c r="G229" t="s">
        <v>1634</v>
      </c>
      <c r="H229" t="s">
        <v>1635</v>
      </c>
    </row>
    <row r="230" spans="1:9" x14ac:dyDescent="0.25">
      <c r="C230" t="s">
        <v>1636</v>
      </c>
      <c r="D230" t="s">
        <v>130</v>
      </c>
      <c r="E230" t="s">
        <v>1637</v>
      </c>
      <c r="F230" t="s">
        <v>1638</v>
      </c>
      <c r="G230" t="s">
        <v>1639</v>
      </c>
      <c r="H230" t="s">
        <v>1640</v>
      </c>
    </row>
    <row r="231" spans="1:9" x14ac:dyDescent="0.25">
      <c r="C231" t="s">
        <v>1641</v>
      </c>
      <c r="D231" t="s">
        <v>131</v>
      </c>
      <c r="E231" t="s">
        <v>1642</v>
      </c>
      <c r="F231" t="s">
        <v>1643</v>
      </c>
      <c r="G231" t="s">
        <v>1644</v>
      </c>
      <c r="H231" t="s">
        <v>1645</v>
      </c>
    </row>
    <row r="232" spans="1:9" x14ac:dyDescent="0.25">
      <c r="C232" t="s">
        <v>1646</v>
      </c>
      <c r="D232" t="s">
        <v>132</v>
      </c>
      <c r="E232" t="s">
        <v>1647</v>
      </c>
      <c r="F232" t="s">
        <v>1648</v>
      </c>
      <c r="G232" t="s">
        <v>1649</v>
      </c>
      <c r="H232" t="s">
        <v>1650</v>
      </c>
    </row>
    <row r="233" spans="1:9" x14ac:dyDescent="0.25">
      <c r="C233" t="s">
        <v>1651</v>
      </c>
      <c r="D233" t="s">
        <v>133</v>
      </c>
      <c r="E233" t="s">
        <v>1652</v>
      </c>
      <c r="F233" t="s">
        <v>1653</v>
      </c>
      <c r="G233" t="s">
        <v>1654</v>
      </c>
      <c r="H233" t="s">
        <v>1655</v>
      </c>
    </row>
    <row r="234" spans="1:9" x14ac:dyDescent="0.25">
      <c r="C234" t="s">
        <v>1656</v>
      </c>
      <c r="D234" t="s">
        <v>134</v>
      </c>
      <c r="E234" t="s">
        <v>1657</v>
      </c>
      <c r="F234" t="s">
        <v>1658</v>
      </c>
      <c r="G234" t="s">
        <v>1659</v>
      </c>
      <c r="H234" t="s">
        <v>1660</v>
      </c>
    </row>
    <row r="235" spans="1:9" x14ac:dyDescent="0.25">
      <c r="C235" t="s">
        <v>1661</v>
      </c>
      <c r="D235" t="s">
        <v>135</v>
      </c>
      <c r="E235" t="s">
        <v>1662</v>
      </c>
      <c r="F235" t="s">
        <v>1663</v>
      </c>
      <c r="G235" t="s">
        <v>1664</v>
      </c>
      <c r="H235" t="s">
        <v>1665</v>
      </c>
    </row>
    <row r="236" spans="1:9" x14ac:dyDescent="0.25">
      <c r="C236" t="s">
        <v>1666</v>
      </c>
      <c r="D236" t="s">
        <v>136</v>
      </c>
      <c r="E236" t="s">
        <v>1667</v>
      </c>
      <c r="F236" t="s">
        <v>1668</v>
      </c>
      <c r="G236" t="s">
        <v>1669</v>
      </c>
      <c r="H236" t="s">
        <v>1670</v>
      </c>
    </row>
    <row r="237" spans="1:9" x14ac:dyDescent="0.25">
      <c r="C237" t="s">
        <v>1671</v>
      </c>
      <c r="D237" t="s">
        <v>137</v>
      </c>
      <c r="E237" t="s">
        <v>1672</v>
      </c>
      <c r="F237" t="s">
        <v>1673</v>
      </c>
      <c r="G237" t="s">
        <v>1674</v>
      </c>
      <c r="H237" t="s">
        <v>1675</v>
      </c>
    </row>
    <row r="238" spans="1:9" x14ac:dyDescent="0.25">
      <c r="C238" t="s">
        <v>1676</v>
      </c>
      <c r="D238" t="s">
        <v>138</v>
      </c>
      <c r="E238" t="s">
        <v>1677</v>
      </c>
      <c r="F238" t="s">
        <v>1678</v>
      </c>
      <c r="G238" t="s">
        <v>1679</v>
      </c>
      <c r="H238" t="s">
        <v>1680</v>
      </c>
    </row>
    <row r="239" spans="1:9" x14ac:dyDescent="0.25">
      <c r="C239" t="s">
        <v>1681</v>
      </c>
      <c r="D239" t="s">
        <v>139</v>
      </c>
      <c r="E239" t="s">
        <v>1682</v>
      </c>
      <c r="F239" t="s">
        <v>1683</v>
      </c>
      <c r="G239" t="s">
        <v>1684</v>
      </c>
      <c r="H239" t="s">
        <v>1685</v>
      </c>
    </row>
    <row r="240" spans="1:9" x14ac:dyDescent="0.25">
      <c r="C240" t="s">
        <v>1686</v>
      </c>
      <c r="D240" t="s">
        <v>140</v>
      </c>
      <c r="E240" t="s">
        <v>1687</v>
      </c>
      <c r="F240" t="s">
        <v>1688</v>
      </c>
      <c r="G240" t="s">
        <v>1689</v>
      </c>
      <c r="H240" t="s">
        <v>1690</v>
      </c>
    </row>
    <row r="241" spans="1:9" x14ac:dyDescent="0.25">
      <c r="C241" t="s">
        <v>1691</v>
      </c>
      <c r="D241" t="s">
        <v>141</v>
      </c>
      <c r="E241" t="s">
        <v>1692</v>
      </c>
      <c r="F241" t="s">
        <v>1693</v>
      </c>
      <c r="G241" t="s">
        <v>1694</v>
      </c>
      <c r="H241" t="s">
        <v>1695</v>
      </c>
    </row>
    <row r="242" spans="1:9" x14ac:dyDescent="0.25">
      <c r="C242" t="s">
        <v>1696</v>
      </c>
      <c r="D242" t="s">
        <v>142</v>
      </c>
      <c r="E242" t="s">
        <v>1697</v>
      </c>
      <c r="F242" t="s">
        <v>1698</v>
      </c>
      <c r="G242" t="s">
        <v>1699</v>
      </c>
      <c r="H242" t="s">
        <v>1700</v>
      </c>
    </row>
    <row r="243" spans="1:9" x14ac:dyDescent="0.25">
      <c r="C243" t="s">
        <v>1701</v>
      </c>
      <c r="D243" t="s">
        <v>143</v>
      </c>
      <c r="E243" t="s">
        <v>1702</v>
      </c>
      <c r="F243" t="s">
        <v>1703</v>
      </c>
      <c r="G243" t="s">
        <v>1704</v>
      </c>
      <c r="H243" t="s">
        <v>1705</v>
      </c>
    </row>
    <row r="244" spans="1:9" x14ac:dyDescent="0.25">
      <c r="C244" t="s">
        <v>1706</v>
      </c>
      <c r="D244" t="s">
        <v>144</v>
      </c>
      <c r="E244" t="s">
        <v>1707</v>
      </c>
      <c r="F244" t="s">
        <v>1708</v>
      </c>
      <c r="G244" t="s">
        <v>1709</v>
      </c>
      <c r="H244" t="s">
        <v>1710</v>
      </c>
    </row>
    <row r="245" spans="1:9" x14ac:dyDescent="0.25">
      <c r="C245" t="s">
        <v>1711</v>
      </c>
      <c r="D245" t="s">
        <v>145</v>
      </c>
      <c r="E245" t="s">
        <v>1712</v>
      </c>
      <c r="F245" t="s">
        <v>1713</v>
      </c>
      <c r="G245" t="s">
        <v>1714</v>
      </c>
      <c r="H245" t="s">
        <v>1715</v>
      </c>
    </row>
    <row r="246" spans="1:9" x14ac:dyDescent="0.25">
      <c r="C246" t="s">
        <v>1716</v>
      </c>
      <c r="D246" t="s">
        <v>146</v>
      </c>
      <c r="E246" t="s">
        <v>1717</v>
      </c>
      <c r="F246" t="s">
        <v>1718</v>
      </c>
      <c r="G246" t="s">
        <v>1719</v>
      </c>
      <c r="H246" t="s">
        <v>1720</v>
      </c>
    </row>
    <row r="247" spans="1:9" x14ac:dyDescent="0.25">
      <c r="C247" t="s">
        <v>1721</v>
      </c>
      <c r="D247" t="s">
        <v>147</v>
      </c>
      <c r="E247" t="s">
        <v>1722</v>
      </c>
      <c r="F247" t="s">
        <v>1723</v>
      </c>
      <c r="G247" t="s">
        <v>1724</v>
      </c>
      <c r="H247" t="s">
        <v>1725</v>
      </c>
    </row>
    <row r="248" spans="1:9" x14ac:dyDescent="0.25">
      <c r="C248" t="s">
        <v>1726</v>
      </c>
      <c r="D248" t="s">
        <v>148</v>
      </c>
      <c r="E248" t="s">
        <v>1727</v>
      </c>
      <c r="F248" t="s">
        <v>1728</v>
      </c>
      <c r="G248" t="s">
        <v>1724</v>
      </c>
      <c r="H248" t="s">
        <v>1729</v>
      </c>
    </row>
    <row r="249" spans="1:9" x14ac:dyDescent="0.25">
      <c r="C249" t="s">
        <v>1730</v>
      </c>
      <c r="D249" t="s">
        <v>149</v>
      </c>
      <c r="E249" t="s">
        <v>1731</v>
      </c>
      <c r="F249" t="s">
        <v>1732</v>
      </c>
      <c r="G249" t="s">
        <v>1733</v>
      </c>
      <c r="H249" t="s">
        <v>1734</v>
      </c>
    </row>
    <row r="250" spans="1:9" x14ac:dyDescent="0.25">
      <c r="C250" t="s">
        <v>1735</v>
      </c>
      <c r="D250" t="s">
        <v>150</v>
      </c>
      <c r="E250" t="s">
        <v>1736</v>
      </c>
      <c r="F250" t="s">
        <v>1737</v>
      </c>
      <c r="G250" t="s">
        <v>1738</v>
      </c>
      <c r="H250" t="s">
        <v>1739</v>
      </c>
    </row>
    <row r="251" spans="1:9" x14ac:dyDescent="0.25">
      <c r="C251" t="s">
        <v>1740</v>
      </c>
      <c r="D251" t="s">
        <v>151</v>
      </c>
      <c r="E251" t="s">
        <v>1741</v>
      </c>
      <c r="F251" t="s">
        <v>1742</v>
      </c>
      <c r="G251" t="s">
        <v>1743</v>
      </c>
      <c r="H251" t="s">
        <v>1744</v>
      </c>
    </row>
    <row r="252" spans="1:9" x14ac:dyDescent="0.25">
      <c r="C252" t="s">
        <v>1745</v>
      </c>
      <c r="D252" t="s">
        <v>152</v>
      </c>
      <c r="E252" t="s">
        <v>1746</v>
      </c>
      <c r="F252" t="s">
        <v>1747</v>
      </c>
      <c r="G252" t="s">
        <v>1748</v>
      </c>
      <c r="H252" t="s">
        <v>1749</v>
      </c>
    </row>
    <row r="253" spans="1:9" x14ac:dyDescent="0.25">
      <c r="C253" t="s">
        <v>1750</v>
      </c>
      <c r="D253" t="s">
        <v>153</v>
      </c>
      <c r="E253" t="s">
        <v>1751</v>
      </c>
      <c r="F253" t="s">
        <v>1752</v>
      </c>
      <c r="G253" t="s">
        <v>1753</v>
      </c>
      <c r="H253" t="s">
        <v>1754</v>
      </c>
    </row>
    <row r="254" spans="1:9" x14ac:dyDescent="0.25">
      <c r="C254" t="s">
        <v>1755</v>
      </c>
      <c r="D254" t="s">
        <v>154</v>
      </c>
      <c r="E254" t="s">
        <v>1756</v>
      </c>
      <c r="F254" t="s">
        <v>1757</v>
      </c>
      <c r="G254" t="s">
        <v>1758</v>
      </c>
      <c r="H254" t="s">
        <v>1759</v>
      </c>
    </row>
    <row r="255" spans="1:9" x14ac:dyDescent="0.25">
      <c r="C255" t="s">
        <v>1760</v>
      </c>
      <c r="D255" t="s">
        <v>155</v>
      </c>
      <c r="E255" t="s">
        <v>1761</v>
      </c>
      <c r="F255" t="s">
        <v>1762</v>
      </c>
      <c r="G255" t="s">
        <v>1763</v>
      </c>
      <c r="H255" t="s">
        <v>1764</v>
      </c>
    </row>
    <row r="256" spans="1:9" x14ac:dyDescent="0.25">
      <c r="C256" t="s">
        <v>1765</v>
      </c>
      <c r="D256" t="s">
        <v>156</v>
      </c>
      <c r="E256" t="s">
        <v>1766</v>
      </c>
      <c r="F256" t="s">
        <v>1767</v>
      </c>
      <c r="G256" t="s">
        <v>1768</v>
      </c>
      <c r="H256" t="s">
        <v>1769</v>
      </c>
    </row>
    <row r="257" spans="1:9" x14ac:dyDescent="0.25">
      <c r="C257" t="s">
        <v>1770</v>
      </c>
      <c r="D257" t="s">
        <v>157</v>
      </c>
      <c r="E257" t="s">
        <v>1771</v>
      </c>
      <c r="F257" t="s">
        <v>1772</v>
      </c>
      <c r="G257" t="s">
        <v>1773</v>
      </c>
      <c r="H257" t="s">
        <v>1774</v>
      </c>
    </row>
    <row r="258" spans="1:9" x14ac:dyDescent="0.25">
      <c r="C258" t="s">
        <v>1775</v>
      </c>
      <c r="D258" t="s">
        <v>158</v>
      </c>
      <c r="E258" t="s">
        <v>1776</v>
      </c>
      <c r="F258" t="s">
        <v>1777</v>
      </c>
      <c r="G258" t="s">
        <v>1778</v>
      </c>
      <c r="H258" t="s">
        <v>1779</v>
      </c>
    </row>
    <row r="259" spans="1:9" x14ac:dyDescent="0.25">
      <c r="C259" t="s">
        <v>1780</v>
      </c>
      <c r="D259" t="s">
        <v>159</v>
      </c>
      <c r="E259" t="s">
        <v>1781</v>
      </c>
      <c r="F259" t="s">
        <v>1782</v>
      </c>
      <c r="G259" t="s">
        <v>1783</v>
      </c>
      <c r="H259" t="s">
        <v>1784</v>
      </c>
    </row>
    <row r="260" spans="1:9" x14ac:dyDescent="0.25">
      <c r="C260" t="s">
        <v>1785</v>
      </c>
      <c r="D260" t="s">
        <v>160</v>
      </c>
      <c r="E260" t="s">
        <v>1786</v>
      </c>
      <c r="F260" t="s">
        <v>1787</v>
      </c>
      <c r="G260" t="s">
        <v>1788</v>
      </c>
      <c r="H260" t="s">
        <v>1789</v>
      </c>
    </row>
    <row r="261" spans="1:9" x14ac:dyDescent="0.25">
      <c r="C261" t="s">
        <v>1790</v>
      </c>
      <c r="D261" t="s">
        <v>161</v>
      </c>
      <c r="E261" t="s">
        <v>1791</v>
      </c>
      <c r="F261" t="s">
        <v>1792</v>
      </c>
      <c r="G261" t="s">
        <v>1793</v>
      </c>
      <c r="H261" t="s">
        <v>1794</v>
      </c>
    </row>
    <row r="262" spans="1:9" x14ac:dyDescent="0.25">
      <c r="C262" t="s">
        <v>1795</v>
      </c>
      <c r="D262" t="s">
        <v>162</v>
      </c>
      <c r="E262" t="s">
        <v>1796</v>
      </c>
      <c r="F262" t="s">
        <v>1797</v>
      </c>
      <c r="G262" t="s">
        <v>1798</v>
      </c>
      <c r="H262" t="s">
        <v>1799</v>
      </c>
    </row>
    <row r="263" spans="1:9" x14ac:dyDescent="0.25">
      <c r="C263" t="s">
        <v>1800</v>
      </c>
      <c r="D263" t="s">
        <v>163</v>
      </c>
      <c r="E263" t="s">
        <v>1801</v>
      </c>
      <c r="F263" t="s">
        <v>1802</v>
      </c>
      <c r="G263" t="s">
        <v>1803</v>
      </c>
      <c r="H263" t="s">
        <v>1804</v>
      </c>
    </row>
    <row r="264" spans="1:9" x14ac:dyDescent="0.25">
      <c r="C264" t="s">
        <v>1805</v>
      </c>
      <c r="D264" t="s">
        <v>164</v>
      </c>
      <c r="E264" t="s">
        <v>1806</v>
      </c>
      <c r="F264" t="s">
        <v>1807</v>
      </c>
      <c r="G264" t="s">
        <v>1808</v>
      </c>
      <c r="H264" t="s">
        <v>1809</v>
      </c>
    </row>
    <row r="265" spans="1:9" x14ac:dyDescent="0.25">
      <c r="C265" t="s">
        <v>1810</v>
      </c>
      <c r="D265" t="s">
        <v>165</v>
      </c>
      <c r="E265" t="s">
        <v>1811</v>
      </c>
      <c r="F265" t="s">
        <v>1812</v>
      </c>
      <c r="G265" t="s">
        <v>1813</v>
      </c>
      <c r="H265" t="s">
        <v>1814</v>
      </c>
    </row>
    <row r="266" spans="1:9" x14ac:dyDescent="0.25">
      <c r="C266" t="s">
        <v>1815</v>
      </c>
      <c r="D266" t="s">
        <v>166</v>
      </c>
      <c r="E266" t="s">
        <v>1816</v>
      </c>
      <c r="F266" t="s">
        <v>1817</v>
      </c>
      <c r="G266" t="s">
        <v>1818</v>
      </c>
      <c r="H266" t="s">
        <v>1819</v>
      </c>
    </row>
    <row r="267" spans="1:9" x14ac:dyDescent="0.25">
      <c r="C267" t="s">
        <v>1820</v>
      </c>
      <c r="D267" t="s">
        <v>167</v>
      </c>
      <c r="E267" t="s">
        <v>1821</v>
      </c>
      <c r="F267" t="s">
        <v>1822</v>
      </c>
      <c r="G267" t="s">
        <v>1823</v>
      </c>
      <c r="H267" t="s">
        <v>1824</v>
      </c>
    </row>
    <row r="268" spans="1:9" x14ac:dyDescent="0.25">
      <c r="C268" t="s">
        <v>1825</v>
      </c>
      <c r="D268" t="s">
        <v>168</v>
      </c>
      <c r="E268" t="s">
        <v>1826</v>
      </c>
      <c r="F268" t="s">
        <v>1827</v>
      </c>
      <c r="G268" t="s">
        <v>1828</v>
      </c>
      <c r="H268" t="s">
        <v>1829</v>
      </c>
    </row>
    <row r="269" spans="1:9" x14ac:dyDescent="0.25">
      <c r="C269" t="s">
        <v>1830</v>
      </c>
      <c r="D269" t="s">
        <v>169</v>
      </c>
      <c r="E269" t="s">
        <v>1831</v>
      </c>
      <c r="F269" t="s">
        <v>1832</v>
      </c>
      <c r="G269" t="s">
        <v>1833</v>
      </c>
      <c r="H269" t="s">
        <v>1834</v>
      </c>
    </row>
    <row r="270" spans="1:9" x14ac:dyDescent="0.25">
      <c r="C270" t="s">
        <v>1835</v>
      </c>
      <c r="D270" t="s">
        <v>170</v>
      </c>
      <c r="E270" t="s">
        <v>1836</v>
      </c>
      <c r="F270" t="s">
        <v>1837</v>
      </c>
      <c r="G270" t="s">
        <v>1838</v>
      </c>
      <c r="H270" t="s">
        <v>1839</v>
      </c>
    </row>
    <row r="271" spans="1:9" x14ac:dyDescent="0.25">
      <c r="C271" t="s">
        <v>1840</v>
      </c>
      <c r="D271" t="s">
        <v>171</v>
      </c>
      <c r="E271" t="s">
        <v>1841</v>
      </c>
      <c r="F271" t="s">
        <v>1842</v>
      </c>
      <c r="G271" t="s">
        <v>1843</v>
      </c>
      <c r="H271" t="s">
        <v>1844</v>
      </c>
    </row>
    <row r="272" spans="1:9" x14ac:dyDescent="0.25">
      <c r="C272" t="s">
        <v>1845</v>
      </c>
      <c r="D272" t="s">
        <v>172</v>
      </c>
      <c r="E272" t="s">
        <v>1846</v>
      </c>
      <c r="F272" t="s">
        <v>1847</v>
      </c>
      <c r="G272" t="s">
        <v>1848</v>
      </c>
      <c r="H272" t="s">
        <v>1849</v>
      </c>
    </row>
    <row r="273" spans="1:9" x14ac:dyDescent="0.25">
      <c r="C273" t="s">
        <v>1850</v>
      </c>
      <c r="D273" t="s">
        <v>173</v>
      </c>
      <c r="E273" t="s">
        <v>1851</v>
      </c>
      <c r="F273" t="s">
        <v>1852</v>
      </c>
      <c r="G273" t="s">
        <v>1848</v>
      </c>
      <c r="H273" t="s">
        <v>1853</v>
      </c>
    </row>
    <row r="274" spans="1:9" x14ac:dyDescent="0.25">
      <c r="C274" t="s">
        <v>1854</v>
      </c>
      <c r="D274" t="s">
        <v>174</v>
      </c>
      <c r="E274" t="s">
        <v>1855</v>
      </c>
      <c r="F274" t="s">
        <v>1856</v>
      </c>
      <c r="G274" t="s">
        <v>1857</v>
      </c>
      <c r="H274" t="s">
        <v>1858</v>
      </c>
    </row>
    <row r="275" spans="1:9" x14ac:dyDescent="0.25">
      <c r="C275" t="s">
        <v>1859</v>
      </c>
      <c r="D275" t="s">
        <v>175</v>
      </c>
      <c r="E275" t="s">
        <v>1860</v>
      </c>
      <c r="F275" t="s">
        <v>1861</v>
      </c>
      <c r="G275" t="s">
        <v>1862</v>
      </c>
      <c r="H275" t="s">
        <v>1863</v>
      </c>
    </row>
    <row r="276" spans="1:9" x14ac:dyDescent="0.25">
      <c r="C276" t="s">
        <v>1864</v>
      </c>
      <c r="D276" t="s">
        <v>176</v>
      </c>
      <c r="E276" t="s">
        <v>1865</v>
      </c>
      <c r="F276" t="s">
        <v>1866</v>
      </c>
      <c r="G276" t="s">
        <v>1867</v>
      </c>
      <c r="H276" t="s">
        <v>1868</v>
      </c>
    </row>
    <row r="277" spans="1:9" x14ac:dyDescent="0.25">
      <c r="C277" t="s">
        <v>1869</v>
      </c>
      <c r="D277" t="s">
        <v>177</v>
      </c>
      <c r="E277" t="s">
        <v>1870</v>
      </c>
      <c r="F277" t="s">
        <v>1871</v>
      </c>
      <c r="G277" t="s">
        <v>1867</v>
      </c>
      <c r="H277" t="s">
        <v>1872</v>
      </c>
    </row>
    <row r="278" spans="1:9" x14ac:dyDescent="0.25">
      <c r="C278" t="s">
        <v>1873</v>
      </c>
      <c r="D278" t="s">
        <v>178</v>
      </c>
      <c r="E278" t="s">
        <v>1874</v>
      </c>
      <c r="F278" t="s">
        <v>1875</v>
      </c>
      <c r="G278" t="s">
        <v>1867</v>
      </c>
      <c r="H278" t="s">
        <v>1876</v>
      </c>
    </row>
    <row r="279" spans="1:9" x14ac:dyDescent="0.25">
      <c r="C279" t="s">
        <v>1877</v>
      </c>
      <c r="D279" t="s">
        <v>179</v>
      </c>
      <c r="E279" t="s">
        <v>1878</v>
      </c>
      <c r="F279" t="s">
        <v>1879</v>
      </c>
      <c r="G279" t="s">
        <v>1880</v>
      </c>
      <c r="H279" t="s">
        <v>1881</v>
      </c>
    </row>
    <row r="280" spans="1:9" x14ac:dyDescent="0.25">
      <c r="C280" t="s">
        <v>1882</v>
      </c>
      <c r="D280" t="s">
        <v>180</v>
      </c>
      <c r="E280" t="s">
        <v>1883</v>
      </c>
      <c r="F280" t="s">
        <v>1884</v>
      </c>
      <c r="G280" t="s">
        <v>1885</v>
      </c>
      <c r="H280" t="s">
        <v>1886</v>
      </c>
    </row>
    <row r="281" spans="1:9" x14ac:dyDescent="0.25">
      <c r="C281" t="s">
        <v>1887</v>
      </c>
      <c r="D281" t="s">
        <v>181</v>
      </c>
      <c r="E281" t="s">
        <v>1888</v>
      </c>
      <c r="F281" t="s">
        <v>1889</v>
      </c>
      <c r="G281" t="s">
        <v>1890</v>
      </c>
      <c r="H281" t="s">
        <v>1891</v>
      </c>
    </row>
    <row r="282" spans="1:9" x14ac:dyDescent="0.25">
      <c r="C282" t="s">
        <v>1892</v>
      </c>
      <c r="D282" t="s">
        <v>182</v>
      </c>
      <c r="E282" t="s">
        <v>1893</v>
      </c>
      <c r="F282" t="s">
        <v>1894</v>
      </c>
      <c r="G282" t="s">
        <v>1895</v>
      </c>
      <c r="H282" t="s">
        <v>1896</v>
      </c>
    </row>
    <row r="283" spans="1:9" x14ac:dyDescent="0.25">
      <c r="C283" t="s">
        <v>1897</v>
      </c>
      <c r="D283" t="s">
        <v>183</v>
      </c>
      <c r="E283" t="s">
        <v>1898</v>
      </c>
      <c r="F283" t="s">
        <v>1899</v>
      </c>
      <c r="G283" t="s">
        <v>1900</v>
      </c>
      <c r="H283" t="s">
        <v>1901</v>
      </c>
    </row>
    <row r="284" spans="1:9" x14ac:dyDescent="0.25">
      <c r="C284" t="s">
        <v>1902</v>
      </c>
      <c r="D284" t="s">
        <v>184</v>
      </c>
      <c r="E284" t="s">
        <v>1903</v>
      </c>
      <c r="F284" t="s">
        <v>1904</v>
      </c>
      <c r="G284" t="s">
        <v>1905</v>
      </c>
      <c r="H284" t="s">
        <v>1906</v>
      </c>
    </row>
    <row r="285" spans="1:9" x14ac:dyDescent="0.25">
      <c r="C285" t="s">
        <v>1907</v>
      </c>
      <c r="D285" t="s">
        <v>185</v>
      </c>
      <c r="E285" t="s">
        <v>1908</v>
      </c>
      <c r="F285" t="s">
        <v>1909</v>
      </c>
      <c r="G285" t="s">
        <v>1910</v>
      </c>
      <c r="H285" t="s">
        <v>1911</v>
      </c>
    </row>
    <row r="286" spans="1:9" x14ac:dyDescent="0.25">
      <c r="C286" t="s">
        <v>1912</v>
      </c>
      <c r="D286" t="s">
        <v>186</v>
      </c>
      <c r="E286" t="s">
        <v>1913</v>
      </c>
      <c r="F286" t="s">
        <v>1914</v>
      </c>
      <c r="G286" t="s">
        <v>1915</v>
      </c>
      <c r="H286" t="s">
        <v>1916</v>
      </c>
    </row>
    <row r="287" spans="1:9" x14ac:dyDescent="0.25">
      <c r="C287" t="s">
        <v>1917</v>
      </c>
      <c r="D287" t="s">
        <v>187</v>
      </c>
      <c r="E287" t="s">
        <v>1918</v>
      </c>
      <c r="F287" t="s">
        <v>1919</v>
      </c>
      <c r="G287" t="s">
        <v>1920</v>
      </c>
      <c r="H287" t="s">
        <v>1921</v>
      </c>
    </row>
    <row r="288" spans="1:9" x14ac:dyDescent="0.25">
      <c r="C288" t="s">
        <v>1922</v>
      </c>
      <c r="D288" t="s">
        <v>188</v>
      </c>
      <c r="E288" t="s">
        <v>1923</v>
      </c>
      <c r="F288" t="s">
        <v>1924</v>
      </c>
      <c r="G288" t="s">
        <v>1925</v>
      </c>
      <c r="H288" t="s">
        <v>1926</v>
      </c>
    </row>
    <row r="289" spans="1:9" x14ac:dyDescent="0.25">
      <c r="C289" t="s">
        <v>1927</v>
      </c>
      <c r="D289" t="s">
        <v>189</v>
      </c>
      <c r="E289" t="s">
        <v>1928</v>
      </c>
      <c r="F289" t="s">
        <v>1929</v>
      </c>
      <c r="G289" t="s">
        <v>1930</v>
      </c>
      <c r="H289" t="s">
        <v>1931</v>
      </c>
    </row>
    <row r="290" spans="1:9" x14ac:dyDescent="0.25">
      <c r="C290" t="s">
        <v>1932</v>
      </c>
      <c r="D290" t="s">
        <v>190</v>
      </c>
      <c r="E290" t="s">
        <v>1933</v>
      </c>
      <c r="F290" t="s">
        <v>1934</v>
      </c>
      <c r="G290" t="s">
        <v>1935</v>
      </c>
      <c r="H290" t="s">
        <v>1936</v>
      </c>
    </row>
    <row r="291" spans="1:9" x14ac:dyDescent="0.25">
      <c r="C291" t="s">
        <v>1937</v>
      </c>
      <c r="D291" t="s">
        <v>191</v>
      </c>
      <c r="E291" t="s">
        <v>1938</v>
      </c>
      <c r="F291" t="s">
        <v>1939</v>
      </c>
      <c r="G291" t="s">
        <v>1940</v>
      </c>
      <c r="H291" t="s">
        <v>1941</v>
      </c>
    </row>
    <row r="292" spans="1:9" x14ac:dyDescent="0.25">
      <c r="C292" t="s">
        <v>1942</v>
      </c>
      <c r="D292" t="s">
        <v>192</v>
      </c>
      <c r="E292" t="s">
        <v>1943</v>
      </c>
      <c r="F292" t="s">
        <v>1944</v>
      </c>
      <c r="G292" t="s">
        <v>1945</v>
      </c>
      <c r="H292" t="s">
        <v>1946</v>
      </c>
    </row>
    <row r="293" spans="1:9" x14ac:dyDescent="0.25">
      <c r="C293" t="s">
        <v>1947</v>
      </c>
      <c r="D293" t="s">
        <v>193</v>
      </c>
      <c r="E293" t="s">
        <v>1948</v>
      </c>
      <c r="F293" t="s">
        <v>1949</v>
      </c>
      <c r="G293" t="s">
        <v>1950</v>
      </c>
      <c r="H293" t="s">
        <v>1951</v>
      </c>
    </row>
    <row r="294" spans="1:9" x14ac:dyDescent="0.25">
      <c r="C294" t="s">
        <v>1952</v>
      </c>
      <c r="D294" t="s">
        <v>194</v>
      </c>
      <c r="E294" t="s">
        <v>1953</v>
      </c>
      <c r="F294" t="s">
        <v>1954</v>
      </c>
      <c r="G294" t="s">
        <v>1955</v>
      </c>
      <c r="H294" t="s">
        <v>1956</v>
      </c>
    </row>
    <row r="295" spans="1:9" x14ac:dyDescent="0.25">
      <c r="C295" t="s">
        <v>1957</v>
      </c>
      <c r="D295" t="s">
        <v>195</v>
      </c>
      <c r="E295" t="s">
        <v>1958</v>
      </c>
      <c r="F295" t="s">
        <v>1959</v>
      </c>
      <c r="G295" t="s">
        <v>1960</v>
      </c>
      <c r="H295" t="s">
        <v>1961</v>
      </c>
    </row>
    <row r="296" spans="1:9" x14ac:dyDescent="0.25">
      <c r="C296" t="s">
        <v>1962</v>
      </c>
      <c r="D296" t="s">
        <v>196</v>
      </c>
      <c r="E296" t="s">
        <v>1963</v>
      </c>
      <c r="F296" t="s">
        <v>1964</v>
      </c>
      <c r="G296" t="s">
        <v>1965</v>
      </c>
      <c r="H296" t="s">
        <v>1966</v>
      </c>
    </row>
    <row r="297" spans="1:9" x14ac:dyDescent="0.25">
      <c r="C297" t="s">
        <v>1967</v>
      </c>
      <c r="D297" t="s">
        <v>197</v>
      </c>
      <c r="E297" t="s">
        <v>1968</v>
      </c>
      <c r="F297" t="s">
        <v>1969</v>
      </c>
      <c r="G297" t="s">
        <v>1970</v>
      </c>
      <c r="H297" t="s">
        <v>1971</v>
      </c>
    </row>
    <row r="298" spans="1:9" x14ac:dyDescent="0.25">
      <c r="C298" t="s">
        <v>1972</v>
      </c>
      <c r="D298" t="s">
        <v>198</v>
      </c>
      <c r="E298" t="s">
        <v>1973</v>
      </c>
      <c r="F298" t="s">
        <v>1974</v>
      </c>
      <c r="G298" t="s">
        <v>1975</v>
      </c>
      <c r="H298" t="s">
        <v>1976</v>
      </c>
    </row>
    <row r="299" spans="1:9" x14ac:dyDescent="0.25">
      <c r="C299" t="s">
        <v>1977</v>
      </c>
      <c r="D299" t="s">
        <v>199</v>
      </c>
      <c r="E299" t="s">
        <v>1978</v>
      </c>
      <c r="F299" t="s">
        <v>1979</v>
      </c>
      <c r="G299" t="s">
        <v>1980</v>
      </c>
      <c r="H299" t="s">
        <v>1981</v>
      </c>
    </row>
    <row r="300" spans="1:9" x14ac:dyDescent="0.25">
      <c r="C300" t="s">
        <v>1982</v>
      </c>
      <c r="D300" t="s">
        <v>200</v>
      </c>
      <c r="E300" t="s">
        <v>1983</v>
      </c>
      <c r="F300" t="s">
        <v>1984</v>
      </c>
      <c r="G300" t="s">
        <v>1985</v>
      </c>
      <c r="H300" t="s">
        <v>1986</v>
      </c>
    </row>
    <row r="301" spans="1:9" x14ac:dyDescent="0.25">
      <c r="C301" t="s">
        <v>1987</v>
      </c>
      <c r="D301" t="s">
        <v>201</v>
      </c>
      <c r="E301" t="s">
        <v>1988</v>
      </c>
      <c r="F301" t="s">
        <v>1989</v>
      </c>
      <c r="G301" t="s">
        <v>1990</v>
      </c>
      <c r="H301" t="s">
        <v>1991</v>
      </c>
    </row>
    <row r="302" spans="1:9" x14ac:dyDescent="0.25">
      <c r="C302" t="s">
        <v>1992</v>
      </c>
      <c r="D302" t="s">
        <v>202</v>
      </c>
      <c r="E302" t="s">
        <v>1993</v>
      </c>
      <c r="F302" t="s">
        <v>1994</v>
      </c>
      <c r="G302" t="s">
        <v>1995</v>
      </c>
      <c r="H302" t="s">
        <v>1996</v>
      </c>
    </row>
    <row r="303" spans="1:9" x14ac:dyDescent="0.25">
      <c r="C303" t="s">
        <v>1997</v>
      </c>
      <c r="D303" t="s">
        <v>203</v>
      </c>
      <c r="E303" t="s">
        <v>1998</v>
      </c>
      <c r="F303" t="s">
        <v>1999</v>
      </c>
      <c r="G303" t="s">
        <v>2000</v>
      </c>
      <c r="H303" t="s">
        <v>2001</v>
      </c>
    </row>
    <row r="304" spans="1:9" x14ac:dyDescent="0.25">
      <c r="C304" t="s">
        <v>2002</v>
      </c>
      <c r="D304" t="s">
        <v>204</v>
      </c>
      <c r="E304" t="s">
        <v>2003</v>
      </c>
      <c r="F304" t="s">
        <v>2004</v>
      </c>
      <c r="G304" t="s">
        <v>2005</v>
      </c>
      <c r="H304" t="s">
        <v>2006</v>
      </c>
    </row>
    <row r="305" spans="1:9" x14ac:dyDescent="0.25">
      <c r="C305" t="s">
        <v>2007</v>
      </c>
      <c r="D305" t="s">
        <v>205</v>
      </c>
      <c r="E305" t="s">
        <v>2008</v>
      </c>
      <c r="F305" t="s">
        <v>2009</v>
      </c>
      <c r="G305" t="s">
        <v>2010</v>
      </c>
      <c r="H305" t="s">
        <v>2011</v>
      </c>
    </row>
    <row r="306" spans="1:9" x14ac:dyDescent="0.25">
      <c r="C306" t="s">
        <v>2012</v>
      </c>
      <c r="D306" t="s">
        <v>206</v>
      </c>
      <c r="E306" t="s">
        <v>2013</v>
      </c>
      <c r="F306" t="s">
        <v>2014</v>
      </c>
      <c r="G306" t="s">
        <v>2015</v>
      </c>
      <c r="H306" t="s">
        <v>2016</v>
      </c>
    </row>
    <row r="307" spans="1:9" x14ac:dyDescent="0.25">
      <c r="C307" t="s">
        <v>2017</v>
      </c>
      <c r="D307" t="s">
        <v>207</v>
      </c>
      <c r="E307" t="s">
        <v>2018</v>
      </c>
      <c r="F307" t="s">
        <v>2019</v>
      </c>
      <c r="G307" t="s">
        <v>2020</v>
      </c>
      <c r="H307" t="s">
        <v>2021</v>
      </c>
    </row>
    <row r="308" spans="1:9" x14ac:dyDescent="0.25">
      <c r="C308" t="s">
        <v>2022</v>
      </c>
      <c r="D308" t="s">
        <v>208</v>
      </c>
      <c r="E308" t="s">
        <v>2023</v>
      </c>
      <c r="F308" t="s">
        <v>2024</v>
      </c>
      <c r="G308" t="s">
        <v>2025</v>
      </c>
      <c r="H308" t="s">
        <v>2026</v>
      </c>
    </row>
    <row r="309" spans="1:9" x14ac:dyDescent="0.25">
      <c r="C309" t="s">
        <v>2027</v>
      </c>
      <c r="D309" t="s">
        <v>209</v>
      </c>
      <c r="E309" t="s">
        <v>2028</v>
      </c>
      <c r="F309" t="s">
        <v>2029</v>
      </c>
      <c r="G309" t="s">
        <v>2030</v>
      </c>
      <c r="H309" t="s">
        <v>2031</v>
      </c>
    </row>
    <row r="310" spans="1:9" x14ac:dyDescent="0.25">
      <c r="C310" t="s">
        <v>2032</v>
      </c>
      <c r="D310" t="s">
        <v>210</v>
      </c>
      <c r="E310" t="s">
        <v>2033</v>
      </c>
      <c r="F310" t="s">
        <v>2034</v>
      </c>
      <c r="G310" t="s">
        <v>2035</v>
      </c>
      <c r="H310" t="s">
        <v>2036</v>
      </c>
    </row>
    <row r="311" spans="1:9" x14ac:dyDescent="0.25">
      <c r="C311" t="s">
        <v>2037</v>
      </c>
      <c r="D311" t="s">
        <v>211</v>
      </c>
      <c r="E311" t="s">
        <v>2038</v>
      </c>
      <c r="F311" t="s">
        <v>2039</v>
      </c>
      <c r="G311" t="s">
        <v>2040</v>
      </c>
      <c r="H311" t="s">
        <v>2041</v>
      </c>
    </row>
    <row r="312" spans="1:9" x14ac:dyDescent="0.25">
      <c r="F312" t="s">
        <v>2042</v>
      </c>
      <c r="G312" t="s">
        <v>2043</v>
      </c>
      <c r="H312" t="s">
        <v>2044</v>
      </c>
    </row>
    <row r="313" spans="1:9" x14ac:dyDescent="0.25">
      <c r="F313" t="s">
        <v>2045</v>
      </c>
      <c r="G313" t="s">
        <v>2046</v>
      </c>
      <c r="H313" t="s">
        <v>2047</v>
      </c>
    </row>
    <row r="314" spans="1:9" x14ac:dyDescent="0.25">
      <c r="F314" t="s">
        <v>2048</v>
      </c>
      <c r="G314" t="s">
        <v>2049</v>
      </c>
      <c r="H314" t="s">
        <v>2050</v>
      </c>
    </row>
    <row r="315" spans="1:9" x14ac:dyDescent="0.25">
      <c r="F315" t="s">
        <v>2051</v>
      </c>
      <c r="G315" t="s">
        <v>2052</v>
      </c>
      <c r="H315" t="s">
        <v>2053</v>
      </c>
    </row>
    <row r="316" spans="1:9" x14ac:dyDescent="0.25">
      <c r="F316" t="s">
        <v>2054</v>
      </c>
      <c r="G316" t="s">
        <v>2055</v>
      </c>
      <c r="H316" t="s">
        <v>2056</v>
      </c>
    </row>
    <row r="317" spans="1:9" x14ac:dyDescent="0.25">
      <c r="F317" t="s">
        <v>2057</v>
      </c>
      <c r="G317" t="s">
        <v>2058</v>
      </c>
      <c r="H317" t="s">
        <v>2059</v>
      </c>
    </row>
    <row r="318" spans="1:9" x14ac:dyDescent="0.25">
      <c r="F318" t="s">
        <v>2060</v>
      </c>
      <c r="G318" t="s">
        <v>2058</v>
      </c>
      <c r="H318" t="s">
        <v>2061</v>
      </c>
    </row>
    <row r="319" spans="1:9" x14ac:dyDescent="0.25">
      <c r="F319" t="s">
        <v>2062</v>
      </c>
      <c r="G319" t="s">
        <v>2063</v>
      </c>
      <c r="H319" t="s">
        <v>2064</v>
      </c>
    </row>
    <row r="320" spans="1:9" x14ac:dyDescent="0.25">
      <c r="F320" t="s">
        <v>2065</v>
      </c>
      <c r="G320" t="s">
        <v>2066</v>
      </c>
      <c r="H320" t="s">
        <v>2067</v>
      </c>
    </row>
    <row r="321" spans="1:9" x14ac:dyDescent="0.25">
      <c r="F321" t="s">
        <v>2068</v>
      </c>
      <c r="G321" t="s">
        <v>2069</v>
      </c>
      <c r="H321" t="s">
        <v>2070</v>
      </c>
    </row>
    <row r="322" spans="1:9" x14ac:dyDescent="0.25">
      <c r="F322" t="s">
        <v>2071</v>
      </c>
      <c r="G322" t="s">
        <v>2072</v>
      </c>
      <c r="H322" t="s">
        <v>2073</v>
      </c>
    </row>
    <row r="323" spans="1:9" x14ac:dyDescent="0.25">
      <c r="F323" t="s">
        <v>2074</v>
      </c>
      <c r="G323" t="s">
        <v>2075</v>
      </c>
      <c r="H323" t="s">
        <v>2076</v>
      </c>
    </row>
    <row r="324" spans="1:9" x14ac:dyDescent="0.25">
      <c r="F324" t="s">
        <v>2077</v>
      </c>
      <c r="G324" t="s">
        <v>2078</v>
      </c>
      <c r="H324" t="s">
        <v>2079</v>
      </c>
    </row>
    <row r="325" spans="1:9" x14ac:dyDescent="0.25">
      <c r="F325" t="s">
        <v>2080</v>
      </c>
      <c r="G325" t="s">
        <v>2081</v>
      </c>
      <c r="H325" t="s">
        <v>2082</v>
      </c>
    </row>
    <row r="326" spans="1:9" x14ac:dyDescent="0.25">
      <c r="F326" t="s">
        <v>2083</v>
      </c>
      <c r="G326" t="s">
        <v>2084</v>
      </c>
      <c r="H326" t="s">
        <v>2085</v>
      </c>
    </row>
    <row r="327" spans="1:9" x14ac:dyDescent="0.25">
      <c r="F327" t="s">
        <v>2086</v>
      </c>
      <c r="G327" t="s">
        <v>2087</v>
      </c>
      <c r="H327" t="s">
        <v>2088</v>
      </c>
    </row>
    <row r="328" spans="1:9" x14ac:dyDescent="0.25">
      <c r="F328" t="s">
        <v>2089</v>
      </c>
      <c r="G328" t="s">
        <v>2087</v>
      </c>
      <c r="H328" t="s">
        <v>2090</v>
      </c>
    </row>
    <row r="329" spans="1:9" x14ac:dyDescent="0.25">
      <c r="F329" t="s">
        <v>2091</v>
      </c>
      <c r="G329" t="s">
        <v>2092</v>
      </c>
      <c r="H329" t="s">
        <v>2093</v>
      </c>
    </row>
    <row r="330" spans="1:9" x14ac:dyDescent="0.25">
      <c r="F330" t="s">
        <v>2094</v>
      </c>
      <c r="G330" t="s">
        <v>2095</v>
      </c>
      <c r="H330" t="s">
        <v>2096</v>
      </c>
    </row>
    <row r="331" spans="1:9" x14ac:dyDescent="0.25">
      <c r="F331" t="s">
        <v>2097</v>
      </c>
      <c r="G331" t="s">
        <v>2098</v>
      </c>
      <c r="H331" t="s">
        <v>2099</v>
      </c>
    </row>
    <row r="332" spans="1:9" x14ac:dyDescent="0.25">
      <c r="F332" t="s">
        <v>2100</v>
      </c>
      <c r="G332" t="s">
        <v>2101</v>
      </c>
      <c r="H332" t="s">
        <v>2102</v>
      </c>
    </row>
    <row r="333" spans="1:9" x14ac:dyDescent="0.25">
      <c r="F333" t="s">
        <v>2103</v>
      </c>
      <c r="G333" t="s">
        <v>2104</v>
      </c>
      <c r="H333" t="s">
        <v>2105</v>
      </c>
    </row>
    <row r="334" spans="1:9" x14ac:dyDescent="0.25">
      <c r="F334" t="s">
        <v>2106</v>
      </c>
      <c r="G334" t="s">
        <v>2107</v>
      </c>
      <c r="H334" t="s">
        <v>2108</v>
      </c>
    </row>
    <row r="335" spans="1:9" x14ac:dyDescent="0.25">
      <c r="F335" t="s">
        <v>2109</v>
      </c>
      <c r="G335" t="s">
        <v>2110</v>
      </c>
      <c r="H335" t="s">
        <v>2111</v>
      </c>
    </row>
    <row r="336" spans="1:9" x14ac:dyDescent="0.25">
      <c r="F336" t="s">
        <v>2112</v>
      </c>
      <c r="G336" t="s">
        <v>2113</v>
      </c>
      <c r="H336" t="s">
        <v>2114</v>
      </c>
    </row>
    <row r="337" spans="1:9" x14ac:dyDescent="0.25">
      <c r="F337" t="s">
        <v>2115</v>
      </c>
      <c r="G337" t="s">
        <v>2116</v>
      </c>
      <c r="H337" t="s">
        <v>2117</v>
      </c>
    </row>
    <row r="338" spans="1:9" x14ac:dyDescent="0.25">
      <c r="F338" t="s">
        <v>2118</v>
      </c>
      <c r="G338" t="s">
        <v>2119</v>
      </c>
      <c r="H338" t="s">
        <v>2120</v>
      </c>
    </row>
    <row r="339" spans="1:9" x14ac:dyDescent="0.25">
      <c r="F339" t="s">
        <v>2121</v>
      </c>
      <c r="G339" t="s">
        <v>2122</v>
      </c>
      <c r="H339" t="s">
        <v>2123</v>
      </c>
    </row>
    <row r="340" spans="1:9" x14ac:dyDescent="0.25">
      <c r="F340" t="s">
        <v>2124</v>
      </c>
      <c r="G340" t="s">
        <v>2122</v>
      </c>
      <c r="H340" t="s">
        <v>2125</v>
      </c>
    </row>
    <row r="341" spans="1:9" x14ac:dyDescent="0.25">
      <c r="F341" t="s">
        <v>2126</v>
      </c>
      <c r="G341" t="s">
        <v>2127</v>
      </c>
      <c r="H341" t="s">
        <v>2128</v>
      </c>
    </row>
    <row r="342" spans="1:9" x14ac:dyDescent="0.25">
      <c r="F342" t="s">
        <v>2129</v>
      </c>
      <c r="G342" t="s">
        <v>2130</v>
      </c>
      <c r="H342" t="s">
        <v>2131</v>
      </c>
    </row>
    <row r="343" spans="1:9" x14ac:dyDescent="0.25">
      <c r="F343" t="s">
        <v>2132</v>
      </c>
      <c r="G343" t="s">
        <v>2133</v>
      </c>
      <c r="H343" t="s">
        <v>2134</v>
      </c>
    </row>
    <row r="344" spans="1:9" x14ac:dyDescent="0.25">
      <c r="F344" t="s">
        <v>2135</v>
      </c>
      <c r="G344" t="s">
        <v>2136</v>
      </c>
      <c r="H344" t="s">
        <v>2137</v>
      </c>
    </row>
    <row r="345" spans="1:9" x14ac:dyDescent="0.25">
      <c r="F345" t="s">
        <v>2138</v>
      </c>
      <c r="G345" t="s">
        <v>2139</v>
      </c>
      <c r="H345" t="s">
        <v>2140</v>
      </c>
    </row>
    <row r="346" spans="1:9" x14ac:dyDescent="0.25">
      <c r="F346" t="s">
        <v>2141</v>
      </c>
      <c r="G346" t="s">
        <v>2142</v>
      </c>
      <c r="H346" t="s">
        <v>2143</v>
      </c>
    </row>
    <row r="347" spans="1:9" x14ac:dyDescent="0.25">
      <c r="F347" t="s">
        <v>2144</v>
      </c>
      <c r="G347" t="s">
        <v>2145</v>
      </c>
      <c r="H347" t="s">
        <v>2146</v>
      </c>
    </row>
    <row r="348" spans="1:9" x14ac:dyDescent="0.25">
      <c r="F348" t="s">
        <v>2147</v>
      </c>
      <c r="G348" t="s">
        <v>2148</v>
      </c>
      <c r="H348" t="s">
        <v>2149</v>
      </c>
    </row>
    <row r="349" spans="1:9" x14ac:dyDescent="0.25">
      <c r="F349" t="s">
        <v>2150</v>
      </c>
      <c r="G349" t="s">
        <v>2151</v>
      </c>
      <c r="H349" t="s">
        <v>2152</v>
      </c>
    </row>
    <row r="350" spans="1:9" x14ac:dyDescent="0.25">
      <c r="F350" t="s">
        <v>2153</v>
      </c>
      <c r="G350" t="s">
        <v>2154</v>
      </c>
      <c r="H350" t="s">
        <v>2155</v>
      </c>
    </row>
    <row r="351" spans="1:9" x14ac:dyDescent="0.25">
      <c r="F351" t="s">
        <v>2156</v>
      </c>
      <c r="G351" t="s">
        <v>2157</v>
      </c>
      <c r="H351" t="s">
        <v>2158</v>
      </c>
    </row>
    <row r="352" spans="1:9" x14ac:dyDescent="0.25">
      <c r="F352" t="s">
        <v>2159</v>
      </c>
      <c r="G352" t="s">
        <v>2160</v>
      </c>
      <c r="H352" t="s">
        <v>2161</v>
      </c>
    </row>
    <row r="353" spans="1:9" x14ac:dyDescent="0.25">
      <c r="F353" t="s">
        <v>2162</v>
      </c>
      <c r="G353" t="s">
        <v>2163</v>
      </c>
      <c r="H353" t="s">
        <v>2164</v>
      </c>
    </row>
    <row r="354" spans="1:9" x14ac:dyDescent="0.25">
      <c r="F354" t="s">
        <v>2165</v>
      </c>
      <c r="G354" t="s">
        <v>2166</v>
      </c>
      <c r="H354" t="s">
        <v>2167</v>
      </c>
    </row>
    <row r="355" spans="1:9" x14ac:dyDescent="0.25">
      <c r="F355" t="s">
        <v>2168</v>
      </c>
      <c r="G355" t="s">
        <v>2169</v>
      </c>
      <c r="H355" t="s">
        <v>2170</v>
      </c>
    </row>
    <row r="356" spans="1:9" x14ac:dyDescent="0.25">
      <c r="F356" t="s">
        <v>2171</v>
      </c>
      <c r="G356" t="s">
        <v>2172</v>
      </c>
      <c r="H356" t="s">
        <v>2173</v>
      </c>
    </row>
    <row r="357" spans="1:9" x14ac:dyDescent="0.25">
      <c r="F357" t="s">
        <v>2174</v>
      </c>
      <c r="G357" t="s">
        <v>2175</v>
      </c>
      <c r="H357" t="s">
        <v>2176</v>
      </c>
    </row>
    <row r="358" spans="1:9" x14ac:dyDescent="0.25">
      <c r="F358" t="s">
        <v>2177</v>
      </c>
      <c r="G358" t="s">
        <v>2175</v>
      </c>
      <c r="H358" t="s">
        <v>2178</v>
      </c>
    </row>
    <row r="359" spans="1:9" x14ac:dyDescent="0.25">
      <c r="F359" t="s">
        <v>2179</v>
      </c>
      <c r="G359" t="s">
        <v>2180</v>
      </c>
      <c r="H359" t="s">
        <v>2181</v>
      </c>
    </row>
    <row r="360" spans="1:9" x14ac:dyDescent="0.25">
      <c r="F360" t="s">
        <v>2182</v>
      </c>
      <c r="G360" t="s">
        <v>2183</v>
      </c>
      <c r="H360" t="s">
        <v>2184</v>
      </c>
    </row>
    <row r="361" spans="1:9" x14ac:dyDescent="0.25">
      <c r="F361" t="s">
        <v>2185</v>
      </c>
      <c r="G361" t="s">
        <v>2186</v>
      </c>
      <c r="H361" t="s">
        <v>2187</v>
      </c>
    </row>
    <row r="362" spans="1:9" x14ac:dyDescent="0.25">
      <c r="F362" t="s">
        <v>2188</v>
      </c>
      <c r="G362" t="s">
        <v>2189</v>
      </c>
      <c r="H362" t="s">
        <v>2190</v>
      </c>
    </row>
    <row r="363" spans="1:9" x14ac:dyDescent="0.25">
      <c r="F363" t="s">
        <v>2191</v>
      </c>
      <c r="G363" t="s">
        <v>2192</v>
      </c>
      <c r="H363" t="s">
        <v>2193</v>
      </c>
    </row>
    <row r="364" spans="1:9" x14ac:dyDescent="0.25">
      <c r="F364" t="s">
        <v>2194</v>
      </c>
      <c r="G364" t="s">
        <v>2195</v>
      </c>
      <c r="H364" t="s">
        <v>2196</v>
      </c>
    </row>
    <row r="365" spans="1:9" x14ac:dyDescent="0.25">
      <c r="F365" t="s">
        <v>2197</v>
      </c>
      <c r="G365" t="s">
        <v>2198</v>
      </c>
      <c r="H365" t="s">
        <v>2199</v>
      </c>
    </row>
    <row r="366" spans="1:9" x14ac:dyDescent="0.25">
      <c r="F366" t="s">
        <v>2200</v>
      </c>
      <c r="G366" t="s">
        <v>2201</v>
      </c>
      <c r="H366" t="s">
        <v>2202</v>
      </c>
    </row>
    <row r="367" spans="1:9" x14ac:dyDescent="0.25">
      <c r="F367" t="s">
        <v>2203</v>
      </c>
      <c r="G367" t="s">
        <v>2204</v>
      </c>
      <c r="H367" t="s">
        <v>2205</v>
      </c>
    </row>
    <row r="368" spans="1:9" x14ac:dyDescent="0.25">
      <c r="F368" t="s">
        <v>2206</v>
      </c>
      <c r="G368" t="s">
        <v>2207</v>
      </c>
      <c r="H368" t="s">
        <v>2208</v>
      </c>
    </row>
    <row r="369" spans="1:9" x14ac:dyDescent="0.25">
      <c r="F369" t="s">
        <v>2209</v>
      </c>
      <c r="G369" t="s">
        <v>2210</v>
      </c>
      <c r="H369" t="s">
        <v>2211</v>
      </c>
    </row>
    <row r="370" spans="1:9" x14ac:dyDescent="0.25">
      <c r="F370" t="s">
        <v>2212</v>
      </c>
      <c r="G370" t="s">
        <v>2213</v>
      </c>
      <c r="H370" t="s">
        <v>2214</v>
      </c>
    </row>
    <row r="371" spans="1:9" x14ac:dyDescent="0.25">
      <c r="F371" t="s">
        <v>2215</v>
      </c>
      <c r="G371" t="s">
        <v>2216</v>
      </c>
      <c r="H371" t="s">
        <v>2217</v>
      </c>
    </row>
    <row r="372" spans="1:9" x14ac:dyDescent="0.25">
      <c r="F372" t="s">
        <v>2218</v>
      </c>
      <c r="G372" t="s">
        <v>2219</v>
      </c>
      <c r="H372" t="s">
        <v>2220</v>
      </c>
    </row>
    <row r="373" spans="1:9" x14ac:dyDescent="0.25">
      <c r="F373" t="s">
        <v>2221</v>
      </c>
      <c r="G373" t="s">
        <v>2222</v>
      </c>
      <c r="H373" t="s">
        <v>2223</v>
      </c>
    </row>
    <row r="374" spans="1:9" x14ac:dyDescent="0.25">
      <c r="F374" t="s">
        <v>2224</v>
      </c>
      <c r="G374" t="s">
        <v>2225</v>
      </c>
      <c r="H374" t="s">
        <v>2226</v>
      </c>
    </row>
    <row r="375" spans="1:9" x14ac:dyDescent="0.25">
      <c r="F375" t="s">
        <v>2227</v>
      </c>
      <c r="G375" t="s">
        <v>2228</v>
      </c>
      <c r="H375" t="s">
        <v>2229</v>
      </c>
    </row>
    <row r="376" spans="1:9" x14ac:dyDescent="0.25">
      <c r="F376" t="s">
        <v>2230</v>
      </c>
      <c r="G376" t="s">
        <v>2231</v>
      </c>
      <c r="H376" t="s">
        <v>2232</v>
      </c>
    </row>
    <row r="377" spans="1:9" x14ac:dyDescent="0.25">
      <c r="F377" t="s">
        <v>2233</v>
      </c>
      <c r="G377" t="s">
        <v>2234</v>
      </c>
      <c r="H377" t="s">
        <v>2235</v>
      </c>
    </row>
    <row r="378" spans="1:9" x14ac:dyDescent="0.25">
      <c r="F378" t="s">
        <v>2236</v>
      </c>
      <c r="G378" t="s">
        <v>2237</v>
      </c>
      <c r="H378" t="s">
        <v>2238</v>
      </c>
    </row>
    <row r="379" spans="1:9" x14ac:dyDescent="0.25">
      <c r="F379" t="s">
        <v>2239</v>
      </c>
      <c r="G379" t="s">
        <v>2240</v>
      </c>
      <c r="H379" t="s">
        <v>2241</v>
      </c>
    </row>
    <row r="380" spans="1:9" x14ac:dyDescent="0.25">
      <c r="F380" t="s">
        <v>2242</v>
      </c>
      <c r="G380" t="s">
        <v>2243</v>
      </c>
      <c r="H380" t="s">
        <v>2244</v>
      </c>
    </row>
    <row r="381" spans="1:9" x14ac:dyDescent="0.25">
      <c r="F381" t="s">
        <v>2245</v>
      </c>
      <c r="G381" t="s">
        <v>2246</v>
      </c>
      <c r="H381" t="s">
        <v>2247</v>
      </c>
    </row>
    <row r="382" spans="1:9" x14ac:dyDescent="0.25">
      <c r="F382" t="s">
        <v>2248</v>
      </c>
      <c r="G382" t="s">
        <v>2249</v>
      </c>
      <c r="H382" t="s">
        <v>2250</v>
      </c>
    </row>
    <row r="383" spans="1:9" x14ac:dyDescent="0.25">
      <c r="F383" t="s">
        <v>2251</v>
      </c>
      <c r="G383" t="s">
        <v>2252</v>
      </c>
      <c r="H383" t="s">
        <v>2253</v>
      </c>
    </row>
    <row r="384" spans="1:9" x14ac:dyDescent="0.25">
      <c r="F384" t="s">
        <v>2254</v>
      </c>
      <c r="G384" t="s">
        <v>2255</v>
      </c>
      <c r="H384" t="s">
        <v>2256</v>
      </c>
    </row>
    <row r="385" spans="1:9" x14ac:dyDescent="0.25">
      <c r="F385" t="s">
        <v>2257</v>
      </c>
      <c r="G385" t="s">
        <v>2258</v>
      </c>
      <c r="H385" t="s">
        <v>2259</v>
      </c>
    </row>
    <row r="386" spans="1:9" x14ac:dyDescent="0.25">
      <c r="F386" t="s">
        <v>2260</v>
      </c>
      <c r="G386" t="s">
        <v>2261</v>
      </c>
      <c r="H386" t="s">
        <v>2262</v>
      </c>
    </row>
    <row r="387" spans="1:9" x14ac:dyDescent="0.25">
      <c r="F387" t="s">
        <v>2263</v>
      </c>
      <c r="G387" t="s">
        <v>2264</v>
      </c>
      <c r="H387" t="s">
        <v>2265</v>
      </c>
    </row>
    <row r="388" spans="1:9" x14ac:dyDescent="0.25">
      <c r="F388" t="s">
        <v>2266</v>
      </c>
      <c r="G388" t="s">
        <v>2267</v>
      </c>
      <c r="H388" t="s">
        <v>2268</v>
      </c>
    </row>
    <row r="389" spans="1:9" x14ac:dyDescent="0.25">
      <c r="F389" t="s">
        <v>2269</v>
      </c>
      <c r="G389" t="s">
        <v>2270</v>
      </c>
      <c r="H389" t="s">
        <v>2271</v>
      </c>
    </row>
    <row r="390" spans="1:9" x14ac:dyDescent="0.25">
      <c r="F390" t="s">
        <v>2272</v>
      </c>
      <c r="G390" t="s">
        <v>2273</v>
      </c>
      <c r="H390" t="s">
        <v>2274</v>
      </c>
    </row>
    <row r="391" spans="1:9" x14ac:dyDescent="0.25">
      <c r="F391" t="s">
        <v>2275</v>
      </c>
      <c r="G391" t="s">
        <v>2273</v>
      </c>
      <c r="H391" t="s">
        <v>2276</v>
      </c>
    </row>
    <row r="392" spans="1:9" x14ac:dyDescent="0.25">
      <c r="F392" t="s">
        <v>2277</v>
      </c>
      <c r="G392" t="s">
        <v>2278</v>
      </c>
      <c r="H392" t="s">
        <v>2279</v>
      </c>
    </row>
    <row r="393" spans="1:9" x14ac:dyDescent="0.25">
      <c r="F393" t="s">
        <v>2280</v>
      </c>
      <c r="G393" t="s">
        <v>2281</v>
      </c>
      <c r="H393" t="s">
        <v>2282</v>
      </c>
    </row>
    <row r="394" spans="1:9" x14ac:dyDescent="0.25">
      <c r="F394" t="s">
        <v>2283</v>
      </c>
      <c r="G394" t="s">
        <v>2284</v>
      </c>
      <c r="H394" t="s">
        <v>2285</v>
      </c>
    </row>
    <row r="395" spans="1:9" x14ac:dyDescent="0.25">
      <c r="F395" t="s">
        <v>2286</v>
      </c>
      <c r="G395" t="s">
        <v>2287</v>
      </c>
      <c r="H395" t="s">
        <v>2288</v>
      </c>
    </row>
    <row r="396" spans="1:9" x14ac:dyDescent="0.25">
      <c r="F396" t="s">
        <v>2289</v>
      </c>
      <c r="G396" t="s">
        <v>2290</v>
      </c>
      <c r="H396" t="s">
        <v>2291</v>
      </c>
    </row>
    <row r="397" spans="1:9" x14ac:dyDescent="0.25">
      <c r="F397" t="s">
        <v>2292</v>
      </c>
      <c r="G397" t="s">
        <v>2293</v>
      </c>
      <c r="H397" t="s">
        <v>2294</v>
      </c>
    </row>
    <row r="398" spans="1:9" x14ac:dyDescent="0.25">
      <c r="F398" t="s">
        <v>2295</v>
      </c>
      <c r="G398" t="s">
        <v>2296</v>
      </c>
      <c r="H398" t="s">
        <v>2297</v>
      </c>
    </row>
    <row r="399" spans="1:9" x14ac:dyDescent="0.25">
      <c r="F399" t="s">
        <v>2298</v>
      </c>
      <c r="G399" t="s">
        <v>2299</v>
      </c>
      <c r="H399" t="s">
        <v>2300</v>
      </c>
    </row>
    <row r="400" spans="1:9" x14ac:dyDescent="0.25">
      <c r="F400" t="s">
        <v>2301</v>
      </c>
      <c r="G400" t="s">
        <v>2302</v>
      </c>
      <c r="H400" t="s">
        <v>2303</v>
      </c>
    </row>
    <row r="401" spans="1:9" x14ac:dyDescent="0.25">
      <c r="F401" t="s">
        <v>2304</v>
      </c>
      <c r="G401" t="s">
        <v>2305</v>
      </c>
      <c r="H401" t="s">
        <v>2306</v>
      </c>
    </row>
    <row r="402" spans="1:9" x14ac:dyDescent="0.25">
      <c r="F402" t="s">
        <v>2307</v>
      </c>
      <c r="G402" t="s">
        <v>2308</v>
      </c>
      <c r="H402" t="s">
        <v>2309</v>
      </c>
    </row>
    <row r="403" spans="1:9" x14ac:dyDescent="0.25">
      <c r="F403" t="s">
        <v>2310</v>
      </c>
      <c r="G403" t="s">
        <v>2311</v>
      </c>
      <c r="H403" t="s">
        <v>2312</v>
      </c>
    </row>
    <row r="404" spans="1:9" x14ac:dyDescent="0.25">
      <c r="F404" t="s">
        <v>2313</v>
      </c>
      <c r="G404" t="s">
        <v>2314</v>
      </c>
      <c r="H404" t="s">
        <v>2315</v>
      </c>
    </row>
    <row r="405" spans="1:9" x14ac:dyDescent="0.25">
      <c r="F405" t="s">
        <v>2316</v>
      </c>
      <c r="G405" t="s">
        <v>2317</v>
      </c>
      <c r="H405" t="s">
        <v>2318</v>
      </c>
    </row>
    <row r="406" spans="1:9" x14ac:dyDescent="0.25">
      <c r="F406" t="s">
        <v>2319</v>
      </c>
      <c r="G406" t="s">
        <v>2320</v>
      </c>
      <c r="H406" t="s">
        <v>2321</v>
      </c>
    </row>
    <row r="407" spans="1:9" x14ac:dyDescent="0.25">
      <c r="F407" t="s">
        <v>2322</v>
      </c>
      <c r="G407" t="s">
        <v>2323</v>
      </c>
      <c r="H407" t="s">
        <v>2324</v>
      </c>
    </row>
    <row r="408" spans="1:9" x14ac:dyDescent="0.25">
      <c r="F408" t="s">
        <v>2325</v>
      </c>
      <c r="G408" t="s">
        <v>2326</v>
      </c>
      <c r="H408" t="s">
        <v>2327</v>
      </c>
    </row>
    <row r="409" spans="1:9" x14ac:dyDescent="0.25">
      <c r="F409" t="s">
        <v>2328</v>
      </c>
      <c r="G409" t="s">
        <v>2329</v>
      </c>
      <c r="H409" t="s">
        <v>2330</v>
      </c>
    </row>
    <row r="410" spans="1:9" x14ac:dyDescent="0.25">
      <c r="F410" t="s">
        <v>2331</v>
      </c>
      <c r="G410" t="s">
        <v>2332</v>
      </c>
      <c r="H410" t="s">
        <v>2333</v>
      </c>
    </row>
    <row r="411" spans="1:9" x14ac:dyDescent="0.25">
      <c r="F411" t="s">
        <v>2334</v>
      </c>
      <c r="G411" t="s">
        <v>2335</v>
      </c>
      <c r="H411" t="s">
        <v>2336</v>
      </c>
    </row>
    <row r="412" spans="1:9" x14ac:dyDescent="0.25">
      <c r="F412" t="s">
        <v>2337</v>
      </c>
      <c r="G412" t="s">
        <v>2338</v>
      </c>
      <c r="H412" t="s">
        <v>2339</v>
      </c>
    </row>
    <row r="413" spans="1:9" x14ac:dyDescent="0.25">
      <c r="F413" t="s">
        <v>2340</v>
      </c>
      <c r="G413" t="s">
        <v>2341</v>
      </c>
      <c r="H413" t="s">
        <v>2342</v>
      </c>
    </row>
    <row r="414" spans="1:9" x14ac:dyDescent="0.25">
      <c r="F414" t="s">
        <v>2343</v>
      </c>
      <c r="G414" t="s">
        <v>2344</v>
      </c>
      <c r="H414" t="s">
        <v>2345</v>
      </c>
    </row>
    <row r="415" spans="1:9" x14ac:dyDescent="0.25">
      <c r="F415" t="s">
        <v>2346</v>
      </c>
      <c r="G415" t="s">
        <v>2347</v>
      </c>
      <c r="H415" t="s">
        <v>2348</v>
      </c>
    </row>
    <row r="416" spans="1:9" x14ac:dyDescent="0.25">
      <c r="F416" t="s">
        <v>2349</v>
      </c>
      <c r="G416" t="s">
        <v>2350</v>
      </c>
      <c r="H416" t="s">
        <v>2351</v>
      </c>
    </row>
    <row r="417" spans="1:9" x14ac:dyDescent="0.25">
      <c r="F417" t="s">
        <v>2352</v>
      </c>
      <c r="G417" t="s">
        <v>2353</v>
      </c>
      <c r="H417" t="s">
        <v>2354</v>
      </c>
    </row>
    <row r="418" spans="1:9" x14ac:dyDescent="0.25">
      <c r="F418" t="s">
        <v>2355</v>
      </c>
      <c r="G418" t="s">
        <v>2356</v>
      </c>
      <c r="H418" t="s">
        <v>2357</v>
      </c>
    </row>
    <row r="419" spans="1:9" x14ac:dyDescent="0.25">
      <c r="F419" t="s">
        <v>2358</v>
      </c>
      <c r="G419" t="s">
        <v>2359</v>
      </c>
      <c r="H419" t="s">
        <v>2360</v>
      </c>
    </row>
    <row r="420" spans="1:9" x14ac:dyDescent="0.25">
      <c r="F420" t="s">
        <v>2361</v>
      </c>
      <c r="G420" t="s">
        <v>2362</v>
      </c>
      <c r="H420" t="s">
        <v>2363</v>
      </c>
    </row>
    <row r="421" spans="1:9" x14ac:dyDescent="0.25">
      <c r="F421" t="s">
        <v>2364</v>
      </c>
      <c r="G421" t="s">
        <v>2365</v>
      </c>
      <c r="H421" t="s">
        <v>2366</v>
      </c>
    </row>
    <row r="422" spans="1:9" x14ac:dyDescent="0.25">
      <c r="F422" t="s">
        <v>2367</v>
      </c>
      <c r="G422" t="s">
        <v>2368</v>
      </c>
      <c r="H422" t="s">
        <v>2369</v>
      </c>
    </row>
    <row r="423" spans="1:9" x14ac:dyDescent="0.25">
      <c r="F423" t="s">
        <v>2370</v>
      </c>
      <c r="G423" t="s">
        <v>2371</v>
      </c>
      <c r="H423" t="s">
        <v>2372</v>
      </c>
    </row>
    <row r="424" spans="1:9" x14ac:dyDescent="0.25">
      <c r="F424" t="s">
        <v>2373</v>
      </c>
      <c r="G424" t="s">
        <v>2374</v>
      </c>
      <c r="H424" t="s">
        <v>2375</v>
      </c>
    </row>
    <row r="425" spans="1:9" x14ac:dyDescent="0.25">
      <c r="F425" t="s">
        <v>2376</v>
      </c>
      <c r="G425" t="s">
        <v>2377</v>
      </c>
      <c r="H425" t="s">
        <v>2378</v>
      </c>
    </row>
    <row r="426" spans="1:9" x14ac:dyDescent="0.25">
      <c r="F426" t="s">
        <v>2379</v>
      </c>
      <c r="G426" t="s">
        <v>2380</v>
      </c>
      <c r="H426" t="s">
        <v>2381</v>
      </c>
    </row>
    <row r="427" spans="1:9" x14ac:dyDescent="0.25">
      <c r="F427" t="s">
        <v>2382</v>
      </c>
      <c r="G427" t="s">
        <v>2383</v>
      </c>
      <c r="H427" t="s">
        <v>2384</v>
      </c>
    </row>
    <row r="428" spans="1:9" x14ac:dyDescent="0.25">
      <c r="F428" t="s">
        <v>2385</v>
      </c>
      <c r="G428" t="s">
        <v>2386</v>
      </c>
      <c r="H428" t="s">
        <v>2387</v>
      </c>
    </row>
    <row r="429" spans="1:9" x14ac:dyDescent="0.25">
      <c r="F429" t="s">
        <v>2388</v>
      </c>
      <c r="G429" t="s">
        <v>2389</v>
      </c>
      <c r="H429" t="s">
        <v>2390</v>
      </c>
    </row>
    <row r="430" spans="1:9" x14ac:dyDescent="0.25">
      <c r="F430" t="s">
        <v>2391</v>
      </c>
      <c r="G430" t="s">
        <v>2392</v>
      </c>
      <c r="H430" t="s">
        <v>2393</v>
      </c>
    </row>
    <row r="431" spans="1:9" x14ac:dyDescent="0.25">
      <c r="F431" t="s">
        <v>2394</v>
      </c>
      <c r="G431" t="s">
        <v>2395</v>
      </c>
      <c r="H431" t="s">
        <v>2396</v>
      </c>
    </row>
    <row r="432" spans="1:9" x14ac:dyDescent="0.25">
      <c r="F432" t="s">
        <v>2397</v>
      </c>
      <c r="G432" t="s">
        <v>2398</v>
      </c>
      <c r="H432" t="s">
        <v>2399</v>
      </c>
    </row>
    <row r="433" spans="1:9" x14ac:dyDescent="0.25">
      <c r="F433" t="s">
        <v>2400</v>
      </c>
      <c r="G433" t="s">
        <v>2401</v>
      </c>
      <c r="H433" t="s">
        <v>2402</v>
      </c>
    </row>
    <row r="434" spans="1:9" x14ac:dyDescent="0.25">
      <c r="F434" t="s">
        <v>2403</v>
      </c>
      <c r="G434" t="s">
        <v>2404</v>
      </c>
      <c r="H434" t="s">
        <v>2405</v>
      </c>
    </row>
    <row r="435" spans="1:9" x14ac:dyDescent="0.25">
      <c r="F435" t="s">
        <v>2406</v>
      </c>
      <c r="G435" t="s">
        <v>2404</v>
      </c>
      <c r="H435" t="s">
        <v>2407</v>
      </c>
    </row>
    <row r="436" spans="1:9" x14ac:dyDescent="0.25">
      <c r="F436" t="s">
        <v>2408</v>
      </c>
      <c r="G436" t="s">
        <v>2409</v>
      </c>
      <c r="H436" t="s">
        <v>2410</v>
      </c>
    </row>
    <row r="437" spans="1:9" x14ac:dyDescent="0.25">
      <c r="F437" t="s">
        <v>2411</v>
      </c>
      <c r="G437" t="s">
        <v>2412</v>
      </c>
      <c r="H437" t="s">
        <v>2413</v>
      </c>
    </row>
    <row r="438" spans="1:9" x14ac:dyDescent="0.25">
      <c r="F438" t="s">
        <v>2414</v>
      </c>
      <c r="G438" t="s">
        <v>2415</v>
      </c>
      <c r="H438" t="s">
        <v>2416</v>
      </c>
    </row>
    <row r="439" spans="1:9" x14ac:dyDescent="0.25">
      <c r="F439" t="s">
        <v>2417</v>
      </c>
      <c r="G439" t="s">
        <v>2418</v>
      </c>
      <c r="H439" t="s">
        <v>2419</v>
      </c>
    </row>
    <row r="440" spans="1:9" x14ac:dyDescent="0.25">
      <c r="F440" t="s">
        <v>2420</v>
      </c>
      <c r="G440" t="s">
        <v>2421</v>
      </c>
      <c r="H440" t="s">
        <v>2422</v>
      </c>
    </row>
    <row r="441" spans="1:9" x14ac:dyDescent="0.25">
      <c r="F441" t="s">
        <v>2423</v>
      </c>
      <c r="G441" t="s">
        <v>2424</v>
      </c>
      <c r="H441" t="s">
        <v>2425</v>
      </c>
    </row>
    <row r="442" spans="1:9" x14ac:dyDescent="0.25">
      <c r="F442" t="s">
        <v>2426</v>
      </c>
      <c r="G442" t="s">
        <v>2427</v>
      </c>
      <c r="H442" t="s">
        <v>2428</v>
      </c>
    </row>
    <row r="443" spans="1:9" x14ac:dyDescent="0.25">
      <c r="F443" t="s">
        <v>2429</v>
      </c>
      <c r="G443" t="s">
        <v>2430</v>
      </c>
      <c r="H443" t="s">
        <v>2431</v>
      </c>
    </row>
    <row r="444" spans="1:9" x14ac:dyDescent="0.25">
      <c r="F444" t="s">
        <v>2432</v>
      </c>
      <c r="G444" t="s">
        <v>2433</v>
      </c>
      <c r="H444" t="s">
        <v>2434</v>
      </c>
    </row>
    <row r="445" spans="1:9" x14ac:dyDescent="0.25">
      <c r="F445" t="s">
        <v>2435</v>
      </c>
      <c r="G445" t="s">
        <v>2436</v>
      </c>
      <c r="H445" t="s">
        <v>2437</v>
      </c>
    </row>
    <row r="446" spans="1:9" x14ac:dyDescent="0.25">
      <c r="F446" t="s">
        <v>2438</v>
      </c>
      <c r="G446" t="s">
        <v>2439</v>
      </c>
      <c r="H446" t="s">
        <v>2440</v>
      </c>
    </row>
    <row r="447" spans="1:9" x14ac:dyDescent="0.25">
      <c r="F447" t="s">
        <v>2441</v>
      </c>
      <c r="G447" t="s">
        <v>2442</v>
      </c>
      <c r="H447" t="s">
        <v>2443</v>
      </c>
    </row>
    <row r="448" spans="1:9" x14ac:dyDescent="0.25">
      <c r="F448" t="s">
        <v>2444</v>
      </c>
      <c r="G448" t="s">
        <v>2445</v>
      </c>
      <c r="H448" t="s">
        <v>2446</v>
      </c>
    </row>
    <row r="449" spans="1:9" x14ac:dyDescent="0.25">
      <c r="F449" t="s">
        <v>2447</v>
      </c>
      <c r="G449" t="s">
        <v>2448</v>
      </c>
      <c r="H449" t="s">
        <v>2449</v>
      </c>
    </row>
    <row r="450" spans="1:9" x14ac:dyDescent="0.25">
      <c r="F450" t="s">
        <v>2450</v>
      </c>
      <c r="G450" t="s">
        <v>2451</v>
      </c>
      <c r="H450" t="s">
        <v>2452</v>
      </c>
    </row>
    <row r="451" spans="1:9" x14ac:dyDescent="0.25">
      <c r="F451" t="s">
        <v>2453</v>
      </c>
      <c r="G451" t="s">
        <v>2454</v>
      </c>
      <c r="H451" t="s">
        <v>2455</v>
      </c>
    </row>
    <row r="452" spans="1:9" x14ac:dyDescent="0.25">
      <c r="F452" t="s">
        <v>2456</v>
      </c>
      <c r="G452" t="s">
        <v>2457</v>
      </c>
      <c r="H452" t="s">
        <v>2458</v>
      </c>
    </row>
    <row r="453" spans="1:9" x14ac:dyDescent="0.25">
      <c r="F453" t="s">
        <v>2459</v>
      </c>
      <c r="G453" t="s">
        <v>2460</v>
      </c>
      <c r="H453" t="s">
        <v>2461</v>
      </c>
    </row>
    <row r="454" spans="1:9" x14ac:dyDescent="0.25">
      <c r="F454" t="s">
        <v>2462</v>
      </c>
      <c r="G454" t="s">
        <v>2463</v>
      </c>
      <c r="H454" t="s">
        <v>2464</v>
      </c>
    </row>
    <row r="455" spans="1:9" x14ac:dyDescent="0.25">
      <c r="F455" t="s">
        <v>2465</v>
      </c>
      <c r="G455" t="s">
        <v>2466</v>
      </c>
      <c r="H455" t="s">
        <v>2467</v>
      </c>
    </row>
    <row r="456" spans="1:9" x14ac:dyDescent="0.25">
      <c r="F456" t="s">
        <v>2468</v>
      </c>
      <c r="G456" t="s">
        <v>2469</v>
      </c>
      <c r="H456" t="s">
        <v>2470</v>
      </c>
    </row>
    <row r="457" spans="1:9" x14ac:dyDescent="0.25">
      <c r="F457" t="s">
        <v>2471</v>
      </c>
      <c r="G457" t="s">
        <v>2472</v>
      </c>
      <c r="H457" t="s">
        <v>2473</v>
      </c>
    </row>
    <row r="458" spans="1:9" x14ac:dyDescent="0.25">
      <c r="F458" t="s">
        <v>2474</v>
      </c>
      <c r="G458" t="s">
        <v>2475</v>
      </c>
      <c r="H458" t="s">
        <v>2476</v>
      </c>
    </row>
    <row r="459" spans="1:9" x14ac:dyDescent="0.25">
      <c r="F459" t="s">
        <v>2477</v>
      </c>
      <c r="G459" t="s">
        <v>2478</v>
      </c>
      <c r="H459" t="s">
        <v>2479</v>
      </c>
    </row>
    <row r="460" spans="1:9" x14ac:dyDescent="0.25">
      <c r="F460" t="s">
        <v>2480</v>
      </c>
      <c r="G460" t="s">
        <v>2481</v>
      </c>
      <c r="H460" t="s">
        <v>2482</v>
      </c>
    </row>
    <row r="461" spans="1:9" x14ac:dyDescent="0.25">
      <c r="F461" t="s">
        <v>2483</v>
      </c>
      <c r="G461" t="s">
        <v>2484</v>
      </c>
      <c r="H461" t="s">
        <v>2485</v>
      </c>
    </row>
    <row r="462" spans="1:9" x14ac:dyDescent="0.25">
      <c r="F462" t="s">
        <v>2486</v>
      </c>
      <c r="G462" t="s">
        <v>2487</v>
      </c>
      <c r="H462" t="s">
        <v>2488</v>
      </c>
    </row>
    <row r="463" spans="1:9" x14ac:dyDescent="0.25">
      <c r="F463" t="s">
        <v>2489</v>
      </c>
      <c r="G463" t="s">
        <v>2490</v>
      </c>
      <c r="H463" t="s">
        <v>2491</v>
      </c>
    </row>
    <row r="464" spans="1:9" x14ac:dyDescent="0.25">
      <c r="F464" t="s">
        <v>2492</v>
      </c>
      <c r="G464" t="s">
        <v>2493</v>
      </c>
      <c r="H464" t="s">
        <v>2494</v>
      </c>
    </row>
    <row r="465" spans="1:9" x14ac:dyDescent="0.25">
      <c r="F465" t="s">
        <v>2495</v>
      </c>
      <c r="G465" t="s">
        <v>2496</v>
      </c>
      <c r="H465" t="s">
        <v>2497</v>
      </c>
    </row>
    <row r="466" spans="1:9" x14ac:dyDescent="0.25">
      <c r="F466" t="s">
        <v>2498</v>
      </c>
      <c r="G466" t="s">
        <v>2499</v>
      </c>
      <c r="H466" t="s">
        <v>2500</v>
      </c>
    </row>
    <row r="467" spans="1:9" x14ac:dyDescent="0.25">
      <c r="F467" t="s">
        <v>2501</v>
      </c>
      <c r="G467" t="s">
        <v>2502</v>
      </c>
      <c r="H467" t="s">
        <v>2503</v>
      </c>
    </row>
    <row r="468" spans="1:9" x14ac:dyDescent="0.25">
      <c r="F468" t="s">
        <v>2504</v>
      </c>
      <c r="G468" t="s">
        <v>2505</v>
      </c>
      <c r="H468" t="s">
        <v>2506</v>
      </c>
    </row>
    <row r="469" spans="1:9" x14ac:dyDescent="0.25">
      <c r="F469" t="s">
        <v>2507</v>
      </c>
      <c r="G469" t="s">
        <v>2508</v>
      </c>
      <c r="H469" t="s">
        <v>2509</v>
      </c>
    </row>
    <row r="470" spans="1:9" x14ac:dyDescent="0.25">
      <c r="F470" t="s">
        <v>2510</v>
      </c>
      <c r="G470" t="s">
        <v>2511</v>
      </c>
      <c r="H470" t="s">
        <v>2512</v>
      </c>
    </row>
    <row r="471" spans="1:9" x14ac:dyDescent="0.25">
      <c r="F471" t="s">
        <v>2513</v>
      </c>
      <c r="G471" t="s">
        <v>2514</v>
      </c>
      <c r="H471" t="s">
        <v>2515</v>
      </c>
    </row>
    <row r="472" spans="1:9" x14ac:dyDescent="0.25">
      <c r="F472" t="s">
        <v>2516</v>
      </c>
      <c r="G472" t="s">
        <v>2517</v>
      </c>
      <c r="H472" t="s">
        <v>2518</v>
      </c>
    </row>
    <row r="473" spans="1:9" x14ac:dyDescent="0.25">
      <c r="F473" t="s">
        <v>2519</v>
      </c>
      <c r="G473" t="s">
        <v>2520</v>
      </c>
      <c r="H473" t="s">
        <v>2521</v>
      </c>
    </row>
    <row r="474" spans="1:9" x14ac:dyDescent="0.25">
      <c r="F474" t="s">
        <v>2522</v>
      </c>
      <c r="G474" t="s">
        <v>2523</v>
      </c>
      <c r="H474" t="s">
        <v>2524</v>
      </c>
    </row>
    <row r="475" spans="1:9" x14ac:dyDescent="0.25">
      <c r="F475" t="s">
        <v>2525</v>
      </c>
      <c r="G475" t="s">
        <v>2526</v>
      </c>
      <c r="H475" t="s">
        <v>2527</v>
      </c>
    </row>
    <row r="476" spans="1:9" x14ac:dyDescent="0.25">
      <c r="F476" t="s">
        <v>2528</v>
      </c>
      <c r="G476" t="s">
        <v>2529</v>
      </c>
      <c r="H476" t="s">
        <v>2530</v>
      </c>
    </row>
    <row r="477" spans="1:9" x14ac:dyDescent="0.25">
      <c r="F477" t="s">
        <v>2531</v>
      </c>
      <c r="G477" t="s">
        <v>2532</v>
      </c>
      <c r="H477" t="s">
        <v>2533</v>
      </c>
    </row>
    <row r="478" spans="1:9" x14ac:dyDescent="0.25">
      <c r="F478" t="s">
        <v>2534</v>
      </c>
      <c r="G478" t="s">
        <v>2535</v>
      </c>
      <c r="H478" t="s">
        <v>2536</v>
      </c>
    </row>
    <row r="479" spans="1:9" x14ac:dyDescent="0.25">
      <c r="F479" t="s">
        <v>2537</v>
      </c>
      <c r="G479" t="s">
        <v>2538</v>
      </c>
      <c r="H479" t="s">
        <v>2539</v>
      </c>
    </row>
    <row r="480" spans="1:9" x14ac:dyDescent="0.25">
      <c r="F480" t="s">
        <v>2540</v>
      </c>
      <c r="G480" t="s">
        <v>2541</v>
      </c>
      <c r="H480" t="s">
        <v>2542</v>
      </c>
    </row>
    <row r="481" spans="1:9" x14ac:dyDescent="0.25">
      <c r="F481" t="s">
        <v>2543</v>
      </c>
      <c r="G481" t="s">
        <v>2544</v>
      </c>
      <c r="H481" t="s">
        <v>2545</v>
      </c>
    </row>
    <row r="482" spans="1:9" x14ac:dyDescent="0.25">
      <c r="F482" t="s">
        <v>2546</v>
      </c>
      <c r="G482" t="s">
        <v>2547</v>
      </c>
      <c r="H482" t="s">
        <v>2548</v>
      </c>
    </row>
    <row r="483" spans="1:9" x14ac:dyDescent="0.25">
      <c r="F483" t="s">
        <v>2549</v>
      </c>
      <c r="G483" t="s">
        <v>2550</v>
      </c>
      <c r="H483" t="s">
        <v>2551</v>
      </c>
    </row>
    <row r="484" spans="1:9" x14ac:dyDescent="0.25">
      <c r="F484" t="s">
        <v>2552</v>
      </c>
      <c r="G484" t="s">
        <v>2553</v>
      </c>
      <c r="H484" t="s">
        <v>2554</v>
      </c>
    </row>
    <row r="485" spans="1:9" x14ac:dyDescent="0.25">
      <c r="F485" t="s">
        <v>2555</v>
      </c>
      <c r="G485" t="s">
        <v>2556</v>
      </c>
      <c r="H485" t="s">
        <v>2557</v>
      </c>
    </row>
    <row r="486" spans="1:9" x14ac:dyDescent="0.25">
      <c r="F486" t="s">
        <v>2558</v>
      </c>
      <c r="G486" t="s">
        <v>2559</v>
      </c>
      <c r="H486" t="s">
        <v>2560</v>
      </c>
    </row>
    <row r="487" spans="1:9" x14ac:dyDescent="0.25">
      <c r="F487" t="s">
        <v>2561</v>
      </c>
      <c r="G487" t="s">
        <v>2562</v>
      </c>
      <c r="H487" t="s">
        <v>2563</v>
      </c>
    </row>
    <row r="488" spans="1:9" x14ac:dyDescent="0.25">
      <c r="F488" t="s">
        <v>2564</v>
      </c>
      <c r="G488" t="s">
        <v>2565</v>
      </c>
      <c r="H488" t="s">
        <v>2566</v>
      </c>
    </row>
    <row r="489" spans="1:9" x14ac:dyDescent="0.25">
      <c r="F489" t="s">
        <v>2567</v>
      </c>
      <c r="G489" t="s">
        <v>2568</v>
      </c>
      <c r="H489" t="s">
        <v>2569</v>
      </c>
    </row>
    <row r="490" spans="1:9" x14ac:dyDescent="0.25">
      <c r="F490" t="s">
        <v>2570</v>
      </c>
      <c r="G490" t="s">
        <v>2571</v>
      </c>
      <c r="H490" t="s">
        <v>2572</v>
      </c>
    </row>
    <row r="491" spans="1:9" x14ac:dyDescent="0.25">
      <c r="F491" t="s">
        <v>2573</v>
      </c>
      <c r="G491" t="s">
        <v>2574</v>
      </c>
      <c r="H491" t="s">
        <v>2575</v>
      </c>
    </row>
    <row r="492" spans="1:9" x14ac:dyDescent="0.25">
      <c r="F492" t="s">
        <v>2576</v>
      </c>
      <c r="G492" t="s">
        <v>2577</v>
      </c>
      <c r="H492" t="s">
        <v>2578</v>
      </c>
    </row>
    <row r="493" spans="1:9" x14ac:dyDescent="0.25">
      <c r="F493" t="s">
        <v>2579</v>
      </c>
      <c r="G493" t="s">
        <v>2580</v>
      </c>
      <c r="H493" t="s">
        <v>2581</v>
      </c>
    </row>
    <row r="494" spans="1:9" x14ac:dyDescent="0.25">
      <c r="F494" t="s">
        <v>2582</v>
      </c>
      <c r="G494" t="s">
        <v>2583</v>
      </c>
      <c r="H494" t="s">
        <v>2584</v>
      </c>
    </row>
    <row r="495" spans="1:9" x14ac:dyDescent="0.25">
      <c r="F495" t="s">
        <v>2585</v>
      </c>
      <c r="G495" t="s">
        <v>2586</v>
      </c>
      <c r="H495" t="s">
        <v>2587</v>
      </c>
    </row>
    <row r="496" spans="1:9" x14ac:dyDescent="0.25">
      <c r="F496" t="s">
        <v>2588</v>
      </c>
      <c r="G496" t="s">
        <v>2589</v>
      </c>
      <c r="H496" t="s">
        <v>2590</v>
      </c>
    </row>
    <row r="497" spans="1:9" x14ac:dyDescent="0.25">
      <c r="F497" t="s">
        <v>2591</v>
      </c>
      <c r="G497" t="s">
        <v>2592</v>
      </c>
      <c r="H497" t="s">
        <v>2593</v>
      </c>
    </row>
    <row r="498" spans="1:9" x14ac:dyDescent="0.25">
      <c r="F498" t="s">
        <v>2594</v>
      </c>
      <c r="G498" t="s">
        <v>2595</v>
      </c>
      <c r="H498" t="s">
        <v>2596</v>
      </c>
    </row>
    <row r="499" spans="1:9" x14ac:dyDescent="0.25">
      <c r="F499" t="s">
        <v>2597</v>
      </c>
      <c r="G499" t="s">
        <v>2598</v>
      </c>
      <c r="H499" t="s">
        <v>2599</v>
      </c>
    </row>
    <row r="500" spans="1:9" x14ac:dyDescent="0.25">
      <c r="F500" t="s">
        <v>2600</v>
      </c>
      <c r="G500" t="s">
        <v>2601</v>
      </c>
      <c r="H500" t="s">
        <v>2602</v>
      </c>
    </row>
    <row r="501" spans="1:9" x14ac:dyDescent="0.25">
      <c r="F501" t="s">
        <v>2603</v>
      </c>
      <c r="G501" t="s">
        <v>2604</v>
      </c>
      <c r="H501" t="s">
        <v>2605</v>
      </c>
    </row>
    <row r="502" spans="1:9" x14ac:dyDescent="0.25">
      <c r="F502" t="s">
        <v>2606</v>
      </c>
      <c r="G502" t="s">
        <v>2607</v>
      </c>
      <c r="H502" t="s">
        <v>2608</v>
      </c>
    </row>
    <row r="503" spans="1:9" x14ac:dyDescent="0.25">
      <c r="F503" t="s">
        <v>2609</v>
      </c>
      <c r="G503" t="s">
        <v>2610</v>
      </c>
      <c r="H503" t="s">
        <v>2611</v>
      </c>
    </row>
    <row r="504" spans="1:9" x14ac:dyDescent="0.25">
      <c r="F504" t="s">
        <v>2612</v>
      </c>
      <c r="G504" t="s">
        <v>2613</v>
      </c>
      <c r="H504" t="s">
        <v>2614</v>
      </c>
    </row>
    <row r="505" spans="1:9" x14ac:dyDescent="0.25">
      <c r="F505" t="s">
        <v>2615</v>
      </c>
      <c r="G505" t="s">
        <v>2613</v>
      </c>
      <c r="H505" t="s">
        <v>2616</v>
      </c>
    </row>
    <row r="506" spans="1:9" x14ac:dyDescent="0.25">
      <c r="F506" t="s">
        <v>2617</v>
      </c>
      <c r="G506" t="s">
        <v>2618</v>
      </c>
      <c r="H506" t="s">
        <v>2619</v>
      </c>
    </row>
    <row r="507" spans="1:9" x14ac:dyDescent="0.25">
      <c r="F507" t="s">
        <v>2620</v>
      </c>
      <c r="G507" t="s">
        <v>2621</v>
      </c>
      <c r="H507" t="s">
        <v>2622</v>
      </c>
    </row>
    <row r="508" spans="1:9" x14ac:dyDescent="0.25">
      <c r="F508" t="s">
        <v>2623</v>
      </c>
      <c r="G508" t="s">
        <v>2624</v>
      </c>
      <c r="H508" t="s">
        <v>2625</v>
      </c>
    </row>
    <row r="509" spans="1:9" x14ac:dyDescent="0.25">
      <c r="F509" t="s">
        <v>2626</v>
      </c>
      <c r="G509" t="s">
        <v>2627</v>
      </c>
      <c r="H509" t="s">
        <v>2628</v>
      </c>
    </row>
    <row r="510" spans="1:9" x14ac:dyDescent="0.25">
      <c r="F510" t="s">
        <v>2629</v>
      </c>
      <c r="G510" t="s">
        <v>2630</v>
      </c>
      <c r="H510" t="s">
        <v>2631</v>
      </c>
    </row>
    <row r="511" spans="1:9" x14ac:dyDescent="0.25">
      <c r="F511" t="s">
        <v>2632</v>
      </c>
      <c r="G511" t="s">
        <v>2633</v>
      </c>
      <c r="H511" t="s">
        <v>2634</v>
      </c>
    </row>
    <row r="512" spans="1:9" x14ac:dyDescent="0.25">
      <c r="F512" t="s">
        <v>2635</v>
      </c>
      <c r="G512" t="s">
        <v>2633</v>
      </c>
      <c r="H512" t="s">
        <v>2636</v>
      </c>
    </row>
    <row r="513" spans="1:9" x14ac:dyDescent="0.25">
      <c r="F513" t="s">
        <v>2637</v>
      </c>
      <c r="G513" t="s">
        <v>2638</v>
      </c>
      <c r="H513" t="s">
        <v>2639</v>
      </c>
    </row>
    <row r="514" spans="1:9" x14ac:dyDescent="0.25">
      <c r="F514" t="s">
        <v>2640</v>
      </c>
      <c r="G514" t="s">
        <v>2638</v>
      </c>
      <c r="H514" t="s">
        <v>2641</v>
      </c>
    </row>
    <row r="515" spans="1:9" x14ac:dyDescent="0.25">
      <c r="F515" t="s">
        <v>2642</v>
      </c>
      <c r="G515" t="s">
        <v>2643</v>
      </c>
      <c r="H515" t="s">
        <v>2644</v>
      </c>
    </row>
    <row r="516" spans="1:9" x14ac:dyDescent="0.25">
      <c r="F516" t="s">
        <v>2645</v>
      </c>
      <c r="G516" t="s">
        <v>2646</v>
      </c>
      <c r="H516" t="s">
        <v>2647</v>
      </c>
    </row>
    <row r="517" spans="1:9" x14ac:dyDescent="0.25">
      <c r="F517" t="s">
        <v>2648</v>
      </c>
      <c r="G517" t="s">
        <v>2649</v>
      </c>
      <c r="H517" t="s">
        <v>2650</v>
      </c>
    </row>
    <row r="518" spans="1:9" x14ac:dyDescent="0.25">
      <c r="F518" t="s">
        <v>2651</v>
      </c>
      <c r="G518" t="s">
        <v>2652</v>
      </c>
      <c r="H518" t="s">
        <v>2653</v>
      </c>
    </row>
    <row r="519" spans="1:9" x14ac:dyDescent="0.25">
      <c r="F519" t="s">
        <v>2654</v>
      </c>
      <c r="G519" t="s">
        <v>2655</v>
      </c>
      <c r="H519" t="s">
        <v>2656</v>
      </c>
    </row>
    <row r="520" spans="1:9" x14ac:dyDescent="0.25">
      <c r="F520" t="s">
        <v>2657</v>
      </c>
      <c r="G520" t="s">
        <v>2658</v>
      </c>
      <c r="H520" t="s">
        <v>2659</v>
      </c>
    </row>
    <row r="521" spans="1:9" x14ac:dyDescent="0.25">
      <c r="F521" t="s">
        <v>2660</v>
      </c>
      <c r="G521" t="s">
        <v>2661</v>
      </c>
      <c r="H521" t="s">
        <v>2662</v>
      </c>
    </row>
    <row r="522" spans="1:9" x14ac:dyDescent="0.25">
      <c r="F522" t="s">
        <v>2663</v>
      </c>
      <c r="G522" t="s">
        <v>2664</v>
      </c>
      <c r="H522" t="s">
        <v>2665</v>
      </c>
    </row>
    <row r="523" spans="1:9" x14ac:dyDescent="0.25">
      <c r="F523" t="s">
        <v>2666</v>
      </c>
      <c r="G523" t="s">
        <v>2667</v>
      </c>
      <c r="H523" t="s">
        <v>2668</v>
      </c>
    </row>
    <row r="524" spans="1:9" x14ac:dyDescent="0.25">
      <c r="F524" t="s">
        <v>2669</v>
      </c>
      <c r="G524" t="s">
        <v>2670</v>
      </c>
      <c r="H524" t="s">
        <v>2671</v>
      </c>
    </row>
    <row r="525" spans="1:9" x14ac:dyDescent="0.25">
      <c r="F525" t="s">
        <v>2672</v>
      </c>
      <c r="G525" t="s">
        <v>2673</v>
      </c>
      <c r="H525" t="s">
        <v>2674</v>
      </c>
    </row>
    <row r="526" spans="1:9" x14ac:dyDescent="0.25">
      <c r="F526" t="s">
        <v>2675</v>
      </c>
      <c r="G526" t="s">
        <v>2676</v>
      </c>
      <c r="H526" t="s">
        <v>2677</v>
      </c>
    </row>
    <row r="527" spans="1:9" x14ac:dyDescent="0.25">
      <c r="F527" t="s">
        <v>2678</v>
      </c>
      <c r="G527" t="s">
        <v>2679</v>
      </c>
      <c r="H527" t="s">
        <v>2680</v>
      </c>
    </row>
    <row r="528" spans="1:9" x14ac:dyDescent="0.25">
      <c r="F528" t="s">
        <v>2681</v>
      </c>
      <c r="G528" t="s">
        <v>2682</v>
      </c>
      <c r="H528" t="s">
        <v>2683</v>
      </c>
    </row>
    <row r="529" spans="1:9" x14ac:dyDescent="0.25">
      <c r="F529" t="s">
        <v>2684</v>
      </c>
      <c r="G529" t="s">
        <v>2685</v>
      </c>
      <c r="H529" t="s">
        <v>2686</v>
      </c>
    </row>
    <row r="530" spans="1:9" x14ac:dyDescent="0.25">
      <c r="F530" t="s">
        <v>2687</v>
      </c>
      <c r="G530" t="s">
        <v>2688</v>
      </c>
      <c r="H530" t="s">
        <v>2689</v>
      </c>
    </row>
    <row r="531" spans="1:9" x14ac:dyDescent="0.25">
      <c r="F531" t="s">
        <v>2690</v>
      </c>
      <c r="G531" t="s">
        <v>2691</v>
      </c>
      <c r="H531" t="s">
        <v>2692</v>
      </c>
    </row>
    <row r="532" spans="1:9" x14ac:dyDescent="0.25">
      <c r="F532" t="s">
        <v>2693</v>
      </c>
      <c r="G532" t="s">
        <v>2694</v>
      </c>
      <c r="H532" t="s">
        <v>2695</v>
      </c>
    </row>
    <row r="533" spans="1:9" x14ac:dyDescent="0.25">
      <c r="F533" t="s">
        <v>2696</v>
      </c>
      <c r="G533" t="s">
        <v>2697</v>
      </c>
      <c r="H533" t="s">
        <v>2698</v>
      </c>
    </row>
    <row r="534" spans="1:9" x14ac:dyDescent="0.25">
      <c r="F534" t="s">
        <v>2699</v>
      </c>
      <c r="G534" t="s">
        <v>2700</v>
      </c>
      <c r="H534" t="s">
        <v>2701</v>
      </c>
    </row>
    <row r="535" spans="1:9" x14ac:dyDescent="0.25">
      <c r="F535" t="s">
        <v>2702</v>
      </c>
      <c r="G535" t="s">
        <v>2703</v>
      </c>
      <c r="H535" t="s">
        <v>2704</v>
      </c>
    </row>
    <row r="536" spans="1:9" x14ac:dyDescent="0.25">
      <c r="F536" t="s">
        <v>2705</v>
      </c>
      <c r="G536" t="s">
        <v>2706</v>
      </c>
      <c r="H536" t="s">
        <v>2707</v>
      </c>
    </row>
    <row r="537" spans="1:9" x14ac:dyDescent="0.25">
      <c r="F537" t="s">
        <v>2708</v>
      </c>
      <c r="G537" t="s">
        <v>2709</v>
      </c>
      <c r="H537" t="s">
        <v>2710</v>
      </c>
    </row>
    <row r="538" spans="1:9" x14ac:dyDescent="0.25">
      <c r="F538" t="s">
        <v>2711</v>
      </c>
      <c r="G538" t="s">
        <v>2712</v>
      </c>
      <c r="H538" t="s">
        <v>2713</v>
      </c>
    </row>
    <row r="539" spans="1:9" x14ac:dyDescent="0.25">
      <c r="F539" t="s">
        <v>2714</v>
      </c>
      <c r="G539" t="s">
        <v>2712</v>
      </c>
      <c r="H539" t="s">
        <v>2715</v>
      </c>
    </row>
    <row r="540" spans="1:9" x14ac:dyDescent="0.25">
      <c r="F540" t="s">
        <v>2716</v>
      </c>
      <c r="G540" t="s">
        <v>2717</v>
      </c>
      <c r="H540" t="s">
        <v>2718</v>
      </c>
    </row>
    <row r="541" spans="1:9" x14ac:dyDescent="0.25">
      <c r="F541" t="s">
        <v>2719</v>
      </c>
      <c r="G541" t="s">
        <v>2720</v>
      </c>
      <c r="H541" t="s">
        <v>2721</v>
      </c>
    </row>
    <row r="542" spans="1:9" x14ac:dyDescent="0.25">
      <c r="F542" t="s">
        <v>2722</v>
      </c>
      <c r="G542" t="s">
        <v>2723</v>
      </c>
      <c r="H542" t="s">
        <v>2724</v>
      </c>
    </row>
    <row r="543" spans="1:9" x14ac:dyDescent="0.25">
      <c r="F543" t="s">
        <v>2725</v>
      </c>
      <c r="G543" t="s">
        <v>2726</v>
      </c>
      <c r="H543" t="s">
        <v>2727</v>
      </c>
    </row>
    <row r="544" spans="1:9" x14ac:dyDescent="0.25">
      <c r="F544" t="s">
        <v>2728</v>
      </c>
      <c r="G544" t="s">
        <v>2729</v>
      </c>
      <c r="H544" t="s">
        <v>2730</v>
      </c>
    </row>
    <row r="545" spans="1:9" x14ac:dyDescent="0.25">
      <c r="F545" t="s">
        <v>2731</v>
      </c>
      <c r="G545" t="s">
        <v>2732</v>
      </c>
      <c r="H545" t="s">
        <v>2733</v>
      </c>
    </row>
    <row r="546" spans="1:9" x14ac:dyDescent="0.25">
      <c r="F546" t="s">
        <v>2734</v>
      </c>
      <c r="G546" t="s">
        <v>2735</v>
      </c>
      <c r="H546" t="s">
        <v>2736</v>
      </c>
    </row>
    <row r="547" spans="1:9" x14ac:dyDescent="0.25">
      <c r="F547" t="s">
        <v>2737</v>
      </c>
      <c r="G547" t="s">
        <v>2738</v>
      </c>
      <c r="H547" t="s">
        <v>2739</v>
      </c>
    </row>
    <row r="548" spans="1:9" x14ac:dyDescent="0.25">
      <c r="F548" t="s">
        <v>2740</v>
      </c>
      <c r="G548" t="s">
        <v>2741</v>
      </c>
      <c r="H548" t="s">
        <v>2742</v>
      </c>
    </row>
    <row r="549" spans="1:9" x14ac:dyDescent="0.25">
      <c r="F549" t="s">
        <v>2743</v>
      </c>
      <c r="G549" t="s">
        <v>2744</v>
      </c>
      <c r="H549" t="s">
        <v>2745</v>
      </c>
    </row>
    <row r="550" spans="1:9" x14ac:dyDescent="0.25">
      <c r="F550" t="s">
        <v>2746</v>
      </c>
      <c r="G550" t="s">
        <v>2747</v>
      </c>
      <c r="H550" t="s">
        <v>2748</v>
      </c>
    </row>
    <row r="551" spans="1:9" x14ac:dyDescent="0.25">
      <c r="F551" t="s">
        <v>2749</v>
      </c>
      <c r="G551" t="s">
        <v>2750</v>
      </c>
      <c r="H551" t="s">
        <v>2751</v>
      </c>
    </row>
    <row r="552" spans="1:9" x14ac:dyDescent="0.25">
      <c r="F552" t="s">
        <v>2752</v>
      </c>
      <c r="G552" t="s">
        <v>2753</v>
      </c>
      <c r="H552" t="s">
        <v>2754</v>
      </c>
    </row>
    <row r="553" spans="1:9" x14ac:dyDescent="0.25">
      <c r="F553" t="s">
        <v>2755</v>
      </c>
      <c r="G553" t="s">
        <v>2756</v>
      </c>
      <c r="H553" t="s">
        <v>2757</v>
      </c>
    </row>
    <row r="554" spans="1:9" x14ac:dyDescent="0.25">
      <c r="F554" t="s">
        <v>2758</v>
      </c>
      <c r="G554" t="s">
        <v>2759</v>
      </c>
      <c r="H554" t="s">
        <v>2760</v>
      </c>
    </row>
    <row r="555" spans="1:9" x14ac:dyDescent="0.25">
      <c r="F555" t="s">
        <v>2761</v>
      </c>
      <c r="G555" t="s">
        <v>2762</v>
      </c>
      <c r="H555" t="s">
        <v>2763</v>
      </c>
    </row>
    <row r="556" spans="1:9" x14ac:dyDescent="0.25">
      <c r="F556" t="s">
        <v>2764</v>
      </c>
      <c r="G556" t="s">
        <v>2765</v>
      </c>
      <c r="H556" t="s">
        <v>2766</v>
      </c>
    </row>
    <row r="557" spans="1:9" x14ac:dyDescent="0.25">
      <c r="F557" t="s">
        <v>2767</v>
      </c>
      <c r="G557" t="s">
        <v>2768</v>
      </c>
      <c r="H557" t="s">
        <v>2769</v>
      </c>
    </row>
    <row r="558" spans="1:9" x14ac:dyDescent="0.25">
      <c r="F558" t="s">
        <v>2770</v>
      </c>
      <c r="G558" t="s">
        <v>2771</v>
      </c>
      <c r="H558" t="s">
        <v>2772</v>
      </c>
    </row>
    <row r="559" spans="1:9" x14ac:dyDescent="0.25">
      <c r="F559" t="s">
        <v>2773</v>
      </c>
      <c r="G559" t="s">
        <v>2774</v>
      </c>
      <c r="H559" t="s">
        <v>2775</v>
      </c>
    </row>
    <row r="560" spans="1:9" x14ac:dyDescent="0.25">
      <c r="F560" t="s">
        <v>2776</v>
      </c>
      <c r="G560" t="s">
        <v>2774</v>
      </c>
      <c r="H560" t="s">
        <v>2777</v>
      </c>
    </row>
    <row r="561" spans="1:9" x14ac:dyDescent="0.25">
      <c r="F561" t="s">
        <v>2778</v>
      </c>
      <c r="G561" t="s">
        <v>2779</v>
      </c>
      <c r="H561" t="s">
        <v>2780</v>
      </c>
    </row>
    <row r="562" spans="1:9" x14ac:dyDescent="0.25">
      <c r="F562" t="s">
        <v>2781</v>
      </c>
      <c r="G562" t="s">
        <v>2782</v>
      </c>
      <c r="H562" t="s">
        <v>2783</v>
      </c>
    </row>
    <row r="563" spans="1:9" x14ac:dyDescent="0.25">
      <c r="F563" t="s">
        <v>2784</v>
      </c>
      <c r="G563" t="s">
        <v>2785</v>
      </c>
      <c r="H563" t="s">
        <v>2786</v>
      </c>
    </row>
    <row r="564" spans="1:9" x14ac:dyDescent="0.25">
      <c r="F564" t="s">
        <v>2787</v>
      </c>
      <c r="G564" t="s">
        <v>2788</v>
      </c>
      <c r="H564" t="s">
        <v>2789</v>
      </c>
    </row>
    <row r="565" spans="1:9" x14ac:dyDescent="0.25">
      <c r="F565" t="s">
        <v>2790</v>
      </c>
      <c r="G565" t="s">
        <v>2791</v>
      </c>
      <c r="H565" t="s">
        <v>2792</v>
      </c>
    </row>
    <row r="566" spans="1:9" x14ac:dyDescent="0.25">
      <c r="F566" t="s">
        <v>2793</v>
      </c>
      <c r="G566" t="s">
        <v>2794</v>
      </c>
      <c r="H566" t="s">
        <v>2795</v>
      </c>
    </row>
    <row r="567" spans="1:9" x14ac:dyDescent="0.25">
      <c r="F567" t="s">
        <v>2796</v>
      </c>
      <c r="G567" t="s">
        <v>2797</v>
      </c>
      <c r="H567" t="s">
        <v>2798</v>
      </c>
    </row>
    <row r="568" spans="1:9" x14ac:dyDescent="0.25">
      <c r="F568" t="s">
        <v>2799</v>
      </c>
      <c r="G568" t="s">
        <v>2797</v>
      </c>
      <c r="H568" t="s">
        <v>2800</v>
      </c>
    </row>
    <row r="569" spans="1:9" x14ac:dyDescent="0.25">
      <c r="F569" t="s">
        <v>2801</v>
      </c>
      <c r="G569" t="s">
        <v>2802</v>
      </c>
      <c r="H569" t="s">
        <v>2803</v>
      </c>
    </row>
    <row r="570" spans="1:9" x14ac:dyDescent="0.25">
      <c r="F570" t="s">
        <v>2804</v>
      </c>
      <c r="G570" t="s">
        <v>2805</v>
      </c>
      <c r="H570" t="s">
        <v>2806</v>
      </c>
    </row>
    <row r="571" spans="1:9" x14ac:dyDescent="0.25">
      <c r="F571" t="s">
        <v>2807</v>
      </c>
      <c r="G571" t="s">
        <v>2808</v>
      </c>
      <c r="H571" t="s">
        <v>2809</v>
      </c>
    </row>
    <row r="572" spans="1:9" x14ac:dyDescent="0.25">
      <c r="F572" t="s">
        <v>2810</v>
      </c>
      <c r="G572" t="s">
        <v>2811</v>
      </c>
      <c r="H572" t="s">
        <v>2812</v>
      </c>
    </row>
    <row r="573" spans="1:9" x14ac:dyDescent="0.25">
      <c r="F573" t="s">
        <v>2813</v>
      </c>
      <c r="G573" t="s">
        <v>2814</v>
      </c>
      <c r="H573" t="s">
        <v>2815</v>
      </c>
    </row>
    <row r="574" spans="1:9" x14ac:dyDescent="0.25">
      <c r="F574" t="s">
        <v>2816</v>
      </c>
      <c r="G574" t="s">
        <v>2817</v>
      </c>
      <c r="H574" t="s">
        <v>2818</v>
      </c>
    </row>
    <row r="575" spans="1:9" x14ac:dyDescent="0.25">
      <c r="F575" t="s">
        <v>2819</v>
      </c>
      <c r="G575" t="s">
        <v>2820</v>
      </c>
      <c r="H575" t="s">
        <v>2821</v>
      </c>
    </row>
    <row r="576" spans="1:9" x14ac:dyDescent="0.25">
      <c r="F576" t="s">
        <v>2822</v>
      </c>
      <c r="G576" t="s">
        <v>2823</v>
      </c>
      <c r="H576" t="s">
        <v>2824</v>
      </c>
    </row>
    <row r="577" spans="1:9" x14ac:dyDescent="0.25">
      <c r="F577" t="s">
        <v>2825</v>
      </c>
      <c r="G577" t="s">
        <v>2826</v>
      </c>
      <c r="H577" t="s">
        <v>2827</v>
      </c>
    </row>
    <row r="578" spans="1:9" x14ac:dyDescent="0.25">
      <c r="F578" t="s">
        <v>2828</v>
      </c>
      <c r="G578" t="s">
        <v>2829</v>
      </c>
      <c r="H578" t="s">
        <v>2830</v>
      </c>
    </row>
    <row r="579" spans="1:9" x14ac:dyDescent="0.25">
      <c r="F579" t="s">
        <v>2831</v>
      </c>
      <c r="G579" t="s">
        <v>2832</v>
      </c>
      <c r="H579" t="s">
        <v>2833</v>
      </c>
    </row>
    <row r="580" spans="1:9" x14ac:dyDescent="0.25">
      <c r="F580" t="s">
        <v>2834</v>
      </c>
      <c r="G580" t="s">
        <v>2832</v>
      </c>
      <c r="H580" t="s">
        <v>2835</v>
      </c>
    </row>
    <row r="581" spans="1:9" x14ac:dyDescent="0.25">
      <c r="F581" t="s">
        <v>2836</v>
      </c>
      <c r="G581" t="s">
        <v>2837</v>
      </c>
      <c r="H581" t="s">
        <v>2838</v>
      </c>
    </row>
    <row r="582" spans="1:9" x14ac:dyDescent="0.25">
      <c r="F582" t="s">
        <v>2839</v>
      </c>
      <c r="G582" t="s">
        <v>2840</v>
      </c>
      <c r="H582" t="s">
        <v>2841</v>
      </c>
    </row>
    <row r="583" spans="1:9" x14ac:dyDescent="0.25">
      <c r="F583" t="s">
        <v>2842</v>
      </c>
      <c r="G583" t="s">
        <v>2843</v>
      </c>
      <c r="H583" t="s">
        <v>2844</v>
      </c>
    </row>
    <row r="584" spans="1:9" x14ac:dyDescent="0.25">
      <c r="F584" t="s">
        <v>2845</v>
      </c>
      <c r="G584" t="s">
        <v>2843</v>
      </c>
      <c r="H584" t="s">
        <v>2846</v>
      </c>
    </row>
    <row r="585" spans="1:9" x14ac:dyDescent="0.25">
      <c r="F585" t="s">
        <v>2847</v>
      </c>
      <c r="G585" t="s">
        <v>2843</v>
      </c>
      <c r="H585" t="s">
        <v>2848</v>
      </c>
    </row>
    <row r="586" spans="1:9" x14ac:dyDescent="0.25">
      <c r="F586" t="s">
        <v>2849</v>
      </c>
      <c r="G586" t="s">
        <v>2850</v>
      </c>
      <c r="H586" t="s">
        <v>2851</v>
      </c>
    </row>
    <row r="587" spans="1:9" x14ac:dyDescent="0.25">
      <c r="F587" t="s">
        <v>2852</v>
      </c>
      <c r="G587" t="s">
        <v>2853</v>
      </c>
      <c r="H587" t="s">
        <v>2854</v>
      </c>
    </row>
    <row r="588" spans="1:9" x14ac:dyDescent="0.25">
      <c r="F588" t="s">
        <v>2855</v>
      </c>
      <c r="G588" t="s">
        <v>2856</v>
      </c>
      <c r="H588" t="s">
        <v>2857</v>
      </c>
    </row>
    <row r="589" spans="1:9" x14ac:dyDescent="0.25">
      <c r="F589" t="s">
        <v>2858</v>
      </c>
      <c r="G589" t="s">
        <v>2859</v>
      </c>
      <c r="H589" t="s">
        <v>2860</v>
      </c>
    </row>
    <row r="590" spans="1:9" x14ac:dyDescent="0.25">
      <c r="F590" t="s">
        <v>2861</v>
      </c>
      <c r="G590" t="s">
        <v>2859</v>
      </c>
      <c r="H590" t="s">
        <v>2862</v>
      </c>
    </row>
    <row r="591" spans="1:9" x14ac:dyDescent="0.25">
      <c r="F591" t="s">
        <v>2863</v>
      </c>
      <c r="G591" t="s">
        <v>2859</v>
      </c>
      <c r="H591" t="s">
        <v>2864</v>
      </c>
    </row>
    <row r="592" spans="1:9" x14ac:dyDescent="0.25">
      <c r="F592" t="s">
        <v>2865</v>
      </c>
      <c r="G592" t="s">
        <v>2866</v>
      </c>
      <c r="H592" t="s">
        <v>2867</v>
      </c>
    </row>
    <row r="593" spans="1:9" x14ac:dyDescent="0.25">
      <c r="F593" t="s">
        <v>2868</v>
      </c>
      <c r="G593" t="s">
        <v>2869</v>
      </c>
      <c r="H593" t="s">
        <v>2870</v>
      </c>
    </row>
    <row r="594" spans="1:9" x14ac:dyDescent="0.25">
      <c r="F594" t="s">
        <v>2871</v>
      </c>
      <c r="G594" t="s">
        <v>2872</v>
      </c>
      <c r="H594" t="s">
        <v>2873</v>
      </c>
    </row>
    <row r="595" spans="1:9" x14ac:dyDescent="0.25">
      <c r="F595" t="s">
        <v>2874</v>
      </c>
      <c r="G595" t="s">
        <v>2875</v>
      </c>
      <c r="H595" t="s">
        <v>2876</v>
      </c>
    </row>
    <row r="596" spans="1:9" x14ac:dyDescent="0.25">
      <c r="F596" t="s">
        <v>2877</v>
      </c>
      <c r="G596" t="s">
        <v>2878</v>
      </c>
      <c r="H596" t="s">
        <v>2879</v>
      </c>
    </row>
    <row r="597" spans="1:9" x14ac:dyDescent="0.25">
      <c r="F597" t="s">
        <v>2880</v>
      </c>
      <c r="G597" t="s">
        <v>2881</v>
      </c>
      <c r="H597" t="s">
        <v>2882</v>
      </c>
    </row>
    <row r="598" spans="1:9" x14ac:dyDescent="0.25">
      <c r="F598" t="s">
        <v>2883</v>
      </c>
      <c r="G598" t="s">
        <v>2884</v>
      </c>
      <c r="H598" t="s">
        <v>2885</v>
      </c>
    </row>
    <row r="599" spans="1:9" x14ac:dyDescent="0.25">
      <c r="F599" t="s">
        <v>2886</v>
      </c>
      <c r="G599" t="s">
        <v>2887</v>
      </c>
      <c r="H599" t="s">
        <v>2888</v>
      </c>
    </row>
    <row r="600" spans="1:9" x14ac:dyDescent="0.25">
      <c r="F600" t="s">
        <v>2889</v>
      </c>
      <c r="G600" t="s">
        <v>2890</v>
      </c>
      <c r="H600" t="s">
        <v>2891</v>
      </c>
    </row>
    <row r="601" spans="1:9" x14ac:dyDescent="0.25">
      <c r="F601" t="s">
        <v>2892</v>
      </c>
      <c r="G601" t="s">
        <v>2893</v>
      </c>
      <c r="H601" t="s">
        <v>2894</v>
      </c>
    </row>
    <row r="602" spans="1:9" x14ac:dyDescent="0.25">
      <c r="F602" t="s">
        <v>2895</v>
      </c>
      <c r="G602" t="s">
        <v>2896</v>
      </c>
      <c r="H602" t="s">
        <v>2897</v>
      </c>
    </row>
    <row r="603" spans="1:9" x14ac:dyDescent="0.25">
      <c r="F603" t="s">
        <v>2898</v>
      </c>
      <c r="G603" t="s">
        <v>2899</v>
      </c>
      <c r="H603" t="s">
        <v>2900</v>
      </c>
    </row>
    <row r="604" spans="1:9" x14ac:dyDescent="0.25">
      <c r="F604" t="s">
        <v>2901</v>
      </c>
      <c r="G604" t="s">
        <v>2902</v>
      </c>
      <c r="H604" t="s">
        <v>2903</v>
      </c>
    </row>
    <row r="605" spans="1:9" x14ac:dyDescent="0.25">
      <c r="F605" t="s">
        <v>2904</v>
      </c>
      <c r="G605" t="s">
        <v>2905</v>
      </c>
      <c r="H605" t="s">
        <v>2906</v>
      </c>
    </row>
    <row r="606" spans="1:9" x14ac:dyDescent="0.25">
      <c r="F606" t="s">
        <v>2907</v>
      </c>
      <c r="G606" t="s">
        <v>2908</v>
      </c>
      <c r="H606" t="s">
        <v>2909</v>
      </c>
    </row>
    <row r="607" spans="1:9" x14ac:dyDescent="0.25">
      <c r="F607" t="s">
        <v>2910</v>
      </c>
      <c r="G607" t="s">
        <v>2911</v>
      </c>
      <c r="H607" t="s">
        <v>2912</v>
      </c>
    </row>
    <row r="608" spans="1:9" x14ac:dyDescent="0.25">
      <c r="F608" t="s">
        <v>2913</v>
      </c>
      <c r="G608" t="s">
        <v>2914</v>
      </c>
      <c r="H608" t="s">
        <v>2915</v>
      </c>
    </row>
    <row r="609" spans="1:9" x14ac:dyDescent="0.25">
      <c r="F609" t="s">
        <v>2916</v>
      </c>
      <c r="G609" t="s">
        <v>2917</v>
      </c>
      <c r="H609" t="s">
        <v>2918</v>
      </c>
    </row>
    <row r="610" spans="1:9" x14ac:dyDescent="0.25">
      <c r="F610" t="s">
        <v>2919</v>
      </c>
      <c r="G610" t="s">
        <v>2920</v>
      </c>
      <c r="H610" t="s">
        <v>2921</v>
      </c>
    </row>
    <row r="611" spans="1:9" x14ac:dyDescent="0.25">
      <c r="F611" t="s">
        <v>2922</v>
      </c>
      <c r="G611" t="s">
        <v>2923</v>
      </c>
      <c r="H611" t="s">
        <v>2924</v>
      </c>
    </row>
    <row r="612" spans="1:9" x14ac:dyDescent="0.25">
      <c r="F612" t="s">
        <v>2925</v>
      </c>
      <c r="G612" t="s">
        <v>2926</v>
      </c>
      <c r="H612" t="s">
        <v>2927</v>
      </c>
    </row>
    <row r="613" spans="1:9" x14ac:dyDescent="0.25">
      <c r="F613" t="s">
        <v>2928</v>
      </c>
      <c r="G613" t="s">
        <v>2929</v>
      </c>
      <c r="H613" t="s">
        <v>2930</v>
      </c>
    </row>
    <row r="614" spans="1:9" x14ac:dyDescent="0.25">
      <c r="F614" t="s">
        <v>2931</v>
      </c>
      <c r="G614" t="s">
        <v>2932</v>
      </c>
      <c r="H614" t="s">
        <v>2933</v>
      </c>
    </row>
    <row r="615" spans="1:9" x14ac:dyDescent="0.25">
      <c r="F615" t="s">
        <v>2934</v>
      </c>
      <c r="G615" t="s">
        <v>2935</v>
      </c>
      <c r="H615" t="s">
        <v>2936</v>
      </c>
    </row>
    <row r="616" spans="1:9" x14ac:dyDescent="0.25">
      <c r="F616" t="s">
        <v>2937</v>
      </c>
      <c r="G616" t="s">
        <v>2938</v>
      </c>
      <c r="H616" t="s">
        <v>2939</v>
      </c>
    </row>
    <row r="617" spans="1:9" x14ac:dyDescent="0.25">
      <c r="F617" t="s">
        <v>2940</v>
      </c>
      <c r="G617" t="s">
        <v>2941</v>
      </c>
      <c r="H617" t="s">
        <v>2942</v>
      </c>
    </row>
    <row r="618" spans="1:9" x14ac:dyDescent="0.25">
      <c r="F618" t="s">
        <v>2943</v>
      </c>
      <c r="G618" t="s">
        <v>2944</v>
      </c>
      <c r="H618" t="s">
        <v>2945</v>
      </c>
    </row>
    <row r="619" spans="1:9" x14ac:dyDescent="0.25">
      <c r="F619" t="s">
        <v>2946</v>
      </c>
      <c r="G619" t="s">
        <v>2947</v>
      </c>
      <c r="H619" t="s">
        <v>2948</v>
      </c>
    </row>
    <row r="620" spans="1:9" x14ac:dyDescent="0.25">
      <c r="F620" t="s">
        <v>2949</v>
      </c>
      <c r="G620" t="s">
        <v>2950</v>
      </c>
      <c r="H620" t="s">
        <v>2951</v>
      </c>
    </row>
    <row r="621" spans="1:9" x14ac:dyDescent="0.25">
      <c r="F621" t="s">
        <v>2952</v>
      </c>
      <c r="G621" t="s">
        <v>2953</v>
      </c>
      <c r="H621" t="s">
        <v>2954</v>
      </c>
    </row>
    <row r="622" spans="1:9" x14ac:dyDescent="0.25">
      <c r="F622" t="s">
        <v>2955</v>
      </c>
      <c r="G622" t="s">
        <v>2956</v>
      </c>
      <c r="H622" t="s">
        <v>2957</v>
      </c>
    </row>
    <row r="623" spans="1:9" x14ac:dyDescent="0.25">
      <c r="F623" t="s">
        <v>2958</v>
      </c>
      <c r="G623" t="s">
        <v>2959</v>
      </c>
      <c r="H623" t="s">
        <v>2960</v>
      </c>
    </row>
    <row r="624" spans="1:9" x14ac:dyDescent="0.25">
      <c r="F624" t="s">
        <v>2961</v>
      </c>
      <c r="G624" t="s">
        <v>2962</v>
      </c>
      <c r="H624" t="s">
        <v>2963</v>
      </c>
    </row>
    <row r="625" spans="1:9" x14ac:dyDescent="0.25">
      <c r="F625" t="s">
        <v>2964</v>
      </c>
      <c r="G625" t="s">
        <v>2962</v>
      </c>
      <c r="H625" t="s">
        <v>2965</v>
      </c>
    </row>
    <row r="626" spans="1:9" x14ac:dyDescent="0.25">
      <c r="F626" t="s">
        <v>2966</v>
      </c>
      <c r="G626" t="s">
        <v>2967</v>
      </c>
      <c r="H626" t="s">
        <v>2968</v>
      </c>
    </row>
    <row r="627" spans="1:9" x14ac:dyDescent="0.25">
      <c r="F627" t="s">
        <v>2969</v>
      </c>
      <c r="G627" t="s">
        <v>2970</v>
      </c>
      <c r="H627" t="s">
        <v>2971</v>
      </c>
    </row>
    <row r="628" spans="1:9" x14ac:dyDescent="0.25">
      <c r="F628" t="s">
        <v>2972</v>
      </c>
      <c r="G628" t="s">
        <v>2973</v>
      </c>
      <c r="H628" t="s">
        <v>2974</v>
      </c>
    </row>
    <row r="629" spans="1:9" x14ac:dyDescent="0.25">
      <c r="F629" t="s">
        <v>2975</v>
      </c>
      <c r="G629" t="s">
        <v>2976</v>
      </c>
      <c r="H629" t="s">
        <v>2977</v>
      </c>
    </row>
    <row r="630" spans="1:9" x14ac:dyDescent="0.25">
      <c r="F630" t="s">
        <v>2978</v>
      </c>
      <c r="G630" t="s">
        <v>2979</v>
      </c>
      <c r="H630" t="s">
        <v>2980</v>
      </c>
    </row>
    <row r="631" spans="1:9" x14ac:dyDescent="0.25">
      <c r="F631" t="s">
        <v>2981</v>
      </c>
      <c r="G631" t="s">
        <v>2982</v>
      </c>
      <c r="H631" t="s">
        <v>2983</v>
      </c>
    </row>
    <row r="632" spans="1:9" x14ac:dyDescent="0.25">
      <c r="F632" t="s">
        <v>2984</v>
      </c>
      <c r="G632" t="s">
        <v>2985</v>
      </c>
      <c r="H632" t="s">
        <v>2986</v>
      </c>
    </row>
    <row r="633" spans="1:9" x14ac:dyDescent="0.25">
      <c r="F633" t="s">
        <v>2987</v>
      </c>
      <c r="G633" t="s">
        <v>2988</v>
      </c>
      <c r="H633" t="s">
        <v>2989</v>
      </c>
    </row>
    <row r="634" spans="1:9" x14ac:dyDescent="0.25">
      <c r="F634" t="s">
        <v>2990</v>
      </c>
      <c r="G634" t="s">
        <v>2991</v>
      </c>
      <c r="H634" t="s">
        <v>2992</v>
      </c>
    </row>
    <row r="635" spans="1:9" x14ac:dyDescent="0.25">
      <c r="F635" t="s">
        <v>2993</v>
      </c>
      <c r="G635" t="s">
        <v>2994</v>
      </c>
      <c r="H635" t="s">
        <v>2995</v>
      </c>
    </row>
    <row r="636" spans="1:9" x14ac:dyDescent="0.25">
      <c r="F636" t="s">
        <v>2996</v>
      </c>
      <c r="G636" t="s">
        <v>2997</v>
      </c>
      <c r="H636" t="s">
        <v>2998</v>
      </c>
    </row>
    <row r="637" spans="1:9" x14ac:dyDescent="0.25">
      <c r="F637" t="s">
        <v>2999</v>
      </c>
      <c r="G637" t="s">
        <v>3000</v>
      </c>
      <c r="H637" t="s">
        <v>3001</v>
      </c>
    </row>
    <row r="638" spans="1:9" x14ac:dyDescent="0.25">
      <c r="F638" t="s">
        <v>3002</v>
      </c>
      <c r="G638" t="s">
        <v>3003</v>
      </c>
      <c r="H638" t="s">
        <v>3004</v>
      </c>
    </row>
    <row r="639" spans="1:9" x14ac:dyDescent="0.25">
      <c r="F639" t="s">
        <v>3005</v>
      </c>
      <c r="G639" t="s">
        <v>3006</v>
      </c>
      <c r="H639" t="s">
        <v>3007</v>
      </c>
    </row>
    <row r="640" spans="1:9" x14ac:dyDescent="0.25">
      <c r="F640" t="s">
        <v>3008</v>
      </c>
      <c r="G640" t="s">
        <v>3009</v>
      </c>
      <c r="H640" t="s">
        <v>3010</v>
      </c>
    </row>
    <row r="641" spans="1:9" x14ac:dyDescent="0.25">
      <c r="F641" t="s">
        <v>3011</v>
      </c>
      <c r="G641" t="s">
        <v>3012</v>
      </c>
      <c r="H641" t="s">
        <v>3013</v>
      </c>
    </row>
    <row r="642" spans="1:9" x14ac:dyDescent="0.25">
      <c r="F642" t="s">
        <v>3014</v>
      </c>
      <c r="G642" t="s">
        <v>3015</v>
      </c>
      <c r="H642" t="s">
        <v>3016</v>
      </c>
    </row>
    <row r="643" spans="1:9" x14ac:dyDescent="0.25">
      <c r="F643" t="s">
        <v>3017</v>
      </c>
      <c r="G643" t="s">
        <v>3015</v>
      </c>
      <c r="H643" t="s">
        <v>3018</v>
      </c>
    </row>
    <row r="644" spans="1:9" x14ac:dyDescent="0.25">
      <c r="F644" t="s">
        <v>3019</v>
      </c>
      <c r="G644" t="s">
        <v>3020</v>
      </c>
      <c r="H644" t="s">
        <v>3021</v>
      </c>
    </row>
    <row r="645" spans="1:9" x14ac:dyDescent="0.25">
      <c r="F645" t="s">
        <v>3022</v>
      </c>
      <c r="G645" t="s">
        <v>3023</v>
      </c>
      <c r="H645" t="s">
        <v>3024</v>
      </c>
    </row>
    <row r="646" spans="1:9" x14ac:dyDescent="0.25">
      <c r="F646" t="s">
        <v>3025</v>
      </c>
      <c r="G646" t="s">
        <v>3026</v>
      </c>
      <c r="H646" t="s">
        <v>3027</v>
      </c>
    </row>
    <row r="647" spans="1:9" x14ac:dyDescent="0.25">
      <c r="F647" t="s">
        <v>3028</v>
      </c>
      <c r="G647" t="s">
        <v>3029</v>
      </c>
      <c r="H647" t="s">
        <v>3030</v>
      </c>
    </row>
    <row r="648" spans="1:9" x14ac:dyDescent="0.25">
      <c r="F648" t="s">
        <v>3031</v>
      </c>
      <c r="G648" t="s">
        <v>3032</v>
      </c>
      <c r="H648" t="s">
        <v>3033</v>
      </c>
    </row>
    <row r="649" spans="1:9" x14ac:dyDescent="0.25">
      <c r="F649" t="s">
        <v>3034</v>
      </c>
      <c r="G649" t="s">
        <v>3035</v>
      </c>
      <c r="H649" t="s">
        <v>3036</v>
      </c>
    </row>
    <row r="650" spans="1:9" x14ac:dyDescent="0.25">
      <c r="F650" t="s">
        <v>3037</v>
      </c>
      <c r="G650" t="s">
        <v>3038</v>
      </c>
      <c r="H650" t="s">
        <v>3039</v>
      </c>
    </row>
    <row r="651" spans="1:9" x14ac:dyDescent="0.25">
      <c r="F651" t="s">
        <v>3040</v>
      </c>
      <c r="G651" t="s">
        <v>3041</v>
      </c>
      <c r="H651" t="s">
        <v>3042</v>
      </c>
    </row>
    <row r="652" spans="1:9" x14ac:dyDescent="0.25">
      <c r="F652" t="s">
        <v>3043</v>
      </c>
      <c r="G652" t="s">
        <v>3044</v>
      </c>
      <c r="H652" t="s">
        <v>3045</v>
      </c>
    </row>
    <row r="653" spans="1:9" x14ac:dyDescent="0.25">
      <c r="F653" t="s">
        <v>3046</v>
      </c>
      <c r="G653" t="s">
        <v>3044</v>
      </c>
      <c r="H653" t="s">
        <v>3047</v>
      </c>
    </row>
    <row r="654" spans="1:9" x14ac:dyDescent="0.25">
      <c r="F654" t="s">
        <v>3048</v>
      </c>
      <c r="G654" t="s">
        <v>3049</v>
      </c>
      <c r="H654" t="s">
        <v>3050</v>
      </c>
    </row>
    <row r="655" spans="1:9" x14ac:dyDescent="0.25">
      <c r="F655" t="s">
        <v>3051</v>
      </c>
      <c r="G655" t="s">
        <v>3052</v>
      </c>
      <c r="H655" t="s">
        <v>3053</v>
      </c>
    </row>
    <row r="656" spans="1:9" x14ac:dyDescent="0.25">
      <c r="F656" t="s">
        <v>3054</v>
      </c>
      <c r="G656" t="s">
        <v>3055</v>
      </c>
      <c r="H656" t="s">
        <v>3056</v>
      </c>
    </row>
    <row r="657" spans="1:9" x14ac:dyDescent="0.25">
      <c r="F657" t="s">
        <v>3057</v>
      </c>
      <c r="G657" t="s">
        <v>3058</v>
      </c>
      <c r="H657" t="s">
        <v>3059</v>
      </c>
    </row>
    <row r="658" spans="1:9" x14ac:dyDescent="0.25">
      <c r="F658" t="s">
        <v>3060</v>
      </c>
      <c r="G658" t="s">
        <v>3061</v>
      </c>
      <c r="H658" t="s">
        <v>3062</v>
      </c>
    </row>
    <row r="659" spans="1:9" x14ac:dyDescent="0.25">
      <c r="F659" t="s">
        <v>3063</v>
      </c>
      <c r="G659" t="s">
        <v>3064</v>
      </c>
      <c r="H659" t="s">
        <v>3065</v>
      </c>
    </row>
    <row r="660" spans="1:9" x14ac:dyDescent="0.25">
      <c r="F660" t="s">
        <v>3066</v>
      </c>
      <c r="G660" t="s">
        <v>3067</v>
      </c>
      <c r="H660" t="s">
        <v>3068</v>
      </c>
    </row>
    <row r="661" spans="1:9" x14ac:dyDescent="0.25">
      <c r="F661" t="s">
        <v>3069</v>
      </c>
      <c r="G661" t="s">
        <v>3070</v>
      </c>
      <c r="H661" t="s">
        <v>3071</v>
      </c>
    </row>
    <row r="662" spans="1:9" x14ac:dyDescent="0.25">
      <c r="F662" t="s">
        <v>3072</v>
      </c>
      <c r="G662" t="s">
        <v>3073</v>
      </c>
      <c r="H662" t="s">
        <v>3074</v>
      </c>
    </row>
    <row r="663" spans="1:9" x14ac:dyDescent="0.25">
      <c r="F663" t="s">
        <v>3075</v>
      </c>
      <c r="G663" t="s">
        <v>3076</v>
      </c>
      <c r="H663" t="s">
        <v>3077</v>
      </c>
    </row>
    <row r="664" spans="1:9" x14ac:dyDescent="0.25">
      <c r="F664" t="s">
        <v>3078</v>
      </c>
      <c r="G664" t="s">
        <v>3079</v>
      </c>
      <c r="H664" t="s">
        <v>3080</v>
      </c>
    </row>
    <row r="665" spans="1:9" x14ac:dyDescent="0.25">
      <c r="F665" t="s">
        <v>3081</v>
      </c>
      <c r="G665" t="s">
        <v>3082</v>
      </c>
      <c r="H665" t="s">
        <v>3083</v>
      </c>
    </row>
    <row r="666" spans="1:9" x14ac:dyDescent="0.25">
      <c r="F666" t="s">
        <v>3084</v>
      </c>
      <c r="G666" t="s">
        <v>3085</v>
      </c>
      <c r="H666" t="s">
        <v>3086</v>
      </c>
    </row>
    <row r="667" spans="1:9" x14ac:dyDescent="0.25">
      <c r="F667" t="s">
        <v>3087</v>
      </c>
      <c r="G667" t="s">
        <v>3088</v>
      </c>
      <c r="H667" t="s">
        <v>3089</v>
      </c>
    </row>
    <row r="668" spans="1:9" x14ac:dyDescent="0.25">
      <c r="F668" t="s">
        <v>3090</v>
      </c>
      <c r="G668" t="s">
        <v>3091</v>
      </c>
      <c r="H668" t="s">
        <v>3092</v>
      </c>
    </row>
    <row r="669" spans="1:9" x14ac:dyDescent="0.25">
      <c r="F669" t="s">
        <v>3093</v>
      </c>
      <c r="G669" t="s">
        <v>3094</v>
      </c>
      <c r="H669" t="s">
        <v>3095</v>
      </c>
    </row>
    <row r="670" spans="1:9" x14ac:dyDescent="0.25">
      <c r="F670" t="s">
        <v>3096</v>
      </c>
      <c r="G670" t="s">
        <v>3097</v>
      </c>
      <c r="H670" t="s">
        <v>3098</v>
      </c>
    </row>
    <row r="671" spans="1:9" x14ac:dyDescent="0.25">
      <c r="F671" t="s">
        <v>3099</v>
      </c>
      <c r="G671" t="s">
        <v>3100</v>
      </c>
      <c r="H671" t="s">
        <v>3101</v>
      </c>
    </row>
    <row r="672" spans="1:9" x14ac:dyDescent="0.25">
      <c r="F672" t="s">
        <v>3102</v>
      </c>
      <c r="G672" t="s">
        <v>3103</v>
      </c>
      <c r="H672" t="s">
        <v>3104</v>
      </c>
    </row>
    <row r="673" spans="1:9" x14ac:dyDescent="0.25">
      <c r="F673" t="s">
        <v>3105</v>
      </c>
      <c r="G673" t="s">
        <v>3106</v>
      </c>
      <c r="H673" t="s">
        <v>3107</v>
      </c>
    </row>
    <row r="674" spans="1:9" x14ac:dyDescent="0.25">
      <c r="F674" t="s">
        <v>3108</v>
      </c>
      <c r="G674" t="s">
        <v>3109</v>
      </c>
      <c r="H674" t="s">
        <v>3110</v>
      </c>
    </row>
    <row r="675" spans="1:9" x14ac:dyDescent="0.25">
      <c r="F675" t="s">
        <v>3111</v>
      </c>
      <c r="G675" t="s">
        <v>3112</v>
      </c>
      <c r="H675" t="s">
        <v>3113</v>
      </c>
    </row>
    <row r="676" spans="1:9" x14ac:dyDescent="0.25">
      <c r="F676" t="s">
        <v>3114</v>
      </c>
      <c r="G676" t="s">
        <v>3115</v>
      </c>
      <c r="H676" t="s">
        <v>3116</v>
      </c>
    </row>
    <row r="677" spans="1:9" x14ac:dyDescent="0.25">
      <c r="F677" t="s">
        <v>3117</v>
      </c>
      <c r="G677" t="s">
        <v>3118</v>
      </c>
      <c r="H677" t="s">
        <v>3119</v>
      </c>
    </row>
    <row r="678" spans="1:9" x14ac:dyDescent="0.25">
      <c r="F678" t="s">
        <v>3120</v>
      </c>
      <c r="G678" t="s">
        <v>3121</v>
      </c>
      <c r="H678" t="s">
        <v>3122</v>
      </c>
    </row>
    <row r="679" spans="1:9" x14ac:dyDescent="0.25">
      <c r="F679" t="s">
        <v>3123</v>
      </c>
      <c r="G679" t="s">
        <v>3124</v>
      </c>
      <c r="H679" t="s">
        <v>3125</v>
      </c>
    </row>
    <row r="680" spans="1:9" x14ac:dyDescent="0.25">
      <c r="F680" t="s">
        <v>3126</v>
      </c>
      <c r="G680" t="s">
        <v>3127</v>
      </c>
      <c r="H680" t="s">
        <v>3128</v>
      </c>
    </row>
    <row r="681" spans="1:9" x14ac:dyDescent="0.25">
      <c r="F681" t="s">
        <v>3129</v>
      </c>
      <c r="G681" t="s">
        <v>3130</v>
      </c>
      <c r="H681" t="s">
        <v>3131</v>
      </c>
    </row>
    <row r="682" spans="1:9" x14ac:dyDescent="0.25">
      <c r="F682" t="s">
        <v>3132</v>
      </c>
      <c r="G682" t="s">
        <v>3130</v>
      </c>
      <c r="H682" t="s">
        <v>3133</v>
      </c>
    </row>
    <row r="683" spans="1:9" x14ac:dyDescent="0.25">
      <c r="F683" t="s">
        <v>3134</v>
      </c>
      <c r="G683" t="s">
        <v>3135</v>
      </c>
      <c r="H683" t="s">
        <v>3136</v>
      </c>
    </row>
    <row r="684" spans="1:9" x14ac:dyDescent="0.25">
      <c r="F684" t="s">
        <v>3137</v>
      </c>
      <c r="G684" t="s">
        <v>3135</v>
      </c>
      <c r="H684" t="s">
        <v>3138</v>
      </c>
    </row>
    <row r="685" spans="1:9" x14ac:dyDescent="0.25">
      <c r="F685" t="s">
        <v>3139</v>
      </c>
      <c r="G685" t="s">
        <v>3140</v>
      </c>
      <c r="H685" t="s">
        <v>3141</v>
      </c>
    </row>
    <row r="686" spans="1:9" x14ac:dyDescent="0.25">
      <c r="F686" t="s">
        <v>3142</v>
      </c>
      <c r="G686" t="s">
        <v>3143</v>
      </c>
      <c r="H686" t="s">
        <v>3144</v>
      </c>
    </row>
    <row r="687" spans="1:9" x14ac:dyDescent="0.25">
      <c r="F687" t="s">
        <v>3145</v>
      </c>
      <c r="G687" t="s">
        <v>3146</v>
      </c>
      <c r="H687" t="s">
        <v>3147</v>
      </c>
    </row>
    <row r="688" spans="1:9" x14ac:dyDescent="0.25">
      <c r="F688" t="s">
        <v>3148</v>
      </c>
      <c r="G688" t="s">
        <v>3149</v>
      </c>
      <c r="H688" t="s">
        <v>3150</v>
      </c>
    </row>
    <row r="689" spans="1:9" x14ac:dyDescent="0.25">
      <c r="F689" t="s">
        <v>3151</v>
      </c>
      <c r="G689" t="s">
        <v>3152</v>
      </c>
      <c r="H689" t="s">
        <v>3153</v>
      </c>
    </row>
    <row r="690" spans="1:9" x14ac:dyDescent="0.25">
      <c r="F690" t="s">
        <v>3154</v>
      </c>
      <c r="G690" t="s">
        <v>3155</v>
      </c>
      <c r="H690" t="s">
        <v>3156</v>
      </c>
    </row>
    <row r="691" spans="1:9" x14ac:dyDescent="0.25">
      <c r="F691" t="s">
        <v>3157</v>
      </c>
      <c r="G691" t="s">
        <v>3158</v>
      </c>
      <c r="H691" t="s">
        <v>3159</v>
      </c>
    </row>
    <row r="692" spans="1:9" x14ac:dyDescent="0.25">
      <c r="F692" t="s">
        <v>3160</v>
      </c>
      <c r="G692" t="s">
        <v>3161</v>
      </c>
      <c r="H692" t="s">
        <v>3162</v>
      </c>
    </row>
    <row r="693" spans="1:9" x14ac:dyDescent="0.25">
      <c r="F693" t="s">
        <v>3163</v>
      </c>
      <c r="G693" t="s">
        <v>3164</v>
      </c>
      <c r="H693" t="s">
        <v>3165</v>
      </c>
    </row>
    <row r="694" spans="1:9" x14ac:dyDescent="0.25">
      <c r="F694" t="s">
        <v>3166</v>
      </c>
      <c r="G694" t="s">
        <v>3167</v>
      </c>
      <c r="H694" t="s">
        <v>3168</v>
      </c>
    </row>
    <row r="695" spans="1:9" x14ac:dyDescent="0.25">
      <c r="F695" t="s">
        <v>3169</v>
      </c>
      <c r="G695" t="s">
        <v>3170</v>
      </c>
      <c r="H695" t="s">
        <v>3171</v>
      </c>
    </row>
    <row r="696" spans="1:9" x14ac:dyDescent="0.25">
      <c r="F696" t="s">
        <v>3172</v>
      </c>
      <c r="G696" t="s">
        <v>3173</v>
      </c>
      <c r="H696" t="s">
        <v>3174</v>
      </c>
    </row>
    <row r="697" spans="1:9" x14ac:dyDescent="0.25">
      <c r="F697" t="s">
        <v>3175</v>
      </c>
      <c r="G697" t="s">
        <v>3176</v>
      </c>
      <c r="H697" t="s">
        <v>3177</v>
      </c>
    </row>
    <row r="698" spans="1:9" x14ac:dyDescent="0.25">
      <c r="F698" t="s">
        <v>3178</v>
      </c>
      <c r="G698" t="s">
        <v>3179</v>
      </c>
      <c r="H698" t="s">
        <v>3180</v>
      </c>
    </row>
    <row r="699" spans="1:9" x14ac:dyDescent="0.25">
      <c r="F699" t="s">
        <v>3181</v>
      </c>
      <c r="G699" t="s">
        <v>3182</v>
      </c>
      <c r="H699" t="s">
        <v>3183</v>
      </c>
    </row>
    <row r="700" spans="1:9" x14ac:dyDescent="0.25">
      <c r="F700" t="s">
        <v>3184</v>
      </c>
      <c r="G700" t="s">
        <v>3185</v>
      </c>
      <c r="H700" t="s">
        <v>3186</v>
      </c>
    </row>
    <row r="701" spans="1:9" x14ac:dyDescent="0.25">
      <c r="F701" t="s">
        <v>3187</v>
      </c>
      <c r="G701" t="s">
        <v>3188</v>
      </c>
      <c r="H701" t="s">
        <v>3189</v>
      </c>
    </row>
    <row r="702" spans="1:9" x14ac:dyDescent="0.25">
      <c r="F702" t="s">
        <v>3190</v>
      </c>
      <c r="G702" t="s">
        <v>3191</v>
      </c>
      <c r="H702" t="s">
        <v>3192</v>
      </c>
    </row>
    <row r="703" spans="1:9" x14ac:dyDescent="0.25">
      <c r="F703" t="s">
        <v>3193</v>
      </c>
      <c r="G703" t="s">
        <v>3194</v>
      </c>
      <c r="H703" t="s">
        <v>3195</v>
      </c>
    </row>
    <row r="704" spans="1:9" x14ac:dyDescent="0.25">
      <c r="F704" t="s">
        <v>3196</v>
      </c>
      <c r="G704" t="s">
        <v>3194</v>
      </c>
      <c r="H704" t="s">
        <v>3197</v>
      </c>
    </row>
    <row r="705" spans="1:9" x14ac:dyDescent="0.25">
      <c r="F705" t="s">
        <v>3198</v>
      </c>
      <c r="G705" t="s">
        <v>3199</v>
      </c>
      <c r="H705" t="s">
        <v>3200</v>
      </c>
    </row>
    <row r="706" spans="1:9" x14ac:dyDescent="0.25">
      <c r="F706" t="s">
        <v>3201</v>
      </c>
      <c r="G706" t="s">
        <v>3202</v>
      </c>
      <c r="H706" t="s">
        <v>3203</v>
      </c>
    </row>
    <row r="707" spans="1:9" x14ac:dyDescent="0.25">
      <c r="F707" t="s">
        <v>3204</v>
      </c>
      <c r="G707" t="s">
        <v>3205</v>
      </c>
      <c r="H707" t="s">
        <v>3206</v>
      </c>
    </row>
    <row r="708" spans="1:9" x14ac:dyDescent="0.25">
      <c r="F708" t="s">
        <v>3207</v>
      </c>
      <c r="G708" t="s">
        <v>3208</v>
      </c>
      <c r="H708" t="s">
        <v>3209</v>
      </c>
    </row>
    <row r="709" spans="1:9" x14ac:dyDescent="0.25">
      <c r="F709" t="s">
        <v>3210</v>
      </c>
      <c r="G709" t="s">
        <v>3211</v>
      </c>
      <c r="H709" t="s">
        <v>3212</v>
      </c>
    </row>
    <row r="710" spans="1:9" x14ac:dyDescent="0.25">
      <c r="F710" t="s">
        <v>3213</v>
      </c>
      <c r="G710" t="s">
        <v>3214</v>
      </c>
      <c r="H710" t="s">
        <v>3215</v>
      </c>
    </row>
    <row r="711" spans="1:9" x14ac:dyDescent="0.25">
      <c r="F711" t="s">
        <v>3216</v>
      </c>
      <c r="G711" t="s">
        <v>3217</v>
      </c>
      <c r="H711" t="s">
        <v>3218</v>
      </c>
    </row>
    <row r="712" spans="1:9" x14ac:dyDescent="0.25">
      <c r="F712" t="s">
        <v>3219</v>
      </c>
      <c r="G712" t="s">
        <v>3220</v>
      </c>
      <c r="H712" t="s">
        <v>3221</v>
      </c>
    </row>
    <row r="713" spans="1:9" x14ac:dyDescent="0.25">
      <c r="F713" t="s">
        <v>3222</v>
      </c>
      <c r="G713" t="s">
        <v>3223</v>
      </c>
      <c r="H713" t="s">
        <v>3224</v>
      </c>
    </row>
    <row r="714" spans="1:9" x14ac:dyDescent="0.25">
      <c r="F714" t="s">
        <v>3225</v>
      </c>
      <c r="G714" t="s">
        <v>3226</v>
      </c>
      <c r="H714" t="s">
        <v>3227</v>
      </c>
    </row>
    <row r="715" spans="1:9" x14ac:dyDescent="0.25">
      <c r="F715" t="s">
        <v>3228</v>
      </c>
      <c r="G715" t="s">
        <v>3226</v>
      </c>
      <c r="H715" t="s">
        <v>3229</v>
      </c>
    </row>
    <row r="716" spans="1:9" x14ac:dyDescent="0.25">
      <c r="F716" t="s">
        <v>3230</v>
      </c>
      <c r="G716" t="s">
        <v>3231</v>
      </c>
      <c r="H716" t="s">
        <v>3232</v>
      </c>
    </row>
    <row r="717" spans="1:9" x14ac:dyDescent="0.25">
      <c r="F717" t="s">
        <v>3233</v>
      </c>
      <c r="G717" t="s">
        <v>3234</v>
      </c>
      <c r="H717" t="s">
        <v>3235</v>
      </c>
    </row>
    <row r="718" spans="1:9" x14ac:dyDescent="0.25">
      <c r="F718" t="s">
        <v>3236</v>
      </c>
      <c r="G718" t="s">
        <v>3237</v>
      </c>
      <c r="H718" t="s">
        <v>3238</v>
      </c>
    </row>
    <row r="719" spans="1:9" x14ac:dyDescent="0.25">
      <c r="F719" t="s">
        <v>3239</v>
      </c>
      <c r="G719" t="s">
        <v>3237</v>
      </c>
      <c r="H719" t="s">
        <v>3240</v>
      </c>
    </row>
    <row r="720" spans="1:9" x14ac:dyDescent="0.25">
      <c r="F720" t="s">
        <v>3241</v>
      </c>
      <c r="G720" t="s">
        <v>3242</v>
      </c>
      <c r="H720" t="s">
        <v>3243</v>
      </c>
    </row>
    <row r="721" spans="1:9" x14ac:dyDescent="0.25">
      <c r="F721" t="s">
        <v>3244</v>
      </c>
      <c r="G721" t="s">
        <v>3245</v>
      </c>
      <c r="H721" t="s">
        <v>3246</v>
      </c>
    </row>
    <row r="722" spans="1:9" x14ac:dyDescent="0.25">
      <c r="F722" t="s">
        <v>3247</v>
      </c>
      <c r="G722" t="s">
        <v>3248</v>
      </c>
      <c r="H722" t="s">
        <v>3249</v>
      </c>
    </row>
    <row r="723" spans="1:9" x14ac:dyDescent="0.25">
      <c r="F723" t="s">
        <v>3250</v>
      </c>
      <c r="G723" t="s">
        <v>3248</v>
      </c>
      <c r="H723" t="s">
        <v>3251</v>
      </c>
    </row>
    <row r="724" spans="1:9" x14ac:dyDescent="0.25">
      <c r="F724" t="s">
        <v>3252</v>
      </c>
      <c r="G724" t="s">
        <v>3248</v>
      </c>
      <c r="H724" t="s">
        <v>3253</v>
      </c>
    </row>
    <row r="725" spans="1:9" x14ac:dyDescent="0.25">
      <c r="F725" t="s">
        <v>3254</v>
      </c>
      <c r="G725" t="s">
        <v>3248</v>
      </c>
      <c r="H725" t="s">
        <v>3255</v>
      </c>
    </row>
    <row r="726" spans="1:9" x14ac:dyDescent="0.25">
      <c r="F726" t="s">
        <v>3256</v>
      </c>
      <c r="G726" t="s">
        <v>3248</v>
      </c>
      <c r="H726" t="s">
        <v>3257</v>
      </c>
    </row>
    <row r="727" spans="1:9" x14ac:dyDescent="0.25">
      <c r="F727" t="s">
        <v>3258</v>
      </c>
      <c r="G727" t="s">
        <v>3248</v>
      </c>
      <c r="H727" t="s">
        <v>3259</v>
      </c>
    </row>
    <row r="728" spans="1:9" x14ac:dyDescent="0.25">
      <c r="F728" t="s">
        <v>3260</v>
      </c>
      <c r="G728" t="s">
        <v>3248</v>
      </c>
      <c r="H728" t="s">
        <v>3261</v>
      </c>
    </row>
    <row r="729" spans="1:9" x14ac:dyDescent="0.25">
      <c r="F729" t="s">
        <v>3262</v>
      </c>
      <c r="G729" t="s">
        <v>3248</v>
      </c>
      <c r="H729" t="s">
        <v>3263</v>
      </c>
    </row>
    <row r="730" spans="1:9" x14ac:dyDescent="0.25">
      <c r="F730" t="s">
        <v>3264</v>
      </c>
      <c r="G730" t="s">
        <v>3265</v>
      </c>
      <c r="H730" t="s">
        <v>3266</v>
      </c>
    </row>
    <row r="731" spans="1:9" x14ac:dyDescent="0.25">
      <c r="F731" t="s">
        <v>3267</v>
      </c>
      <c r="G731" t="s">
        <v>3268</v>
      </c>
      <c r="H731" t="s">
        <v>3269</v>
      </c>
    </row>
    <row r="732" spans="1:9" x14ac:dyDescent="0.25">
      <c r="F732" t="s">
        <v>3270</v>
      </c>
      <c r="G732" t="s">
        <v>3271</v>
      </c>
      <c r="H732" t="s">
        <v>3272</v>
      </c>
    </row>
    <row r="733" spans="1:9" x14ac:dyDescent="0.25">
      <c r="F733" t="s">
        <v>3273</v>
      </c>
      <c r="G733" t="s">
        <v>3274</v>
      </c>
      <c r="H733" t="s">
        <v>3275</v>
      </c>
    </row>
    <row r="734" spans="1:9" x14ac:dyDescent="0.25">
      <c r="F734" t="s">
        <v>3276</v>
      </c>
      <c r="G734" t="s">
        <v>3277</v>
      </c>
      <c r="H734" t="s">
        <v>3278</v>
      </c>
    </row>
    <row r="735" spans="1:9" x14ac:dyDescent="0.25">
      <c r="F735" t="s">
        <v>3279</v>
      </c>
      <c r="G735" t="s">
        <v>3280</v>
      </c>
      <c r="H735" t="s">
        <v>3281</v>
      </c>
    </row>
    <row r="736" spans="1:9" x14ac:dyDescent="0.25">
      <c r="F736" t="s">
        <v>3282</v>
      </c>
      <c r="G736" t="s">
        <v>3283</v>
      </c>
      <c r="H736" t="s">
        <v>3284</v>
      </c>
    </row>
    <row r="737" spans="1:9" x14ac:dyDescent="0.25">
      <c r="F737" t="s">
        <v>3285</v>
      </c>
      <c r="G737" t="s">
        <v>3286</v>
      </c>
      <c r="H737" t="s">
        <v>3287</v>
      </c>
    </row>
    <row r="738" spans="1:9" x14ac:dyDescent="0.25">
      <c r="F738" t="s">
        <v>3288</v>
      </c>
      <c r="G738" t="s">
        <v>3289</v>
      </c>
      <c r="H738" t="s">
        <v>3290</v>
      </c>
    </row>
    <row r="739" spans="1:9" x14ac:dyDescent="0.25">
      <c r="F739" t="s">
        <v>3291</v>
      </c>
      <c r="G739" t="s">
        <v>3289</v>
      </c>
      <c r="H739" t="s">
        <v>3292</v>
      </c>
    </row>
    <row r="740" spans="1:9" x14ac:dyDescent="0.25">
      <c r="F740" t="s">
        <v>3293</v>
      </c>
      <c r="G740" t="s">
        <v>3294</v>
      </c>
      <c r="H740" t="s">
        <v>3295</v>
      </c>
    </row>
    <row r="741" spans="1:9" x14ac:dyDescent="0.25">
      <c r="F741" t="s">
        <v>3296</v>
      </c>
      <c r="G741" t="s">
        <v>3297</v>
      </c>
      <c r="H741" t="s">
        <v>3298</v>
      </c>
    </row>
    <row r="742" spans="1:9" x14ac:dyDescent="0.25">
      <c r="F742" t="s">
        <v>3299</v>
      </c>
      <c r="G742" t="s">
        <v>3300</v>
      </c>
      <c r="H742" t="s">
        <v>3301</v>
      </c>
    </row>
    <row r="743" spans="1:9" x14ac:dyDescent="0.25">
      <c r="F743" t="s">
        <v>3302</v>
      </c>
      <c r="G743" t="s">
        <v>3303</v>
      </c>
      <c r="H743" t="s">
        <v>3304</v>
      </c>
    </row>
    <row r="744" spans="1:9" x14ac:dyDescent="0.25">
      <c r="F744" t="s">
        <v>3305</v>
      </c>
      <c r="G744" t="s">
        <v>3306</v>
      </c>
      <c r="H744" t="s">
        <v>3307</v>
      </c>
    </row>
    <row r="745" spans="1:9" x14ac:dyDescent="0.25">
      <c r="F745" t="s">
        <v>3308</v>
      </c>
      <c r="G745" t="s">
        <v>3309</v>
      </c>
      <c r="H745" t="s">
        <v>3310</v>
      </c>
    </row>
    <row r="746" spans="1:9" x14ac:dyDescent="0.25">
      <c r="F746" t="s">
        <v>3311</v>
      </c>
      <c r="G746" t="s">
        <v>3312</v>
      </c>
      <c r="H746" t="s">
        <v>3313</v>
      </c>
    </row>
    <row r="747" spans="1:9" x14ac:dyDescent="0.25">
      <c r="F747" t="s">
        <v>3314</v>
      </c>
      <c r="G747" t="s">
        <v>3315</v>
      </c>
      <c r="H747" t="s">
        <v>3316</v>
      </c>
    </row>
    <row r="748" spans="1:9" x14ac:dyDescent="0.25">
      <c r="F748" t="s">
        <v>3317</v>
      </c>
      <c r="G748" t="s">
        <v>3318</v>
      </c>
      <c r="H748" t="s">
        <v>3319</v>
      </c>
    </row>
    <row r="749" spans="1:9" x14ac:dyDescent="0.25">
      <c r="F749" t="s">
        <v>3320</v>
      </c>
      <c r="G749" t="s">
        <v>3321</v>
      </c>
      <c r="H749" t="s">
        <v>3322</v>
      </c>
    </row>
    <row r="750" spans="1:9" x14ac:dyDescent="0.25">
      <c r="F750" t="s">
        <v>3323</v>
      </c>
      <c r="G750" t="s">
        <v>3324</v>
      </c>
      <c r="H750" t="s">
        <v>3325</v>
      </c>
    </row>
    <row r="751" spans="1:9" x14ac:dyDescent="0.25">
      <c r="F751" t="s">
        <v>3326</v>
      </c>
      <c r="G751" t="s">
        <v>3327</v>
      </c>
      <c r="H751" t="s">
        <v>3328</v>
      </c>
    </row>
    <row r="752" spans="1:9" x14ac:dyDescent="0.25">
      <c r="F752" t="s">
        <v>3329</v>
      </c>
      <c r="G752" t="s">
        <v>3330</v>
      </c>
      <c r="H752" t="s">
        <v>3331</v>
      </c>
    </row>
    <row r="753" spans="1:9" x14ac:dyDescent="0.25">
      <c r="F753" t="s">
        <v>3332</v>
      </c>
      <c r="G753" t="s">
        <v>3333</v>
      </c>
      <c r="H753" t="s">
        <v>3334</v>
      </c>
    </row>
    <row r="754" spans="1:9" x14ac:dyDescent="0.25">
      <c r="F754" t="s">
        <v>3335</v>
      </c>
      <c r="G754" t="s">
        <v>3336</v>
      </c>
      <c r="H754" t="s">
        <v>3337</v>
      </c>
    </row>
    <row r="755" spans="1:9" x14ac:dyDescent="0.25">
      <c r="F755" t="s">
        <v>3338</v>
      </c>
      <c r="G755" t="s">
        <v>3339</v>
      </c>
      <c r="H755" t="s">
        <v>3340</v>
      </c>
    </row>
    <row r="756" spans="1:9" x14ac:dyDescent="0.25">
      <c r="F756" t="s">
        <v>3341</v>
      </c>
      <c r="G756" t="s">
        <v>3342</v>
      </c>
      <c r="H756" t="s">
        <v>3343</v>
      </c>
    </row>
    <row r="757" spans="1:9" x14ac:dyDescent="0.25">
      <c r="F757" t="s">
        <v>3344</v>
      </c>
      <c r="G757" t="s">
        <v>3345</v>
      </c>
      <c r="H757" t="s">
        <v>3346</v>
      </c>
    </row>
    <row r="758" spans="1:9" x14ac:dyDescent="0.25">
      <c r="F758" t="s">
        <v>3347</v>
      </c>
      <c r="G758" t="s">
        <v>3348</v>
      </c>
      <c r="H758" t="s">
        <v>3349</v>
      </c>
    </row>
    <row r="759" spans="1:9" x14ac:dyDescent="0.25">
      <c r="F759" t="s">
        <v>3350</v>
      </c>
      <c r="G759" t="s">
        <v>3351</v>
      </c>
      <c r="H759" t="s">
        <v>3352</v>
      </c>
    </row>
    <row r="760" spans="1:9" x14ac:dyDescent="0.25">
      <c r="F760" t="s">
        <v>3353</v>
      </c>
      <c r="G760" t="s">
        <v>3354</v>
      </c>
      <c r="H760" t="s">
        <v>3355</v>
      </c>
    </row>
    <row r="761" spans="1:9" x14ac:dyDescent="0.25">
      <c r="F761" t="s">
        <v>3356</v>
      </c>
      <c r="G761" t="s">
        <v>3357</v>
      </c>
      <c r="H761" t="s">
        <v>3358</v>
      </c>
    </row>
    <row r="762" spans="1:9" x14ac:dyDescent="0.25">
      <c r="F762" t="s">
        <v>3359</v>
      </c>
      <c r="G762" t="s">
        <v>3360</v>
      </c>
      <c r="H762" t="s">
        <v>3361</v>
      </c>
    </row>
    <row r="763" spans="1:9" x14ac:dyDescent="0.25">
      <c r="F763" t="s">
        <v>3362</v>
      </c>
      <c r="G763" t="s">
        <v>3360</v>
      </c>
      <c r="H763" t="s">
        <v>3363</v>
      </c>
    </row>
    <row r="764" spans="1:9" x14ac:dyDescent="0.25">
      <c r="F764" t="s">
        <v>3364</v>
      </c>
      <c r="G764" t="s">
        <v>3365</v>
      </c>
      <c r="H764" t="s">
        <v>3366</v>
      </c>
    </row>
    <row r="765" spans="1:9" x14ac:dyDescent="0.25">
      <c r="F765" t="s">
        <v>3367</v>
      </c>
      <c r="G765" t="s">
        <v>3368</v>
      </c>
      <c r="H765" t="s">
        <v>3369</v>
      </c>
    </row>
    <row r="766" spans="1:9" x14ac:dyDescent="0.25">
      <c r="F766" t="s">
        <v>3370</v>
      </c>
      <c r="G766" t="s">
        <v>3371</v>
      </c>
      <c r="H766" t="s">
        <v>3372</v>
      </c>
    </row>
    <row r="767" spans="1:9" x14ac:dyDescent="0.25">
      <c r="F767" t="s">
        <v>3373</v>
      </c>
      <c r="G767" t="s">
        <v>3371</v>
      </c>
      <c r="H767" t="s">
        <v>3374</v>
      </c>
    </row>
    <row r="768" spans="1:9" x14ac:dyDescent="0.25">
      <c r="F768" t="s">
        <v>3375</v>
      </c>
      <c r="G768" t="s">
        <v>3371</v>
      </c>
      <c r="H768" t="s">
        <v>3376</v>
      </c>
    </row>
    <row r="769" spans="1:9" x14ac:dyDescent="0.25">
      <c r="F769" t="s">
        <v>3377</v>
      </c>
      <c r="G769" t="s">
        <v>3378</v>
      </c>
      <c r="H769" t="s">
        <v>3379</v>
      </c>
    </row>
    <row r="770" spans="1:9" x14ac:dyDescent="0.25">
      <c r="F770" t="s">
        <v>3380</v>
      </c>
      <c r="G770" t="s">
        <v>3381</v>
      </c>
      <c r="H770" t="s">
        <v>3382</v>
      </c>
    </row>
    <row r="771" spans="1:9" x14ac:dyDescent="0.25">
      <c r="F771" t="s">
        <v>3383</v>
      </c>
      <c r="G771" t="s">
        <v>3384</v>
      </c>
      <c r="H771" t="s">
        <v>3385</v>
      </c>
    </row>
    <row r="772" spans="1:9" x14ac:dyDescent="0.25">
      <c r="F772" t="s">
        <v>3386</v>
      </c>
      <c r="G772" t="s">
        <v>3387</v>
      </c>
      <c r="H772" t="s">
        <v>3388</v>
      </c>
    </row>
    <row r="773" spans="1:9" x14ac:dyDescent="0.25">
      <c r="F773" t="s">
        <v>3389</v>
      </c>
      <c r="G773" t="s">
        <v>3390</v>
      </c>
      <c r="H773" t="s">
        <v>3391</v>
      </c>
    </row>
    <row r="774" spans="1:9" x14ac:dyDescent="0.25">
      <c r="F774" t="s">
        <v>3392</v>
      </c>
      <c r="G774" t="s">
        <v>3393</v>
      </c>
      <c r="H774" t="s">
        <v>3394</v>
      </c>
    </row>
    <row r="775" spans="1:9" x14ac:dyDescent="0.25">
      <c r="F775" t="s">
        <v>3395</v>
      </c>
      <c r="G775" t="s">
        <v>3396</v>
      </c>
      <c r="H775" t="s">
        <v>3397</v>
      </c>
    </row>
    <row r="776" spans="1:9" x14ac:dyDescent="0.25">
      <c r="F776" t="s">
        <v>3398</v>
      </c>
      <c r="G776" t="s">
        <v>3399</v>
      </c>
      <c r="H776" t="s">
        <v>3400</v>
      </c>
    </row>
    <row r="777" spans="1:9" x14ac:dyDescent="0.25">
      <c r="F777" t="s">
        <v>3401</v>
      </c>
      <c r="G777" t="s">
        <v>3402</v>
      </c>
      <c r="H777" t="s">
        <v>3403</v>
      </c>
    </row>
    <row r="778" spans="1:9" x14ac:dyDescent="0.25">
      <c r="F778" t="s">
        <v>3404</v>
      </c>
      <c r="G778" t="s">
        <v>3405</v>
      </c>
      <c r="H778" t="s">
        <v>3406</v>
      </c>
    </row>
    <row r="779" spans="1:9" x14ac:dyDescent="0.25">
      <c r="F779" t="s">
        <v>3407</v>
      </c>
      <c r="G779" t="s">
        <v>3408</v>
      </c>
      <c r="H779" t="s">
        <v>3409</v>
      </c>
    </row>
    <row r="780" spans="1:9" x14ac:dyDescent="0.25">
      <c r="F780" t="s">
        <v>3410</v>
      </c>
      <c r="G780" t="s">
        <v>3411</v>
      </c>
      <c r="H780" t="s">
        <v>3412</v>
      </c>
    </row>
    <row r="781" spans="1:9" x14ac:dyDescent="0.25">
      <c r="F781" t="s">
        <v>3413</v>
      </c>
      <c r="G781" t="s">
        <v>3414</v>
      </c>
      <c r="H781" t="s">
        <v>3415</v>
      </c>
    </row>
    <row r="782" spans="1:9" x14ac:dyDescent="0.25">
      <c r="F782" t="s">
        <v>3416</v>
      </c>
      <c r="G782" t="s">
        <v>3417</v>
      </c>
      <c r="H782" t="s">
        <v>3418</v>
      </c>
    </row>
    <row r="783" spans="1:9" x14ac:dyDescent="0.25">
      <c r="F783" t="s">
        <v>3419</v>
      </c>
      <c r="G783" t="s">
        <v>3420</v>
      </c>
      <c r="H783" t="s">
        <v>3421</v>
      </c>
    </row>
    <row r="784" spans="1:9" x14ac:dyDescent="0.25">
      <c r="F784" t="s">
        <v>3422</v>
      </c>
      <c r="G784" t="s">
        <v>3423</v>
      </c>
      <c r="H784" t="s">
        <v>3424</v>
      </c>
    </row>
    <row r="785" spans="1:9" x14ac:dyDescent="0.25">
      <c r="F785" t="s">
        <v>3425</v>
      </c>
      <c r="G785" t="s">
        <v>3426</v>
      </c>
      <c r="H785" t="s">
        <v>3427</v>
      </c>
    </row>
    <row r="786" spans="1:9" x14ac:dyDescent="0.25">
      <c r="F786" t="s">
        <v>3428</v>
      </c>
      <c r="G786" t="s">
        <v>3429</v>
      </c>
      <c r="H786" t="s">
        <v>3430</v>
      </c>
    </row>
    <row r="787" spans="1:9" x14ac:dyDescent="0.25">
      <c r="F787" t="s">
        <v>3431</v>
      </c>
      <c r="G787" t="s">
        <v>3432</v>
      </c>
      <c r="H787" t="s">
        <v>3433</v>
      </c>
    </row>
    <row r="788" spans="1:9" x14ac:dyDescent="0.25">
      <c r="F788" t="s">
        <v>3434</v>
      </c>
      <c r="G788" t="s">
        <v>3435</v>
      </c>
      <c r="H788" t="s">
        <v>3436</v>
      </c>
    </row>
    <row r="789" spans="1:9" x14ac:dyDescent="0.25">
      <c r="F789" t="s">
        <v>3437</v>
      </c>
      <c r="G789" t="s">
        <v>3438</v>
      </c>
      <c r="H789" t="s">
        <v>3439</v>
      </c>
    </row>
    <row r="790" spans="1:9" x14ac:dyDescent="0.25">
      <c r="F790" t="s">
        <v>3440</v>
      </c>
      <c r="G790" t="s">
        <v>3441</v>
      </c>
      <c r="H790" t="s">
        <v>3442</v>
      </c>
    </row>
    <row r="791" spans="1:9" x14ac:dyDescent="0.25">
      <c r="F791" t="s">
        <v>3443</v>
      </c>
      <c r="G791" t="s">
        <v>3444</v>
      </c>
      <c r="H791" t="s">
        <v>3445</v>
      </c>
    </row>
    <row r="792" spans="1:9" x14ac:dyDescent="0.25">
      <c r="F792" t="s">
        <v>3446</v>
      </c>
      <c r="G792" t="s">
        <v>3447</v>
      </c>
      <c r="H792" t="s">
        <v>3448</v>
      </c>
    </row>
    <row r="793" spans="1:9" x14ac:dyDescent="0.25">
      <c r="F793" t="s">
        <v>3449</v>
      </c>
      <c r="G793" t="s">
        <v>3450</v>
      </c>
      <c r="H793" t="s">
        <v>3451</v>
      </c>
    </row>
    <row r="794" spans="1:9" x14ac:dyDescent="0.25">
      <c r="F794" t="s">
        <v>3452</v>
      </c>
      <c r="G794" t="s">
        <v>3453</v>
      </c>
      <c r="H794" t="s">
        <v>3454</v>
      </c>
    </row>
    <row r="795" spans="1:9" x14ac:dyDescent="0.25">
      <c r="F795" t="s">
        <v>3455</v>
      </c>
      <c r="G795" t="s">
        <v>3456</v>
      </c>
      <c r="H795" t="s">
        <v>3457</v>
      </c>
    </row>
    <row r="796" spans="1:9" x14ac:dyDescent="0.25">
      <c r="F796" t="s">
        <v>3458</v>
      </c>
      <c r="G796" t="s">
        <v>3459</v>
      </c>
      <c r="H796" t="s">
        <v>3460</v>
      </c>
    </row>
    <row r="797" spans="1:9" x14ac:dyDescent="0.25">
      <c r="F797" t="s">
        <v>3461</v>
      </c>
      <c r="G797" t="s">
        <v>3462</v>
      </c>
      <c r="H797" t="s">
        <v>3463</v>
      </c>
    </row>
    <row r="798" spans="1:9" x14ac:dyDescent="0.25">
      <c r="F798" t="s">
        <v>3464</v>
      </c>
      <c r="G798" t="s">
        <v>3465</v>
      </c>
      <c r="H798" t="s">
        <v>3466</v>
      </c>
    </row>
    <row r="799" spans="1:9" x14ac:dyDescent="0.25">
      <c r="F799" t="s">
        <v>3467</v>
      </c>
      <c r="G799" t="s">
        <v>3468</v>
      </c>
      <c r="H799" t="s">
        <v>3469</v>
      </c>
    </row>
    <row r="800" spans="1:9" x14ac:dyDescent="0.25">
      <c r="F800" t="s">
        <v>3470</v>
      </c>
      <c r="G800" t="s">
        <v>3471</v>
      </c>
      <c r="H800" t="s">
        <v>3472</v>
      </c>
    </row>
    <row r="801" spans="1:9" x14ac:dyDescent="0.25">
      <c r="F801" t="s">
        <v>3473</v>
      </c>
      <c r="G801" t="s">
        <v>3474</v>
      </c>
      <c r="H801" t="s">
        <v>3475</v>
      </c>
    </row>
    <row r="802" spans="1:9" x14ac:dyDescent="0.25">
      <c r="F802" t="s">
        <v>3476</v>
      </c>
      <c r="G802" t="s">
        <v>3477</v>
      </c>
      <c r="H802" t="s">
        <v>3478</v>
      </c>
    </row>
    <row r="803" spans="1:9" x14ac:dyDescent="0.25">
      <c r="F803" t="s">
        <v>3479</v>
      </c>
      <c r="G803" t="s">
        <v>3480</v>
      </c>
      <c r="H803" t="s">
        <v>3481</v>
      </c>
    </row>
    <row r="804" spans="1:9" x14ac:dyDescent="0.25">
      <c r="F804" t="s">
        <v>3482</v>
      </c>
      <c r="G804" t="s">
        <v>3480</v>
      </c>
      <c r="H804" t="s">
        <v>3483</v>
      </c>
    </row>
    <row r="805" spans="1:9" x14ac:dyDescent="0.25">
      <c r="F805" t="s">
        <v>3484</v>
      </c>
      <c r="G805" t="s">
        <v>3485</v>
      </c>
      <c r="H805" t="s">
        <v>3486</v>
      </c>
    </row>
    <row r="806" spans="1:9" x14ac:dyDescent="0.25">
      <c r="F806" t="s">
        <v>3487</v>
      </c>
      <c r="G806" t="s">
        <v>3488</v>
      </c>
      <c r="H806" t="s">
        <v>3489</v>
      </c>
    </row>
    <row r="807" spans="1:9" x14ac:dyDescent="0.25">
      <c r="F807" t="s">
        <v>3490</v>
      </c>
      <c r="G807" t="s">
        <v>3491</v>
      </c>
      <c r="H807" t="s">
        <v>3492</v>
      </c>
    </row>
    <row r="808" spans="1:9" x14ac:dyDescent="0.25">
      <c r="F808" t="s">
        <v>3493</v>
      </c>
      <c r="G808" t="s">
        <v>3494</v>
      </c>
      <c r="H808" t="s">
        <v>3495</v>
      </c>
    </row>
    <row r="809" spans="1:9" x14ac:dyDescent="0.25">
      <c r="F809" t="s">
        <v>3496</v>
      </c>
      <c r="G809" t="s">
        <v>3497</v>
      </c>
      <c r="H809" t="s">
        <v>3498</v>
      </c>
    </row>
    <row r="810" spans="1:9" x14ac:dyDescent="0.25">
      <c r="F810" t="s">
        <v>3499</v>
      </c>
      <c r="G810" t="s">
        <v>3500</v>
      </c>
      <c r="H810" t="s">
        <v>3501</v>
      </c>
    </row>
    <row r="811" spans="1:9" x14ac:dyDescent="0.25">
      <c r="F811" t="s">
        <v>3502</v>
      </c>
      <c r="G811" t="s">
        <v>3503</v>
      </c>
      <c r="H811" t="s">
        <v>3504</v>
      </c>
    </row>
    <row r="812" spans="1:9" x14ac:dyDescent="0.25">
      <c r="F812" t="s">
        <v>3505</v>
      </c>
      <c r="G812" t="s">
        <v>3506</v>
      </c>
      <c r="H812" t="s">
        <v>3507</v>
      </c>
    </row>
    <row r="813" spans="1:9" x14ac:dyDescent="0.25">
      <c r="F813" t="s">
        <v>3508</v>
      </c>
      <c r="G813" t="s">
        <v>3509</v>
      </c>
      <c r="H813" t="s">
        <v>3510</v>
      </c>
    </row>
    <row r="814" spans="1:9" x14ac:dyDescent="0.25">
      <c r="F814" t="s">
        <v>3511</v>
      </c>
      <c r="G814" t="s">
        <v>3512</v>
      </c>
      <c r="H814" t="s">
        <v>3513</v>
      </c>
    </row>
    <row r="815" spans="1:9" x14ac:dyDescent="0.25">
      <c r="F815" t="s">
        <v>3514</v>
      </c>
      <c r="G815" t="s">
        <v>3515</v>
      </c>
      <c r="H815" t="s">
        <v>3516</v>
      </c>
    </row>
    <row r="816" spans="1:9" x14ac:dyDescent="0.25">
      <c r="F816" t="s">
        <v>3517</v>
      </c>
      <c r="G816" t="s">
        <v>3518</v>
      </c>
      <c r="H816" t="s">
        <v>3519</v>
      </c>
    </row>
    <row r="817" spans="1:9" x14ac:dyDescent="0.25">
      <c r="F817" t="s">
        <v>3520</v>
      </c>
      <c r="G817" t="s">
        <v>3521</v>
      </c>
      <c r="H817" t="s">
        <v>3522</v>
      </c>
    </row>
    <row r="818" spans="1:9" x14ac:dyDescent="0.25">
      <c r="F818" t="s">
        <v>3523</v>
      </c>
      <c r="G818" t="s">
        <v>3524</v>
      </c>
      <c r="H818" t="s">
        <v>3525</v>
      </c>
    </row>
    <row r="819" spans="1:9" x14ac:dyDescent="0.25">
      <c r="F819" t="s">
        <v>3526</v>
      </c>
      <c r="G819" t="s">
        <v>3527</v>
      </c>
      <c r="H819" t="s">
        <v>3528</v>
      </c>
    </row>
    <row r="820" spans="1:9" x14ac:dyDescent="0.25">
      <c r="F820" t="s">
        <v>3529</v>
      </c>
      <c r="G820" t="s">
        <v>3530</v>
      </c>
      <c r="H820" t="s">
        <v>3531</v>
      </c>
    </row>
    <row r="821" spans="1:9" x14ac:dyDescent="0.25">
      <c r="F821" t="s">
        <v>3532</v>
      </c>
      <c r="G821" t="s">
        <v>3533</v>
      </c>
      <c r="H821" t="s">
        <v>3534</v>
      </c>
    </row>
    <row r="822" spans="1:9" x14ac:dyDescent="0.25">
      <c r="F822" t="s">
        <v>3535</v>
      </c>
      <c r="G822" t="s">
        <v>3536</v>
      </c>
      <c r="H822" t="s">
        <v>3537</v>
      </c>
    </row>
    <row r="823" spans="1:9" x14ac:dyDescent="0.25">
      <c r="F823" t="s">
        <v>3538</v>
      </c>
      <c r="G823" t="s">
        <v>3539</v>
      </c>
      <c r="H823" t="s">
        <v>3540</v>
      </c>
    </row>
    <row r="824" spans="1:9" x14ac:dyDescent="0.25">
      <c r="F824" t="s">
        <v>3541</v>
      </c>
      <c r="G824" t="s">
        <v>3542</v>
      </c>
      <c r="H824" t="s">
        <v>3543</v>
      </c>
    </row>
    <row r="825" spans="1:9" x14ac:dyDescent="0.25">
      <c r="F825" t="s">
        <v>3544</v>
      </c>
      <c r="G825" t="s">
        <v>3545</v>
      </c>
      <c r="H825" t="s">
        <v>3546</v>
      </c>
    </row>
    <row r="826" spans="1:9" x14ac:dyDescent="0.25">
      <c r="F826" t="s">
        <v>3547</v>
      </c>
      <c r="G826" t="s">
        <v>3548</v>
      </c>
      <c r="H826" t="s">
        <v>3549</v>
      </c>
    </row>
    <row r="827" spans="1:9" x14ac:dyDescent="0.25">
      <c r="F827" t="s">
        <v>3550</v>
      </c>
      <c r="G827" t="s">
        <v>3551</v>
      </c>
      <c r="H827" t="s">
        <v>3552</v>
      </c>
    </row>
    <row r="828" spans="1:9" x14ac:dyDescent="0.25">
      <c r="F828" t="s">
        <v>3553</v>
      </c>
      <c r="G828" t="s">
        <v>3554</v>
      </c>
      <c r="H828" t="s">
        <v>3555</v>
      </c>
    </row>
    <row r="829" spans="1:9" x14ac:dyDescent="0.25">
      <c r="F829" t="s">
        <v>3556</v>
      </c>
      <c r="G829" t="s">
        <v>3557</v>
      </c>
      <c r="H829" t="s">
        <v>3558</v>
      </c>
    </row>
    <row r="830" spans="1:9" x14ac:dyDescent="0.25">
      <c r="F830" t="s">
        <v>3559</v>
      </c>
      <c r="G830" t="s">
        <v>3560</v>
      </c>
      <c r="H830" t="s">
        <v>3561</v>
      </c>
    </row>
    <row r="831" spans="1:9" x14ac:dyDescent="0.25">
      <c r="F831" t="s">
        <v>3562</v>
      </c>
      <c r="G831" t="s">
        <v>3563</v>
      </c>
      <c r="H831" t="s">
        <v>3564</v>
      </c>
    </row>
    <row r="832" spans="1:9" x14ac:dyDescent="0.25">
      <c r="F832" t="s">
        <v>3565</v>
      </c>
      <c r="G832" t="s">
        <v>3566</v>
      </c>
      <c r="H832" t="s">
        <v>3567</v>
      </c>
    </row>
    <row r="833" spans="1:9" x14ac:dyDescent="0.25">
      <c r="F833" t="s">
        <v>3568</v>
      </c>
      <c r="G833" t="s">
        <v>3566</v>
      </c>
      <c r="H833" t="s">
        <v>3569</v>
      </c>
    </row>
    <row r="834" spans="1:9" x14ac:dyDescent="0.25">
      <c r="F834" t="s">
        <v>3570</v>
      </c>
      <c r="G834" t="s">
        <v>3571</v>
      </c>
      <c r="H834" t="s">
        <v>3572</v>
      </c>
    </row>
    <row r="835" spans="1:9" x14ac:dyDescent="0.25">
      <c r="F835" t="s">
        <v>3573</v>
      </c>
      <c r="G835" t="s">
        <v>3574</v>
      </c>
      <c r="H835" t="s">
        <v>3575</v>
      </c>
    </row>
    <row r="836" spans="1:9" x14ac:dyDescent="0.25">
      <c r="F836" t="s">
        <v>3576</v>
      </c>
      <c r="G836" t="s">
        <v>3577</v>
      </c>
      <c r="H836" t="s">
        <v>3578</v>
      </c>
    </row>
    <row r="837" spans="1:9" x14ac:dyDescent="0.25">
      <c r="F837" t="s">
        <v>3579</v>
      </c>
      <c r="G837" t="s">
        <v>3580</v>
      </c>
      <c r="H837" t="s">
        <v>3581</v>
      </c>
    </row>
    <row r="838" spans="1:9" x14ac:dyDescent="0.25">
      <c r="F838" t="s">
        <v>3582</v>
      </c>
      <c r="G838" t="s">
        <v>3583</v>
      </c>
      <c r="H838" t="s">
        <v>3584</v>
      </c>
    </row>
    <row r="839" spans="1:9" x14ac:dyDescent="0.25">
      <c r="F839" t="s">
        <v>3585</v>
      </c>
      <c r="G839" t="s">
        <v>3583</v>
      </c>
      <c r="H839" t="s">
        <v>3586</v>
      </c>
    </row>
    <row r="840" spans="1:9" x14ac:dyDescent="0.25">
      <c r="F840" t="s">
        <v>3587</v>
      </c>
      <c r="G840" t="s">
        <v>3588</v>
      </c>
      <c r="H840" t="s">
        <v>3589</v>
      </c>
    </row>
    <row r="841" spans="1:9" x14ac:dyDescent="0.25">
      <c r="F841" t="s">
        <v>3590</v>
      </c>
      <c r="G841" t="s">
        <v>3591</v>
      </c>
      <c r="H841" t="s">
        <v>3592</v>
      </c>
    </row>
    <row r="842" spans="1:9" x14ac:dyDescent="0.25">
      <c r="F842" t="s">
        <v>3593</v>
      </c>
      <c r="G842" t="s">
        <v>3594</v>
      </c>
      <c r="H842" t="s">
        <v>3595</v>
      </c>
    </row>
    <row r="843" spans="1:9" x14ac:dyDescent="0.25">
      <c r="F843" t="s">
        <v>3596</v>
      </c>
      <c r="G843" t="s">
        <v>3597</v>
      </c>
      <c r="H843" t="s">
        <v>3598</v>
      </c>
    </row>
    <row r="844" spans="1:9" x14ac:dyDescent="0.25">
      <c r="F844" t="s">
        <v>3599</v>
      </c>
      <c r="G844" t="s">
        <v>3600</v>
      </c>
      <c r="H844" t="s">
        <v>3601</v>
      </c>
    </row>
    <row r="845" spans="1:9" x14ac:dyDescent="0.25">
      <c r="F845" t="s">
        <v>3602</v>
      </c>
      <c r="G845" t="s">
        <v>3603</v>
      </c>
      <c r="H845" t="s">
        <v>3604</v>
      </c>
    </row>
    <row r="846" spans="1:9" x14ac:dyDescent="0.25">
      <c r="F846" t="s">
        <v>3605</v>
      </c>
      <c r="G846" t="s">
        <v>3606</v>
      </c>
      <c r="H846" t="s">
        <v>3607</v>
      </c>
    </row>
    <row r="847" spans="1:9" x14ac:dyDescent="0.25">
      <c r="F847" t="s">
        <v>3608</v>
      </c>
      <c r="G847" t="s">
        <v>3609</v>
      </c>
      <c r="H847" t="s">
        <v>3610</v>
      </c>
    </row>
    <row r="848" spans="1:9" x14ac:dyDescent="0.25">
      <c r="F848" t="s">
        <v>3611</v>
      </c>
      <c r="G848" t="s">
        <v>3612</v>
      </c>
      <c r="H848" t="s">
        <v>3613</v>
      </c>
    </row>
    <row r="849" spans="1:9" x14ac:dyDescent="0.25">
      <c r="F849" t="s">
        <v>3614</v>
      </c>
      <c r="G849" t="s">
        <v>3615</v>
      </c>
      <c r="H849" t="s">
        <v>3616</v>
      </c>
    </row>
    <row r="850" spans="1:9" x14ac:dyDescent="0.25">
      <c r="F850" t="s">
        <v>3617</v>
      </c>
      <c r="G850" t="s">
        <v>3618</v>
      </c>
      <c r="H850" t="s">
        <v>3619</v>
      </c>
    </row>
    <row r="851" spans="1:9" x14ac:dyDescent="0.25">
      <c r="F851" t="s">
        <v>3620</v>
      </c>
      <c r="G851" t="s">
        <v>3621</v>
      </c>
      <c r="H851" t="s">
        <v>3622</v>
      </c>
    </row>
    <row r="852" spans="1:9" x14ac:dyDescent="0.25">
      <c r="F852" t="s">
        <v>3623</v>
      </c>
      <c r="G852" t="s">
        <v>3624</v>
      </c>
      <c r="H852" t="s">
        <v>3625</v>
      </c>
    </row>
    <row r="853" spans="1:9" x14ac:dyDescent="0.25">
      <c r="F853" t="s">
        <v>3626</v>
      </c>
      <c r="G853" t="s">
        <v>3627</v>
      </c>
      <c r="H853" t="s">
        <v>3628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Plan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2026-04-07T11:15:42Z</dcterms:created>
  <dcterms:modified xsi:type="dcterms:W3CDTF">2026-04-08T08:07:20Z</dcterms:modified>
</cp:coreProperties>
</file>