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ine Plan"/>
    <sheet r:id="rId2" sheetId="2" name="Lists"/>
  </sheets>
  <calcPr fullCalcOnLoad="1"/>
</workbook>
</file>

<file path=xl/sharedStrings.xml><?xml version="1.0" encoding="utf-8"?>
<sst xmlns="http://schemas.openxmlformats.org/spreadsheetml/2006/main" count="1498" uniqueCount="682">
  <si>
    <t>OPERATION CODE</t>
  </si>
  <si>
    <t>OPERATION NAME</t>
  </si>
  <si>
    <t>EMPLOYEE CODE</t>
  </si>
  <si>
    <t>EMPLOYEE NAME</t>
  </si>
  <si>
    <t>LPDS95761</t>
  </si>
  <si>
    <t>A FATHIMA</t>
  </si>
  <si>
    <t>LPDS95657</t>
  </si>
  <si>
    <t>A JOTHI</t>
  </si>
  <si>
    <t>LPD11959</t>
  </si>
  <si>
    <t>A MEENAKSHI</t>
  </si>
  <si>
    <t>LPD02946</t>
  </si>
  <si>
    <t>A. ALEMELU</t>
  </si>
  <si>
    <t>LPD07479</t>
  </si>
  <si>
    <t>A. CHANMA</t>
  </si>
  <si>
    <t>LPD10419</t>
  </si>
  <si>
    <t>A. FARHANA BEGAM</t>
  </si>
  <si>
    <t>LPD07739</t>
  </si>
  <si>
    <t>A. JAMEELA</t>
  </si>
  <si>
    <t>LPD00059</t>
  </si>
  <si>
    <t>A. NOORUN</t>
  </si>
  <si>
    <t>LPD03353</t>
  </si>
  <si>
    <t>A. RAFI</t>
  </si>
  <si>
    <t>LPD07294</t>
  </si>
  <si>
    <t>A. RAMEZA</t>
  </si>
  <si>
    <t>LPD00601</t>
  </si>
  <si>
    <t>A. SADIKHA</t>
  </si>
  <si>
    <t>LPD09996</t>
  </si>
  <si>
    <t>A. YASEEN BEE</t>
  </si>
  <si>
    <t>LPD09047</t>
  </si>
  <si>
    <t>A. YUSUF</t>
  </si>
  <si>
    <t>LPD10751</t>
  </si>
  <si>
    <t>A. ZAKEER</t>
  </si>
  <si>
    <t>LPD10530</t>
  </si>
  <si>
    <t>ABADUDIN</t>
  </si>
  <si>
    <t>LPDS95763</t>
  </si>
  <si>
    <t>ABDUL VAJEETH J</t>
  </si>
  <si>
    <t>LPD09926</t>
  </si>
  <si>
    <t>AKBAR</t>
  </si>
  <si>
    <t>LPD12274</t>
  </si>
  <si>
    <t>AKBAR MOLLA</t>
  </si>
  <si>
    <t>LPDS94717</t>
  </si>
  <si>
    <t>AKMAL A</t>
  </si>
  <si>
    <t>LPD09146</t>
  </si>
  <si>
    <t>ALAMELU</t>
  </si>
  <si>
    <t>LPD11823</t>
  </si>
  <si>
    <t>ALI AKBAR MOLYA</t>
  </si>
  <si>
    <t>LPD10099</t>
  </si>
  <si>
    <t>AMMU</t>
  </si>
  <si>
    <t>LPDS95254</t>
  </si>
  <si>
    <t>AMREEN</t>
  </si>
  <si>
    <t>LPD08664</t>
  </si>
  <si>
    <t>ANITHA</t>
  </si>
  <si>
    <t>LPD10617</t>
  </si>
  <si>
    <t>ANJALI</t>
  </si>
  <si>
    <t>LPDS95282</t>
  </si>
  <si>
    <t>ASEENA</t>
  </si>
  <si>
    <t>LPDS95789</t>
  </si>
  <si>
    <t>ASLAM</t>
  </si>
  <si>
    <t>LPD08506</t>
  </si>
  <si>
    <t>AYESHA</t>
  </si>
  <si>
    <t>LPD12275</t>
  </si>
  <si>
    <t>AYUB MOLLA</t>
  </si>
  <si>
    <t>LPDS93008</t>
  </si>
  <si>
    <t>B LATHA</t>
  </si>
  <si>
    <t>LPD11365</t>
  </si>
  <si>
    <t>B. AMUDHA</t>
  </si>
  <si>
    <t>LPD11677</t>
  </si>
  <si>
    <t>B. LAKSHMI</t>
  </si>
  <si>
    <t>LPD10728</t>
  </si>
  <si>
    <t>B. MUBARAK BASHA</t>
  </si>
  <si>
    <t>LPD11308</t>
  </si>
  <si>
    <t>B. MUHAMMED NAWAZ</t>
  </si>
  <si>
    <t>LPD09951</t>
  </si>
  <si>
    <t>B. SHAHEEN</t>
  </si>
  <si>
    <t>LPD10701</t>
  </si>
  <si>
    <t>BADRUNNISA</t>
  </si>
  <si>
    <t>LPD12061</t>
  </si>
  <si>
    <t>BAKIBULLA MOLLA</t>
  </si>
  <si>
    <t>LPDS93009</t>
  </si>
  <si>
    <t>BAVANI</t>
  </si>
  <si>
    <t>LPD11745</t>
  </si>
  <si>
    <t>C. KALAISELVI</t>
  </si>
  <si>
    <t>LPDS95743</t>
  </si>
  <si>
    <t>C. THILAGAWATHI</t>
  </si>
  <si>
    <t>LPDS95728</t>
  </si>
  <si>
    <t>CHANDHINI NASEER</t>
  </si>
  <si>
    <t>LPD07590</t>
  </si>
  <si>
    <t>D. LATHA</t>
  </si>
  <si>
    <t>LPD08118</t>
  </si>
  <si>
    <t>D. SUREKA</t>
  </si>
  <si>
    <t>LPD09702</t>
  </si>
  <si>
    <t>DEVI</t>
  </si>
  <si>
    <t>LPD08523</t>
  </si>
  <si>
    <t>LPDS94626</t>
  </si>
  <si>
    <t>LPD10282</t>
  </si>
  <si>
    <t>DIVYA</t>
  </si>
  <si>
    <t>LPDS95689</t>
  </si>
  <si>
    <t>DIVYA PRABHA</t>
  </si>
  <si>
    <t>LPD08441</t>
  </si>
  <si>
    <t>ESWARI</t>
  </si>
  <si>
    <t>LPD11988</t>
  </si>
  <si>
    <t>F GULZAR</t>
  </si>
  <si>
    <t>LPD07960</t>
  </si>
  <si>
    <t>F. ZAINATHBEE</t>
  </si>
  <si>
    <t>LPDS95161</t>
  </si>
  <si>
    <t>FOUSIYA</t>
  </si>
  <si>
    <t>LPD04519</t>
  </si>
  <si>
    <t>G. MANIMALA</t>
  </si>
  <si>
    <t>LPD03298</t>
  </si>
  <si>
    <t>G. PADMINI</t>
  </si>
  <si>
    <t>LPD01253</t>
  </si>
  <si>
    <t>G. SARASWATHI</t>
  </si>
  <si>
    <t>LPD10561</t>
  </si>
  <si>
    <t>G. SELVARANI</t>
  </si>
  <si>
    <t>LPD09683</t>
  </si>
  <si>
    <t>GIRIJA</t>
  </si>
  <si>
    <t>LPD07628</t>
  </si>
  <si>
    <t>GNANAMMAL</t>
  </si>
  <si>
    <t>LPD10209</t>
  </si>
  <si>
    <t>HAJEERA</t>
  </si>
  <si>
    <t>LPDS95749</t>
  </si>
  <si>
    <t>HAJIMA MABOOB BASHA</t>
  </si>
  <si>
    <t>LPD12148</t>
  </si>
  <si>
    <t>HASANUR JAMAN MOLLA</t>
  </si>
  <si>
    <t>LPD12233</t>
  </si>
  <si>
    <t>I RESHMA</t>
  </si>
  <si>
    <t>LPD11499</t>
  </si>
  <si>
    <t>I. RESHMA</t>
  </si>
  <si>
    <t>LPD9801</t>
  </si>
  <si>
    <t>ILYAS</t>
  </si>
  <si>
    <t>LPD11272</t>
  </si>
  <si>
    <t>IRFAN</t>
  </si>
  <si>
    <t>LPDS95681</t>
  </si>
  <si>
    <t>J KAVERI</t>
  </si>
  <si>
    <t>LPD09877</t>
  </si>
  <si>
    <t>J. SAIDA</t>
  </si>
  <si>
    <t>LPD09910</t>
  </si>
  <si>
    <t>JABINA BANU</t>
  </si>
  <si>
    <t>LPDS94748</t>
  </si>
  <si>
    <t>JAYA KODI</t>
  </si>
  <si>
    <t>LPD10251</t>
  </si>
  <si>
    <t>JAYACHITRA</t>
  </si>
  <si>
    <t>LPDS95750</t>
  </si>
  <si>
    <t>JAYALAKSHMI</t>
  </si>
  <si>
    <t>LPD08372</t>
  </si>
  <si>
    <t>JAYANTHI</t>
  </si>
  <si>
    <t>LPDS94648</t>
  </si>
  <si>
    <t>LPD11610</t>
  </si>
  <si>
    <t>JEEVA</t>
  </si>
  <si>
    <t>LPD10667</t>
  </si>
  <si>
    <t>JIAUR RAHMAN</t>
  </si>
  <si>
    <t>LPD12022</t>
  </si>
  <si>
    <t>K KHURSHEED BANU</t>
  </si>
  <si>
    <t>LPD08988</t>
  </si>
  <si>
    <t>K. DEEPA</t>
  </si>
  <si>
    <t>LPD09981</t>
  </si>
  <si>
    <t>K. ESWARI</t>
  </si>
  <si>
    <t>LPD09007</t>
  </si>
  <si>
    <t>K. FAIYAZ</t>
  </si>
  <si>
    <t>LPD10967</t>
  </si>
  <si>
    <t>K. SHANTHI</t>
  </si>
  <si>
    <t>LPD11420</t>
  </si>
  <si>
    <t>KALPANA</t>
  </si>
  <si>
    <t>LPD11221</t>
  </si>
  <si>
    <t>KANIMOZHI</t>
  </si>
  <si>
    <t>LPD10999</t>
  </si>
  <si>
    <t>KARISHMA</t>
  </si>
  <si>
    <t>LPDS95714</t>
  </si>
  <si>
    <t>KAVITHA SURESH</t>
  </si>
  <si>
    <t>LPD11937</t>
  </si>
  <si>
    <t>KHURSID ALI MOLLA</t>
  </si>
  <si>
    <t>LPD12204</t>
  </si>
  <si>
    <t>KUMARI</t>
  </si>
  <si>
    <t>LPDS95725</t>
  </si>
  <si>
    <t>LAKSHMI JANAGIRAMAN</t>
  </si>
  <si>
    <t>LPD11669</t>
  </si>
  <si>
    <t>LEVINA</t>
  </si>
  <si>
    <t>LPDS95702</t>
  </si>
  <si>
    <t>M DILSHATH</t>
  </si>
  <si>
    <t>LPD06518</t>
  </si>
  <si>
    <t>M. ANITHA</t>
  </si>
  <si>
    <t>LPD08982</t>
  </si>
  <si>
    <t>M. APSANA</t>
  </si>
  <si>
    <t>LPD10197</t>
  </si>
  <si>
    <t>M. GIRIJA</t>
  </si>
  <si>
    <t>LPD05609</t>
  </si>
  <si>
    <t>M. GOWRI</t>
  </si>
  <si>
    <t>LPD12240</t>
  </si>
  <si>
    <t>M. HAJIRA</t>
  </si>
  <si>
    <t>LPD10183</t>
  </si>
  <si>
    <t>M. KALAIMATHI</t>
  </si>
  <si>
    <t>LPD08346</t>
  </si>
  <si>
    <t>M. KHADAR BEE</t>
  </si>
  <si>
    <t>LPD08142</t>
  </si>
  <si>
    <t>M. MUMTAJ</t>
  </si>
  <si>
    <t>LPD07870</t>
  </si>
  <si>
    <t>M. NIROSHA</t>
  </si>
  <si>
    <t>LPD11183</t>
  </si>
  <si>
    <t>M. RIZWANA</t>
  </si>
  <si>
    <t>LPD09670</t>
  </si>
  <si>
    <t>M. SIDDIQUA</t>
  </si>
  <si>
    <t>LPD09393</t>
  </si>
  <si>
    <t>M. USHA RANI</t>
  </si>
  <si>
    <t>LPD11279</t>
  </si>
  <si>
    <t>M. ZEHRA</t>
  </si>
  <si>
    <t>LPD12248</t>
  </si>
  <si>
    <t>MAFIJUL MOLLA</t>
  </si>
  <si>
    <t>LPD11204</t>
  </si>
  <si>
    <t>MAHALAKSHMI</t>
  </si>
  <si>
    <t>LPD12247</t>
  </si>
  <si>
    <t>MARUF HOSSAIN PIYADA</t>
  </si>
  <si>
    <t>LPD11314</t>
  </si>
  <si>
    <t>MD ILYAS</t>
  </si>
  <si>
    <t>LPD12221</t>
  </si>
  <si>
    <t>MD YAMIN ALI MOLLA</t>
  </si>
  <si>
    <t>LPD11278</t>
  </si>
  <si>
    <t>MD. INTAKHAB</t>
  </si>
  <si>
    <t>LPD11618</t>
  </si>
  <si>
    <t>MD. NASIM</t>
  </si>
  <si>
    <t>LPD10281</t>
  </si>
  <si>
    <t>MD. SHAMIM AHAMAD</t>
  </si>
  <si>
    <t>LPD11532</t>
  </si>
  <si>
    <t>MD. TANVEER</t>
  </si>
  <si>
    <t>LPD12238</t>
  </si>
  <si>
    <t>MEENA S</t>
  </si>
  <si>
    <t>LPD12211</t>
  </si>
  <si>
    <t>MOHAMMAD SAHEB</t>
  </si>
  <si>
    <t>LPDS95359</t>
  </si>
  <si>
    <t>MOHAMMED ZAIBAS M</t>
  </si>
  <si>
    <t>LPD07687</t>
  </si>
  <si>
    <t>MUBARAK</t>
  </si>
  <si>
    <t>LPD10255</t>
  </si>
  <si>
    <t>MUGINA</t>
  </si>
  <si>
    <t>LPD95781</t>
  </si>
  <si>
    <t>MULLAI KODI</t>
  </si>
  <si>
    <t>LPDS95788</t>
  </si>
  <si>
    <t>MUMTAZ</t>
  </si>
  <si>
    <t>LPD11453</t>
  </si>
  <si>
    <t>MUNNI</t>
  </si>
  <si>
    <t>LPD10916</t>
  </si>
  <si>
    <t>N. JAYACHITRA</t>
  </si>
  <si>
    <t>LPD05412</t>
  </si>
  <si>
    <t>N. KHALEEL AHMED</t>
  </si>
  <si>
    <t>LPDS95741</t>
  </si>
  <si>
    <t>N. SUMITHRA</t>
  </si>
  <si>
    <t>LPD11690</t>
  </si>
  <si>
    <t>NANDHINI</t>
  </si>
  <si>
    <t>LPD12203</t>
  </si>
  <si>
    <t>NASREEN S</t>
  </si>
  <si>
    <t>LPDS95252</t>
  </si>
  <si>
    <t>P VENDA</t>
  </si>
  <si>
    <t>LPD08204</t>
  </si>
  <si>
    <t>P. ANITHA</t>
  </si>
  <si>
    <t>LPD11712</t>
  </si>
  <si>
    <t>P. GAYATHRI</t>
  </si>
  <si>
    <t>LPD04824</t>
  </si>
  <si>
    <t>P. LOGANAYAGI</t>
  </si>
  <si>
    <t>LPD09944</t>
  </si>
  <si>
    <t>PARVEEN</t>
  </si>
  <si>
    <t>LPD10276</t>
  </si>
  <si>
    <t>LPDS95790</t>
  </si>
  <si>
    <t>PARWEEN</t>
  </si>
  <si>
    <t>LPD11692</t>
  </si>
  <si>
    <t>POORNIMA VIMAL</t>
  </si>
  <si>
    <t>LPD11396</t>
  </si>
  <si>
    <t>PRECILA</t>
  </si>
  <si>
    <t>LPD10889</t>
  </si>
  <si>
    <t>PUNITHA</t>
  </si>
  <si>
    <t>LPD12097</t>
  </si>
  <si>
    <t>R STELLA</t>
  </si>
  <si>
    <t>LPD09963</t>
  </si>
  <si>
    <t>R. AMBIKA</t>
  </si>
  <si>
    <t>LPDS95740</t>
  </si>
  <si>
    <t>R. AMUDHA</t>
  </si>
  <si>
    <t>LPD07789</t>
  </si>
  <si>
    <t>R. KAVITHA</t>
  </si>
  <si>
    <t>LPD10987</t>
  </si>
  <si>
    <t>R. SHEELA</t>
  </si>
  <si>
    <t>LPD05183</t>
  </si>
  <si>
    <t>R. SRI DEVI</t>
  </si>
  <si>
    <t>LPD00334</t>
  </si>
  <si>
    <t>R. VASANTHI</t>
  </si>
  <si>
    <t>LPD07485</t>
  </si>
  <si>
    <t>R. VENNILA</t>
  </si>
  <si>
    <t>LPD12254</t>
  </si>
  <si>
    <t>RABIUL MOLLA</t>
  </si>
  <si>
    <t>LPD12262</t>
  </si>
  <si>
    <t>RAHIM</t>
  </si>
  <si>
    <t>LPD10171</t>
  </si>
  <si>
    <t>RAJESWARI</t>
  </si>
  <si>
    <t>LPD10795</t>
  </si>
  <si>
    <t>RAKIB</t>
  </si>
  <si>
    <t>LPD10618</t>
  </si>
  <si>
    <t>RAMEEZA</t>
  </si>
  <si>
    <t>LPD10907</t>
  </si>
  <si>
    <t>RASOOL</t>
  </si>
  <si>
    <t>LPDS94644</t>
  </si>
  <si>
    <t>RAVICHITRA</t>
  </si>
  <si>
    <t>LPD09605</t>
  </si>
  <si>
    <t>REKHA</t>
  </si>
  <si>
    <t>LPD10035</t>
  </si>
  <si>
    <t>REVATHI</t>
  </si>
  <si>
    <t>LPDS95527</t>
  </si>
  <si>
    <t>REVATHI R</t>
  </si>
  <si>
    <t>LPD09907</t>
  </si>
  <si>
    <t>RIZWAN</t>
  </si>
  <si>
    <t>LPD11625</t>
  </si>
  <si>
    <t>RUHUL AMIN</t>
  </si>
  <si>
    <t>LPD12099</t>
  </si>
  <si>
    <t>S AMUDHA</t>
  </si>
  <si>
    <t>LPDS95729</t>
  </si>
  <si>
    <t>S MUNNI</t>
  </si>
  <si>
    <t>LPDS95753</t>
  </si>
  <si>
    <t>S THABASSUM</t>
  </si>
  <si>
    <t>LPD11482</t>
  </si>
  <si>
    <t>S. MD. SULTAN</t>
  </si>
  <si>
    <t>LPD00071</t>
  </si>
  <si>
    <t>S. NASEEMA</t>
  </si>
  <si>
    <t>LPD05920</t>
  </si>
  <si>
    <t>S. PARMESHWARI</t>
  </si>
  <si>
    <t>LPD07950</t>
  </si>
  <si>
    <t>S. RAHIMUNNISA</t>
  </si>
  <si>
    <t>LPD04803</t>
  </si>
  <si>
    <t>S. RAJASHWARI</t>
  </si>
  <si>
    <t>LPD07785</t>
  </si>
  <si>
    <t>S. RANI</t>
  </si>
  <si>
    <t>LPD08048</t>
  </si>
  <si>
    <t>S. RIYAZ</t>
  </si>
  <si>
    <t>LPD09973</t>
  </si>
  <si>
    <t>S. SIVARANJANI</t>
  </si>
  <si>
    <t>LPD08305</t>
  </si>
  <si>
    <t>S. SUDHA</t>
  </si>
  <si>
    <t>LPD11504</t>
  </si>
  <si>
    <t>S. SUGUNA</t>
  </si>
  <si>
    <t>LPD11089</t>
  </si>
  <si>
    <t>S. THAJNISA</t>
  </si>
  <si>
    <t>LPD12236</t>
  </si>
  <si>
    <t>S. UMA</t>
  </si>
  <si>
    <t>LPD07459</t>
  </si>
  <si>
    <t>S. VIJAYA</t>
  </si>
  <si>
    <t>LPD08744</t>
  </si>
  <si>
    <t>S.L. LAKSHMI</t>
  </si>
  <si>
    <t>LPD12273</t>
  </si>
  <si>
    <t>SAHID MOLLA</t>
  </si>
  <si>
    <t>LPD12237</t>
  </si>
  <si>
    <t>SALIYA BANU</t>
  </si>
  <si>
    <t>LPD11181</t>
  </si>
  <si>
    <t>SALLUBANU</t>
  </si>
  <si>
    <t>LPD10969</t>
  </si>
  <si>
    <t>SAMEENA</t>
  </si>
  <si>
    <t>LPD12241</t>
  </si>
  <si>
    <t>SANGEETHA</t>
  </si>
  <si>
    <t>LPD09689</t>
  </si>
  <si>
    <t>SARANYA</t>
  </si>
  <si>
    <t>LPD01611</t>
  </si>
  <si>
    <t>SARASWATHI</t>
  </si>
  <si>
    <t>LPD12146</t>
  </si>
  <si>
    <t>SARIFUL GAYEN</t>
  </si>
  <si>
    <t>LPD12139</t>
  </si>
  <si>
    <t>SARTHAJ</t>
  </si>
  <si>
    <t>LPD08486</t>
  </si>
  <si>
    <t>SASIKALA</t>
  </si>
  <si>
    <t>LPDS94681</t>
  </si>
  <si>
    <t>SATHIYABAMA M</t>
  </si>
  <si>
    <t>LPDS95684</t>
  </si>
  <si>
    <t>SELVI VENGATESAN</t>
  </si>
  <si>
    <t>LPD11018</t>
  </si>
  <si>
    <t>SHABANA</t>
  </si>
  <si>
    <t>LPD11153</t>
  </si>
  <si>
    <t>SHAINAN</t>
  </si>
  <si>
    <t>LPD11973</t>
  </si>
  <si>
    <t>SHAJAN R</t>
  </si>
  <si>
    <t>LPD10526</t>
  </si>
  <si>
    <t>SHAKEERA</t>
  </si>
  <si>
    <t>LPD10044</t>
  </si>
  <si>
    <t>SHAKIRA</t>
  </si>
  <si>
    <t>LPD11572</t>
  </si>
  <si>
    <t>SHALINI</t>
  </si>
  <si>
    <t>LPD10562</t>
  </si>
  <si>
    <t>SHAMIMA</t>
  </si>
  <si>
    <t>LPD10727</t>
  </si>
  <si>
    <t>SHAN BASHA</t>
  </si>
  <si>
    <t>LPD11709</t>
  </si>
  <si>
    <t>SHANKARI</t>
  </si>
  <si>
    <t>LPD08619</t>
  </si>
  <si>
    <t>SHARFUDDIN</t>
  </si>
  <si>
    <t>LPD05252</t>
  </si>
  <si>
    <t>SHEINAAZ</t>
  </si>
  <si>
    <t>LPD11463</t>
  </si>
  <si>
    <t>SHINAS</t>
  </si>
  <si>
    <t>LPD09954</t>
  </si>
  <si>
    <t>SHOBANA</t>
  </si>
  <si>
    <t>LPDS95712</t>
  </si>
  <si>
    <t>SOWMIYA</t>
  </si>
  <si>
    <t>LPD09853</t>
  </si>
  <si>
    <t>SUBAN</t>
  </si>
  <si>
    <t>LPDS95742</t>
  </si>
  <si>
    <t>SUGUNA</t>
  </si>
  <si>
    <t>LPD11187</t>
  </si>
  <si>
    <t>SUJATHA</t>
  </si>
  <si>
    <t>LPD11358</t>
  </si>
  <si>
    <t>SUMATHI</t>
  </si>
  <si>
    <t>LPD11567</t>
  </si>
  <si>
    <t>LPDS94726</t>
  </si>
  <si>
    <t>SUMATHI R</t>
  </si>
  <si>
    <t>LPD10909</t>
  </si>
  <si>
    <t>T.H. MOHAMED SAQIB</t>
  </si>
  <si>
    <t>LPD11099</t>
  </si>
  <si>
    <t>TAMIL ARASI</t>
  </si>
  <si>
    <t>LPD10455</t>
  </si>
  <si>
    <t>THAMRIN</t>
  </si>
  <si>
    <t>LPD123456</t>
  </si>
  <si>
    <t>Test Name</t>
  </si>
  <si>
    <t>LPD12239</t>
  </si>
  <si>
    <t>U. SHYLAJA</t>
  </si>
  <si>
    <t>LPD10253</t>
  </si>
  <si>
    <t>UMA</t>
  </si>
  <si>
    <t>LPDS94756</t>
  </si>
  <si>
    <t>UMA C</t>
  </si>
  <si>
    <t>LPD08891</t>
  </si>
  <si>
    <t>UMA MAHESWARI</t>
  </si>
  <si>
    <t>LPD11454</t>
  </si>
  <si>
    <t>USHA</t>
  </si>
  <si>
    <t>LPD08092</t>
  </si>
  <si>
    <t>LPD07514</t>
  </si>
  <si>
    <t>V. DHANALAKSHMI</t>
  </si>
  <si>
    <t>LPD11691</t>
  </si>
  <si>
    <t>V. JAYANTHI</t>
  </si>
  <si>
    <t>LPD11006</t>
  </si>
  <si>
    <t>V. LAKSHMI</t>
  </si>
  <si>
    <t>LPD04804</t>
  </si>
  <si>
    <t>V. MEENATCHI</t>
  </si>
  <si>
    <t>LPD07392</t>
  </si>
  <si>
    <t>V.P. MUBARAK</t>
  </si>
  <si>
    <t>LPD08268</t>
  </si>
  <si>
    <t>VASANTHI</t>
  </si>
  <si>
    <t>LPD12243</t>
  </si>
  <si>
    <t>VASIM AKARAM</t>
  </si>
  <si>
    <t>LPD05998</t>
  </si>
  <si>
    <t>VENDA</t>
  </si>
  <si>
    <t>LPD11088</t>
  </si>
  <si>
    <t>Y. ALMAS BEGUM</t>
  </si>
  <si>
    <t>LPD08685</t>
  </si>
  <si>
    <t>Z. NAYEEMUNNISA</t>
  </si>
  <si>
    <t>LPD11520</t>
  </si>
  <si>
    <t>ZAREENA</t>
  </si>
  <si>
    <t>LINE PLAN UPLOAD</t>
  </si>
  <si>
    <t>LINE CODE</t>
  </si>
  <si>
    <t>Rumiya_Line</t>
  </si>
  <si>
    <t>Fill in the production line code before uploading.</t>
  </si>
  <si>
    <t>HALL NAME</t>
  </si>
  <si>
    <t>Hall B</t>
  </si>
  <si>
    <t>Hall/area name (if auto-creating the line).</t>
  </si>
  <si>
    <t>DATE</t>
  </si>
  <si>
    <t>2026-03-26</t>
  </si>
  <si>
    <t>Work date — YYYY-MM-DD format.</t>
  </si>
  <si>
    <t>PRODUCT CODE</t>
  </si>
  <si>
    <t>KN754</t>
  </si>
  <si>
    <t>Style/product code.</t>
  </si>
  <si>
    <t>PRODUCT NAME</t>
  </si>
  <si>
    <t>KATESPADE</t>
  </si>
  <si>
    <t>Full product name.</t>
  </si>
  <si>
    <t>BUYER NAME</t>
  </si>
  <si>
    <t>Buyer / brand name. Optional.</t>
  </si>
  <si>
    <t>PLAN MONTH</t>
  </si>
  <si>
    <t>2026-04</t>
  </si>
  <si>
    <t>Plan month (e.g. 2026-04).</t>
  </si>
  <si>
    <t>TARGET UNITS</t>
  </si>
  <si>
    <t>Daily target for this line. Required.</t>
  </si>
  <si>
    <t>CO PRODUCT CODE</t>
  </si>
  <si>
    <t>Optional.</t>
  </si>
  <si>
    <t>CO TARGET</t>
  </si>
  <si>
    <t>LINE LEADER</t>
  </si>
  <si>
    <t>Rumiya</t>
  </si>
  <si>
    <t>Fill before uploading.</t>
  </si>
  <si>
    <t>GROUP</t>
  </si>
  <si>
    <t>OSM</t>
  </si>
  <si>
    <t>WORKSTATION</t>
  </si>
  <si>
    <t>PROCESS TIME (s)</t>
  </si>
  <si>
    <t>CYCLE TIME (s)</t>
  </si>
  <si>
    <t>SAH</t>
  </si>
  <si>
    <t>EMP CODE (auto)</t>
  </si>
  <si>
    <t>SELECT EMPLOYEE ▼</t>
  </si>
  <si>
    <t>G1</t>
  </si>
  <si>
    <t>OSM1</t>
  </si>
  <si>
    <t>W1</t>
  </si>
  <si>
    <t>Heating</t>
  </si>
  <si>
    <t>board with lining attatching &amp;  1st primer</t>
  </si>
  <si>
    <t>die process</t>
  </si>
  <si>
    <t>W2</t>
  </si>
  <si>
    <t>W3</t>
  </si>
  <si>
    <t>Pasting on patti (5*1 Nos)</t>
  </si>
  <si>
    <t>Attaching step patti (4*1 Nos)</t>
  </si>
  <si>
    <t>Pasting on stamp &amp; pkt  (1-Nos)</t>
  </si>
  <si>
    <t>Attaching stamp with cc pkt</t>
  </si>
  <si>
    <t>Pasting on patti (4*1 Nos)</t>
  </si>
  <si>
    <t>Attaching step patti (3*1 Nos)</t>
  </si>
  <si>
    <t>W4</t>
  </si>
  <si>
    <t>Stitching the lining (4*1 Nos)</t>
  </si>
  <si>
    <t>Stitching closing  lining (1*1 Nos)</t>
  </si>
  <si>
    <t>Stitching the lining (3*1 Nos)</t>
  </si>
  <si>
    <t>Stitching the lining (1*1 Nos)</t>
  </si>
  <si>
    <t>W5</t>
  </si>
  <si>
    <t>Recutting of cc pkt (1:2) 1-Nos</t>
  </si>
  <si>
    <t>Recutting of center stay  (1:2)</t>
  </si>
  <si>
    <t>W6</t>
  </si>
  <si>
    <t>Pasting on lining (1-Nos)</t>
  </si>
  <si>
    <t>Attaching with lining closing(1-Nos)</t>
  </si>
  <si>
    <t>Pasting cover lining and cc pkt (1-Nos)</t>
  </si>
  <si>
    <t>Attaching cover lining and cc pkt (1-Nos)</t>
  </si>
  <si>
    <t>Pasting lining</t>
  </si>
  <si>
    <t>Lining folding</t>
  </si>
  <si>
    <t>Pasting on lining &amp; beeding</t>
  </si>
  <si>
    <t>Attaching lining with beeding</t>
  </si>
  <si>
    <t>W7</t>
  </si>
  <si>
    <t>Pasting on patti</t>
  </si>
  <si>
    <t>Attaching step patti (1*1Nos)</t>
  </si>
  <si>
    <t>Pasting on window side patti lining</t>
  </si>
  <si>
    <t>Pasting on cc pkt</t>
  </si>
  <si>
    <t>Attaching step patti (1Nos)</t>
  </si>
  <si>
    <t>Pasting on window</t>
  </si>
  <si>
    <t>Attaching window with cc pkt</t>
  </si>
  <si>
    <t>W8</t>
  </si>
  <si>
    <t>Stitching the window side</t>
  </si>
  <si>
    <t>Stitching the cc pkt on Sides</t>
  </si>
  <si>
    <t>Stitching cc pkt lining side ( half stitch)</t>
  </si>
  <si>
    <t>Thread pulling at both sides</t>
  </si>
  <si>
    <t>G2</t>
  </si>
  <si>
    <t>OSM3</t>
  </si>
  <si>
    <t>W9</t>
  </si>
  <si>
    <t>Stitching window with pkt</t>
  </si>
  <si>
    <t>CC Pkt side stitching ( 2nd half stitch)</t>
  </si>
  <si>
    <t>Decorative Stitching of Anchor Bit</t>
  </si>
  <si>
    <t>W10</t>
  </si>
  <si>
    <t>Pasting top leather &amp; facing leather</t>
  </si>
  <si>
    <t>Attaching top &amp; facing leather</t>
  </si>
  <si>
    <t>W11</t>
  </si>
  <si>
    <t>Lamping</t>
  </si>
  <si>
    <t>Lamping of anchor tab bit</t>
  </si>
  <si>
    <t>W12</t>
  </si>
  <si>
    <t>Pressing</t>
  </si>
  <si>
    <t>Primer</t>
  </si>
  <si>
    <t>Edge Inking</t>
  </si>
  <si>
    <t>W13</t>
  </si>
  <si>
    <t>Primer 1</t>
  </si>
  <si>
    <t>W14</t>
  </si>
  <si>
    <t>Primer 2</t>
  </si>
  <si>
    <t>Primer 3</t>
  </si>
  <si>
    <t>Buffing</t>
  </si>
  <si>
    <t>G3</t>
  </si>
  <si>
    <t>W15</t>
  </si>
  <si>
    <t>Recutting facing Leather (1:5)</t>
  </si>
  <si>
    <t>Recutting Top Leather (1:5)</t>
  </si>
  <si>
    <t>Recutting Top</t>
  </si>
  <si>
    <t>Recutting zip collar PU</t>
  </si>
  <si>
    <t>G1 / G2</t>
  </si>
  <si>
    <t>OSM2</t>
  </si>
  <si>
    <t>W16</t>
  </si>
  <si>
    <t>Foil Embossing on cc pkt</t>
  </si>
  <si>
    <t>inserting &amp; Pressing snap male button  (1-Nos)</t>
  </si>
  <si>
    <t>Revitting Female button on Top</t>
  </si>
  <si>
    <t>Grinding  Logo on Top</t>
  </si>
  <si>
    <t>W17</t>
  </si>
  <si>
    <t>Pressing logo on Top</t>
  </si>
  <si>
    <t>Attaching Self adhesive logo cover kimlon</t>
  </si>
  <si>
    <t>W18</t>
  </si>
  <si>
    <t>Pasting on top</t>
  </si>
  <si>
    <t>W19</t>
  </si>
  <si>
    <t>Pasting on nonwoven(L/R)</t>
  </si>
  <si>
    <t>Pasting &amp; Attaching mica (2) over top</t>
  </si>
  <si>
    <t>Pasting on top &amp; kimlon</t>
  </si>
  <si>
    <t>Pasting on Top  &amp; center nonwoven(1)</t>
  </si>
  <si>
    <t>Pasting on Top &amp; moon bit</t>
  </si>
  <si>
    <t>Attaching kimlon over top</t>
  </si>
  <si>
    <t>Attaching nonwoven with top</t>
  </si>
  <si>
    <t>Attaching center nonwoven with top</t>
  </si>
  <si>
    <t>Attaching moon bit</t>
  </si>
  <si>
    <t>G4</t>
  </si>
  <si>
    <t>W20</t>
  </si>
  <si>
    <t>Stitching center stay</t>
  </si>
  <si>
    <t>W22</t>
  </si>
  <si>
    <t>Stitching  left &amp; right gusset on Top Sides</t>
  </si>
  <si>
    <t>Stitching  left  gusset  pu &amp; lining on bottom Sides</t>
  </si>
  <si>
    <t>Stitching zipper with lining</t>
  </si>
  <si>
    <t>W23</t>
  </si>
  <si>
    <t>Top moon bit stitching</t>
  </si>
  <si>
    <t>Stitching top side of cc pkt   &amp;  bottom centerstay</t>
  </si>
  <si>
    <t>Stitching shell pkt left side</t>
  </si>
  <si>
    <t>W24</t>
  </si>
  <si>
    <t>Direct stitching zip collar  &amp; tab bit in AMS</t>
  </si>
  <si>
    <t>G5</t>
  </si>
  <si>
    <t>OSM4</t>
  </si>
  <si>
    <t>W25</t>
  </si>
  <si>
    <t>Pasting on lining &amp; kimlon</t>
  </si>
  <si>
    <t>Attaching lining with kimlon</t>
  </si>
  <si>
    <t>Lining folding &amp; cornering</t>
  </si>
  <si>
    <t>W26</t>
  </si>
  <si>
    <t>Pasting on Left  Gusset 2 Side</t>
  </si>
  <si>
    <t>Pasting over Zip Lining</t>
  </si>
  <si>
    <t>Attaching Left Gusset 2 Side  With zipper Lining</t>
  </si>
  <si>
    <t>W27</t>
  </si>
  <si>
    <t>Pasting on zip collar</t>
  </si>
  <si>
    <t>Pasting on shell</t>
  </si>
  <si>
    <t>W28</t>
  </si>
  <si>
    <t>Attaching Shell &amp;  zip collar</t>
  </si>
  <si>
    <t>W30</t>
  </si>
  <si>
    <t>W31</t>
  </si>
  <si>
    <t>Pasting on Right  Gusset 2- Side</t>
  </si>
  <si>
    <t>Pasting over  shell</t>
  </si>
  <si>
    <t>Attaching  Right  Gusset 2-Side  With shell</t>
  </si>
  <si>
    <t>Pasting on zipper collar support kimlon bit  &amp;  zip collar back</t>
  </si>
  <si>
    <t>Attaching zipper collar support kimlon bit over zip collar back</t>
  </si>
  <si>
    <t>W32</t>
  </si>
  <si>
    <t>Pasting on kimlon (2nos)</t>
  </si>
  <si>
    <t>Pasting over Cc pkt lining</t>
  </si>
  <si>
    <t>Attaching kimlon over cc pkt lining</t>
  </si>
  <si>
    <t>Pasting over Cc pkt</t>
  </si>
  <si>
    <t>Pasting over Center stay</t>
  </si>
  <si>
    <t>Attaching center stay over cc pkt</t>
  </si>
  <si>
    <t>W33</t>
  </si>
  <si>
    <t>Pasting over window pkt</t>
  </si>
  <si>
    <t>Attaching center stay over window pkt</t>
  </si>
  <si>
    <t>W34</t>
  </si>
  <si>
    <t>Pasting over shell</t>
  </si>
  <si>
    <t>Pasting over Center stay pkt</t>
  </si>
  <si>
    <t>Attaching center pkt with shell</t>
  </si>
  <si>
    <t>Pasting over Center stay lining</t>
  </si>
  <si>
    <t>Attaching with closing center stay lining  with shell closing</t>
  </si>
  <si>
    <t>W35</t>
  </si>
  <si>
    <t>Stitching L&amp;R Shell &amp; zip collar</t>
  </si>
  <si>
    <t>W36</t>
  </si>
  <si>
    <t>Stitching center stay over cc pkt</t>
  </si>
  <si>
    <t>W37</t>
  </si>
  <si>
    <t>Pasting over backwall lining</t>
  </si>
  <si>
    <t>Attaching  centerstay /window pkt over backwall lining</t>
  </si>
  <si>
    <t>W38</t>
  </si>
  <si>
    <t>Pasting over  Right shell</t>
  </si>
  <si>
    <t>Pasting over Left Window Center stay pkt</t>
  </si>
  <si>
    <t>Attaching left center pkt with right shell</t>
  </si>
  <si>
    <t>W39</t>
  </si>
  <si>
    <t>W40</t>
  </si>
  <si>
    <t>Stitching top side of cc pkt &amp;bottom centerstay</t>
  </si>
  <si>
    <t>W41</t>
  </si>
  <si>
    <t>W42</t>
  </si>
  <si>
    <t>W43</t>
  </si>
  <si>
    <t>W44</t>
  </si>
  <si>
    <t>W45</t>
  </si>
  <si>
    <t>Promoter</t>
  </si>
  <si>
    <t>Dye</t>
  </si>
  <si>
    <t>W46</t>
  </si>
  <si>
    <t>G6</t>
  </si>
  <si>
    <t>W47</t>
  </si>
  <si>
    <t>Pasting  Top backwall &amp; top</t>
  </si>
  <si>
    <t>W48</t>
  </si>
  <si>
    <t>Attaching lining on top backwall&amp; top</t>
  </si>
  <si>
    <t>Stitching Lining with backwall &amp; moon bit</t>
  </si>
  <si>
    <t>Thread Pull, Pasting</t>
  </si>
  <si>
    <t>W49</t>
  </si>
  <si>
    <t>Pasting over Zip shell</t>
  </si>
  <si>
    <t>W50</t>
  </si>
  <si>
    <t>Inserting mould</t>
  </si>
  <si>
    <t>Attaching Zipper with case in Mould  &amp; Cornnering Zipper over Lining  &amp; mould removing</t>
  </si>
  <si>
    <t>G7</t>
  </si>
  <si>
    <t>OSM5</t>
  </si>
  <si>
    <t>W51</t>
  </si>
  <si>
    <t>Pasting over shell final</t>
  </si>
  <si>
    <t>W52</t>
  </si>
  <si>
    <t>Label prepration</t>
  </si>
  <si>
    <t>Pasting on label</t>
  </si>
  <si>
    <t>W53</t>
  </si>
  <si>
    <t>Attaching label</t>
  </si>
  <si>
    <t>W54</t>
  </si>
  <si>
    <t>Final Attaching</t>
  </si>
  <si>
    <t>OSM6</t>
  </si>
  <si>
    <t>W55</t>
  </si>
  <si>
    <t>Final Stitching</t>
  </si>
  <si>
    <t>W56</t>
  </si>
  <si>
    <t>Puller fixing</t>
  </si>
  <si>
    <t>OSM7</t>
  </si>
  <si>
    <t>W57</t>
  </si>
  <si>
    <t>Cleaning</t>
  </si>
  <si>
    <t>White cell = first row of each WS (pick employee → all rows auto-fill, EMP CODE auto-fills). ⚠️ Still needs employee: W42, W49, W50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</si>
</sst>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0"/>
      <color rgb="FF6b7280"/>
      <name val="Calibri"/>
      <family val="2"/>
    </font>
    <font>
      <b/>
      <sz val="11"/>
      <color rgb="FF1d6f42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i/>
      <sz val="11"/>
      <color rgb="FF374151"/>
      <name val="Calibri"/>
      <family val="2"/>
    </font>
    <font>
      <i/>
      <sz val="10"/>
      <color rgb="FF92400e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d6f42"/>
      </patternFill>
    </fill>
    <fill>
      <patternFill patternType="solid">
        <fgColor rgb="FFd1fae5"/>
      </patternFill>
    </fill>
    <fill>
      <patternFill patternType="solid">
        <fgColor rgb="FF1e40af"/>
      </patternFill>
    </fill>
    <fill>
      <patternFill patternType="solid">
        <fgColor rgb="FFffffff"/>
      </patternFill>
    </fill>
    <fill>
      <patternFill patternType="solid">
        <fgColor rgb="FFebebeb"/>
      </patternFill>
    </fill>
    <fill>
      <patternFill patternType="solid">
        <fgColor rgb="FFe8f5e9"/>
      </patternFill>
    </fill>
    <fill>
      <patternFill patternType="solid">
        <fgColor rgb="FFfff3cd"/>
      </patternFill>
    </fill>
  </fills>
  <borders count="11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d1fae5"/>
      </left>
      <right style="thin">
        <color rgb="FFd1fae5"/>
      </right>
      <top style="thin">
        <color rgb="FFd1fae5"/>
      </top>
      <bottom style="thin">
        <color rgb="FFd1fae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d6f42"/>
      </left>
      <right style="thin">
        <color rgb="FF1d6f42"/>
      </right>
      <top style="thin">
        <color rgb="FF1d6f42"/>
      </top>
      <bottom style="thin">
        <color rgb="FF1d6f42"/>
      </bottom>
      <diagonal/>
    </border>
    <border>
      <left style="thin">
        <color rgb="FF1e40af"/>
      </left>
      <right style="thin">
        <color rgb="FF1e40af"/>
      </right>
      <top style="thin">
        <color rgb="FF1e40af"/>
      </top>
      <bottom style="thin">
        <color rgb="FF1e40a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8f5e9"/>
      </left>
      <right style="thin">
        <color rgb="FFe8f5e9"/>
      </right>
      <top style="thin">
        <color rgb="FFe8f5e9"/>
      </top>
      <bottom style="thin">
        <color rgb="FFe8f5e9"/>
      </bottom>
      <diagonal/>
    </border>
    <border>
      <left style="thin">
        <color rgb="FFfff3cd"/>
      </left>
      <right style="thin">
        <color rgb="FFfff3cd"/>
      </right>
      <top style="thin">
        <color rgb="FFfff3cd"/>
      </top>
      <bottom style="thin">
        <color rgb="FFfff3cd"/>
      </bottom>
      <diagonal/>
    </border>
  </borders>
  <cellStyleXfs count="1">
    <xf numFmtId="0" fontId="0" fillId="0" borderId="0"/>
  </cellStyleXfs>
  <cellXfs count="40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164" applyNumberFormat="1" borderId="1" applyBorder="1" fontId="1" applyFont="1" fillId="2" applyFill="1" applyAlignment="1">
      <alignment horizontal="center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0" borderId="2" applyBorder="1" fontId="2" applyFont="1" fillId="3" applyFill="1" applyAlignment="1">
      <alignment horizontal="left"/>
    </xf>
    <xf xfId="0" numFmtId="3" applyNumberFormat="1" borderId="3" applyBorder="1" fontId="3" applyFont="1" fillId="0" applyAlignment="1">
      <alignment horizontal="left"/>
    </xf>
    <xf xfId="0" numFmtId="0" borderId="4" applyBorder="1" fontId="4" applyFont="1" fillId="0" applyAlignment="1">
      <alignment horizontal="left"/>
    </xf>
    <xf xfId="0" numFmtId="4" applyNumberFormat="1" borderId="4" applyBorder="1" fontId="4" applyFont="1" fillId="0" applyAlignment="1">
      <alignment horizontal="left"/>
    </xf>
    <xf xfId="0" numFmtId="164" applyNumberFormat="1" borderId="4" applyBorder="1" fontId="4" applyFont="1" fillId="0" applyAlignment="1">
      <alignment horizontal="left"/>
    </xf>
    <xf xfId="0" numFmtId="3" applyNumberFormat="1" borderId="2" applyBorder="1" fontId="5" applyFont="1" fillId="3" applyFill="1" applyAlignment="1">
      <alignment horizontal="left"/>
    </xf>
    <xf xfId="0" numFmtId="0" borderId="5" applyBorder="1" fontId="6" applyFont="1" fillId="2" applyFill="1" applyAlignment="1">
      <alignment horizontal="center"/>
    </xf>
    <xf xfId="0" numFmtId="3" applyNumberFormat="1" borderId="5" applyBorder="1" fontId="6" applyFont="1" fillId="2" applyFill="1" applyAlignment="1">
      <alignment horizontal="center"/>
    </xf>
    <xf xfId="0" numFmtId="4" applyNumberFormat="1" borderId="5" applyBorder="1" fontId="6" applyFont="1" fillId="2" applyFill="1" applyAlignment="1">
      <alignment horizontal="center"/>
    </xf>
    <xf xfId="0" numFmtId="164" applyNumberFormat="1" borderId="5" applyBorder="1" fontId="6" applyFont="1" fillId="2" applyFill="1" applyAlignment="1">
      <alignment horizontal="center"/>
    </xf>
    <xf xfId="0" numFmtId="0" borderId="6" applyBorder="1" fontId="6" applyFont="1" fillId="4" applyFill="1" applyAlignment="1">
      <alignment horizontal="center"/>
    </xf>
    <xf xfId="0" numFmtId="0" borderId="7" applyBorder="1" fontId="7" applyFont="1" fillId="5" applyFill="1" applyAlignment="1">
      <alignment horizontal="center"/>
    </xf>
    <xf xfId="0" numFmtId="3" applyNumberFormat="1" borderId="7" applyBorder="1" fontId="7" applyFont="1" fillId="5" applyFill="1" applyAlignment="1">
      <alignment horizontal="center"/>
    </xf>
    <xf xfId="0" numFmtId="0" borderId="7" applyBorder="1" fontId="7" applyFont="1" fillId="5" applyFill="1" applyAlignment="1">
      <alignment horizontal="left" wrapText="1"/>
    </xf>
    <xf xfId="0" numFmtId="4" applyNumberFormat="1" borderId="7" applyBorder="1" fontId="7" applyFont="1" fillId="5" applyFill="1" applyAlignment="1">
      <alignment horizontal="center"/>
    </xf>
    <xf xfId="0" numFmtId="4" applyNumberFormat="1" borderId="8" applyBorder="1" fontId="7" applyFont="1" fillId="6" applyFill="1" applyAlignment="1">
      <alignment horizontal="center"/>
    </xf>
    <xf xfId="0" numFmtId="164" applyNumberFormat="1" borderId="8" applyBorder="1" fontId="7" applyFont="1" fillId="6" applyFill="1" applyAlignment="1">
      <alignment horizontal="center"/>
    </xf>
    <xf xfId="0" numFmtId="0" borderId="8" applyBorder="1" fontId="7" applyFont="1" fillId="6" applyFill="1" applyAlignment="1">
      <alignment horizontal="center"/>
    </xf>
    <xf xfId="0" numFmtId="0" borderId="7" applyBorder="1" fontId="7" applyFont="1" fillId="5" applyFill="1" applyAlignment="1">
      <alignment horizontal="left"/>
    </xf>
    <xf xfId="0" numFmtId="0" borderId="9" applyBorder="1" fontId="8" applyFont="1" fillId="7" applyFill="1" applyAlignment="1">
      <alignment horizontal="left"/>
    </xf>
    <xf xfId="0" numFmtId="0" borderId="10" applyBorder="1" fontId="7" applyFont="1" fillId="8" applyFill="1" applyAlignment="1">
      <alignment horizontal="left"/>
    </xf>
    <xf xfId="0" numFmtId="0" borderId="0" fontId="0" fillId="0" applyAlignment="1">
      <alignment wrapText="1"/>
    </xf>
    <xf xfId="0" numFmtId="0" borderId="1" applyBorder="1" fontId="9" applyFont="1" fillId="8" applyFill="1" applyAlignment="1">
      <alignment horizontal="left" wrapText="1"/>
    </xf>
    <xf xfId="0" numFmtId="3" applyNumberFormat="1" borderId="1" applyBorder="1" fontId="9" applyFont="1" fillId="8" applyFill="1" applyAlignment="1">
      <alignment horizontal="left" wrapText="1"/>
    </xf>
    <xf xfId="0" numFmtId="4" applyNumberFormat="1" borderId="1" applyBorder="1" fontId="9" applyFont="1" fillId="8" applyFill="1" applyAlignment="1">
      <alignment horizontal="left" wrapText="1"/>
    </xf>
    <xf xfId="0" numFmtId="164" applyNumberFormat="1" borderId="1" applyBorder="1" fontId="9" applyFont="1" fillId="8" applyFill="1" applyAlignment="1">
      <alignment horizontal="left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43"/>
  <sheetViews>
    <sheetView workbookViewId="0" tabSelected="1"/>
  </sheetViews>
  <sheetFormatPr defaultRowHeight="15" x14ac:dyDescent="0.25"/>
  <cols>
    <col min="1" max="1" style="2" width="12.005" customWidth="1" bestFit="1"/>
    <col min="2" max="2" style="37" width="8.005" customWidth="1" bestFit="1"/>
    <col min="3" max="3" style="2" width="14.005" customWidth="1" bestFit="1"/>
    <col min="4" max="4" style="2" width="16.005" customWidth="1" bestFit="1"/>
    <col min="5" max="5" style="2" width="50.005" customWidth="1" bestFit="1"/>
    <col min="6" max="6" style="38" width="16.005" customWidth="1" bestFit="1"/>
    <col min="7" max="7" style="38" width="14.005" customWidth="1" bestFit="1"/>
    <col min="8" max="8" style="39" width="10.005" customWidth="1" bestFit="1"/>
    <col min="9" max="9" style="2" width="16.005" customWidth="1" bestFit="1"/>
    <col min="10" max="10" style="2" width="24.005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</cols>
  <sheetData>
    <row x14ac:dyDescent="0.25" r="1" customHeight="1" ht="24.75">
      <c r="A1" s="3" t="s">
        <v>446</v>
      </c>
      <c r="B1" s="4"/>
      <c r="C1" s="3"/>
      <c r="D1" s="3"/>
      <c r="E1" s="3"/>
      <c r="F1" s="5"/>
      <c r="G1" s="5"/>
      <c r="H1" s="6"/>
      <c r="I1" s="3"/>
      <c r="J1" s="3"/>
      <c r="K1" s="1"/>
      <c r="L1" s="1"/>
      <c r="M1" s="1"/>
    </row>
    <row x14ac:dyDescent="0.25" r="2" customHeight="1" ht="18.75">
      <c r="A2" s="1"/>
      <c r="B2" s="7"/>
      <c r="C2" s="1"/>
      <c r="D2" s="1"/>
      <c r="E2" s="1"/>
      <c r="F2" s="8"/>
      <c r="G2" s="8"/>
      <c r="H2" s="9"/>
      <c r="I2" s="1"/>
      <c r="J2" s="1"/>
      <c r="K2" s="1"/>
      <c r="L2" s="1"/>
      <c r="M2" s="1"/>
    </row>
    <row x14ac:dyDescent="0.25" r="3" customHeight="1" ht="21">
      <c r="A3" s="10" t="s">
        <v>447</v>
      </c>
      <c r="B3" s="11" t="s">
        <v>448</v>
      </c>
      <c r="C3" s="12" t="s">
        <v>449</v>
      </c>
      <c r="D3" s="12"/>
      <c r="E3" s="12"/>
      <c r="F3" s="13"/>
      <c r="G3" s="13"/>
      <c r="H3" s="14"/>
      <c r="I3" s="12"/>
      <c r="J3" s="12"/>
      <c r="K3" s="1"/>
      <c r="L3" s="1"/>
      <c r="M3" s="1"/>
    </row>
    <row x14ac:dyDescent="0.25" r="4" customHeight="1" ht="21">
      <c r="A4" s="10" t="s">
        <v>450</v>
      </c>
      <c r="B4" s="11" t="s">
        <v>451</v>
      </c>
      <c r="C4" s="12" t="s">
        <v>452</v>
      </c>
      <c r="D4" s="12" t="s">
        <v>452</v>
      </c>
      <c r="E4" s="12"/>
      <c r="F4" s="13"/>
      <c r="G4" s="13"/>
      <c r="H4" s="14"/>
      <c r="I4" s="12"/>
      <c r="J4" s="12"/>
      <c r="K4" s="1"/>
      <c r="L4" s="1"/>
      <c r="M4" s="1"/>
    </row>
    <row x14ac:dyDescent="0.25" r="5" customHeight="1" ht="21">
      <c r="A5" s="10" t="s">
        <v>453</v>
      </c>
      <c r="B5" s="11" t="s">
        <v>454</v>
      </c>
      <c r="C5" s="12" t="s">
        <v>455</v>
      </c>
      <c r="D5" s="12" t="s">
        <v>455</v>
      </c>
      <c r="E5" s="12" t="s">
        <v>455</v>
      </c>
      <c r="F5" s="13"/>
      <c r="G5" s="13"/>
      <c r="H5" s="14"/>
      <c r="I5" s="12"/>
      <c r="J5" s="12"/>
      <c r="K5" s="1"/>
      <c r="L5" s="1"/>
      <c r="M5" s="1"/>
    </row>
    <row x14ac:dyDescent="0.25" r="6" customHeight="1" ht="21">
      <c r="A6" s="10" t="s">
        <v>456</v>
      </c>
      <c r="B6" s="11" t="s">
        <v>457</v>
      </c>
      <c r="C6" s="12" t="s">
        <v>458</v>
      </c>
      <c r="D6" s="12" t="s">
        <v>458</v>
      </c>
      <c r="E6" s="12" t="s">
        <v>458</v>
      </c>
      <c r="F6" s="13" t="s">
        <v>458</v>
      </c>
      <c r="G6" s="13"/>
      <c r="H6" s="14"/>
      <c r="I6" s="12"/>
      <c r="J6" s="12"/>
      <c r="K6" s="1"/>
      <c r="L6" s="1"/>
      <c r="M6" s="1"/>
    </row>
    <row x14ac:dyDescent="0.25" r="7" customHeight="1" ht="21">
      <c r="A7" s="10" t="s">
        <v>459</v>
      </c>
      <c r="B7" s="11" t="s">
        <v>460</v>
      </c>
      <c r="C7" s="12" t="s">
        <v>461</v>
      </c>
      <c r="D7" s="12" t="s">
        <v>461</v>
      </c>
      <c r="E7" s="12" t="s">
        <v>461</v>
      </c>
      <c r="F7" s="13" t="s">
        <v>461</v>
      </c>
      <c r="G7" s="13" t="s">
        <v>461</v>
      </c>
      <c r="H7" s="14"/>
      <c r="I7" s="12"/>
      <c r="J7" s="12"/>
      <c r="K7" s="1"/>
      <c r="L7" s="1"/>
      <c r="M7" s="1"/>
    </row>
    <row x14ac:dyDescent="0.25" r="8" customHeight="1" ht="21">
      <c r="A8" s="10" t="s">
        <v>462</v>
      </c>
      <c r="B8" s="11"/>
      <c r="C8" s="12" t="s">
        <v>463</v>
      </c>
      <c r="D8" s="12" t="s">
        <v>463</v>
      </c>
      <c r="E8" s="12" t="s">
        <v>463</v>
      </c>
      <c r="F8" s="13" t="s">
        <v>463</v>
      </c>
      <c r="G8" s="13" t="s">
        <v>463</v>
      </c>
      <c r="H8" s="14" t="s">
        <v>463</v>
      </c>
      <c r="I8" s="12"/>
      <c r="J8" s="12"/>
      <c r="K8" s="1"/>
      <c r="L8" s="1"/>
      <c r="M8" s="1"/>
    </row>
    <row x14ac:dyDescent="0.25" r="9" customHeight="1" ht="21">
      <c r="A9" s="10" t="s">
        <v>464</v>
      </c>
      <c r="B9" s="11" t="s">
        <v>465</v>
      </c>
      <c r="C9" s="12" t="s">
        <v>466</v>
      </c>
      <c r="D9" s="12" t="s">
        <v>466</v>
      </c>
      <c r="E9" s="12" t="s">
        <v>466</v>
      </c>
      <c r="F9" s="13" t="s">
        <v>466</v>
      </c>
      <c r="G9" s="13" t="s">
        <v>466</v>
      </c>
      <c r="H9" s="14" t="s">
        <v>466</v>
      </c>
      <c r="I9" s="12" t="s">
        <v>466</v>
      </c>
      <c r="J9" s="12"/>
      <c r="K9" s="1"/>
      <c r="L9" s="1"/>
      <c r="M9" s="1"/>
    </row>
    <row x14ac:dyDescent="0.25" r="10" customHeight="1" ht="21">
      <c r="A10" s="10" t="s">
        <v>467</v>
      </c>
      <c r="B10" s="11">
        <v>350</v>
      </c>
      <c r="C10" s="12" t="s">
        <v>468</v>
      </c>
      <c r="D10" s="12" t="s">
        <v>468</v>
      </c>
      <c r="E10" s="12" t="s">
        <v>468</v>
      </c>
      <c r="F10" s="13" t="s">
        <v>468</v>
      </c>
      <c r="G10" s="13" t="s">
        <v>468</v>
      </c>
      <c r="H10" s="14" t="s">
        <v>468</v>
      </c>
      <c r="I10" s="12" t="s">
        <v>468</v>
      </c>
      <c r="J10" s="12" t="s">
        <v>468</v>
      </c>
      <c r="K10" s="1"/>
      <c r="L10" s="1"/>
      <c r="M10" s="1"/>
    </row>
    <row x14ac:dyDescent="0.25" r="11" customHeight="1" ht="21">
      <c r="A11" s="10" t="s">
        <v>469</v>
      </c>
      <c r="B11" s="11"/>
      <c r="C11" s="12" t="s">
        <v>470</v>
      </c>
      <c r="D11" s="12" t="s">
        <v>470</v>
      </c>
      <c r="E11" s="12" t="s">
        <v>470</v>
      </c>
      <c r="F11" s="13" t="s">
        <v>470</v>
      </c>
      <c r="G11" s="13" t="s">
        <v>470</v>
      </c>
      <c r="H11" s="14" t="s">
        <v>470</v>
      </c>
      <c r="I11" s="12" t="s">
        <v>470</v>
      </c>
      <c r="J11" s="12" t="s">
        <v>470</v>
      </c>
      <c r="K11" s="12"/>
      <c r="L11" s="1"/>
      <c r="M11" s="1"/>
    </row>
    <row x14ac:dyDescent="0.25" r="12" customHeight="1" ht="21">
      <c r="A12" s="10" t="s">
        <v>471</v>
      </c>
      <c r="B12" s="11"/>
      <c r="C12" s="12" t="s">
        <v>470</v>
      </c>
      <c r="D12" s="12" t="s">
        <v>470</v>
      </c>
      <c r="E12" s="12" t="s">
        <v>470</v>
      </c>
      <c r="F12" s="13" t="s">
        <v>470</v>
      </c>
      <c r="G12" s="13" t="s">
        <v>470</v>
      </c>
      <c r="H12" s="14" t="s">
        <v>470</v>
      </c>
      <c r="I12" s="12" t="s">
        <v>470</v>
      </c>
      <c r="J12" s="12" t="s">
        <v>470</v>
      </c>
      <c r="K12" s="12"/>
      <c r="L12" s="12"/>
      <c r="M12" s="1"/>
    </row>
    <row x14ac:dyDescent="0.25" r="13" customHeight="1" ht="21.75">
      <c r="A13" s="10" t="s">
        <v>472</v>
      </c>
      <c r="B13" s="15" t="s">
        <v>473</v>
      </c>
      <c r="C13" s="12" t="s">
        <v>474</v>
      </c>
      <c r="D13" s="12" t="s">
        <v>474</v>
      </c>
      <c r="E13" s="12" t="s">
        <v>474</v>
      </c>
      <c r="F13" s="13" t="s">
        <v>474</v>
      </c>
      <c r="G13" s="13" t="s">
        <v>474</v>
      </c>
      <c r="H13" s="14" t="s">
        <v>474</v>
      </c>
      <c r="I13" s="12" t="s">
        <v>474</v>
      </c>
      <c r="J13" s="12" t="s">
        <v>474</v>
      </c>
      <c r="K13" s="12"/>
      <c r="L13" s="12"/>
      <c r="M13" s="12"/>
    </row>
    <row x14ac:dyDescent="0.25" r="14" customHeight="1" ht="18.75">
      <c r="A14" s="1"/>
      <c r="B14" s="7"/>
      <c r="C14" s="1"/>
      <c r="D14" s="1"/>
      <c r="E14" s="1"/>
      <c r="F14" s="8"/>
      <c r="G14" s="8"/>
      <c r="H14" s="9"/>
      <c r="I14" s="1"/>
      <c r="J14" s="1"/>
      <c r="K14" s="1"/>
      <c r="L14" s="1"/>
      <c r="M14" s="1"/>
    </row>
    <row x14ac:dyDescent="0.25" r="15" customHeight="1" ht="21">
      <c r="A15" s="16" t="s">
        <v>475</v>
      </c>
      <c r="B15" s="17" t="s">
        <v>476</v>
      </c>
      <c r="C15" s="16" t="s">
        <v>477</v>
      </c>
      <c r="D15" s="16" t="s">
        <v>0</v>
      </c>
      <c r="E15" s="16" t="s">
        <v>1</v>
      </c>
      <c r="F15" s="18" t="s">
        <v>478</v>
      </c>
      <c r="G15" s="18" t="s">
        <v>479</v>
      </c>
      <c r="H15" s="19" t="s">
        <v>480</v>
      </c>
      <c r="I15" s="16" t="s">
        <v>481</v>
      </c>
      <c r="J15" s="20" t="s">
        <v>482</v>
      </c>
      <c r="K15" s="1"/>
      <c r="L15" s="1"/>
      <c r="M15" s="1"/>
    </row>
    <row x14ac:dyDescent="0.25" r="16" customHeight="1" ht="18.75">
      <c r="A16" s="21" t="s">
        <v>483</v>
      </c>
      <c r="B16" s="22" t="s">
        <v>484</v>
      </c>
      <c r="C16" s="21" t="s">
        <v>485</v>
      </c>
      <c r="D16" s="21"/>
      <c r="E16" s="23" t="s">
        <v>486</v>
      </c>
      <c r="F16" s="24">
        <v>10</v>
      </c>
      <c r="G16" s="25">
        <f>SUMIF($C$16:$C$501,C16,$F$16:$F$501)</f>
      </c>
      <c r="H16" s="26">
        <f>F16/3600</f>
      </c>
      <c r="I16" s="27">
        <f>IFERROR(INDEX(Lists!$C:$C,MATCH(J16,Lists!$D:$D,0)),"")</f>
      </c>
      <c r="J16" s="28" t="s">
        <v>17</v>
      </c>
      <c r="K16" s="1"/>
      <c r="L16" s="1"/>
      <c r="M16" s="1"/>
    </row>
    <row x14ac:dyDescent="0.25" r="17" customHeight="1" ht="19.5">
      <c r="A17" s="21" t="s">
        <v>483</v>
      </c>
      <c r="B17" s="22" t="s">
        <v>484</v>
      </c>
      <c r="C17" s="21" t="s">
        <v>485</v>
      </c>
      <c r="D17" s="21"/>
      <c r="E17" s="23" t="s">
        <v>487</v>
      </c>
      <c r="F17" s="24">
        <v>25.5</v>
      </c>
      <c r="G17" s="25">
        <f>SUMIF($C$16:$C$501,C17,$F$16:$F$501)</f>
      </c>
      <c r="H17" s="26">
        <f>F17/3600</f>
      </c>
      <c r="I17" s="27">
        <f>IFERROR(INDEX(Lists!$C:$C,MATCH(J17,Lists!$D:$D,0)),"")</f>
      </c>
      <c r="J17" s="29">
        <f>J16</f>
      </c>
      <c r="K17" s="1"/>
      <c r="L17" s="1"/>
      <c r="M17" s="1"/>
    </row>
    <row x14ac:dyDescent="0.25" r="18" customHeight="1" ht="19.5">
      <c r="A18" s="21" t="s">
        <v>483</v>
      </c>
      <c r="B18" s="22" t="s">
        <v>484</v>
      </c>
      <c r="C18" s="21" t="s">
        <v>485</v>
      </c>
      <c r="D18" s="21"/>
      <c r="E18" s="23" t="s">
        <v>488</v>
      </c>
      <c r="F18" s="24">
        <v>25.5</v>
      </c>
      <c r="G18" s="25">
        <f>SUMIF($C$16:$C$501,C18,$F$16:$F$501)</f>
      </c>
      <c r="H18" s="26">
        <f>F18/3600</f>
      </c>
      <c r="I18" s="27">
        <f>IFERROR(INDEX(Lists!$C:$C,MATCH(J18,Lists!$D:$D,0)),"")</f>
      </c>
      <c r="J18" s="29">
        <f>J16</f>
      </c>
      <c r="K18" s="1"/>
      <c r="L18" s="1"/>
      <c r="M18" s="1"/>
    </row>
    <row x14ac:dyDescent="0.25" r="19" customHeight="1" ht="18.75">
      <c r="A19" s="21" t="s">
        <v>483</v>
      </c>
      <c r="B19" s="22" t="s">
        <v>484</v>
      </c>
      <c r="C19" s="21" t="s">
        <v>489</v>
      </c>
      <c r="D19" s="21"/>
      <c r="E19" s="23" t="s">
        <v>486</v>
      </c>
      <c r="F19" s="24">
        <v>10</v>
      </c>
      <c r="G19" s="25">
        <f>SUMIF($C$16:$C$501,C19,$F$16:$F$501)</f>
      </c>
      <c r="H19" s="26">
        <f>F19/3600</f>
      </c>
      <c r="I19" s="27">
        <f>IFERROR(INDEX(Lists!$C:$C,MATCH(J19,Lists!$D:$D,0)),"")</f>
      </c>
      <c r="J19" s="28" t="s">
        <v>422</v>
      </c>
      <c r="K19" s="1"/>
      <c r="L19" s="1"/>
      <c r="M19" s="1"/>
    </row>
    <row x14ac:dyDescent="0.25" r="20" customHeight="1" ht="19.5">
      <c r="A20" s="21" t="s">
        <v>483</v>
      </c>
      <c r="B20" s="22" t="s">
        <v>484</v>
      </c>
      <c r="C20" s="21" t="s">
        <v>489</v>
      </c>
      <c r="D20" s="21"/>
      <c r="E20" s="23" t="s">
        <v>487</v>
      </c>
      <c r="F20" s="24">
        <v>25.5</v>
      </c>
      <c r="G20" s="25">
        <f>SUMIF($C$16:$C$501,C20,$F$16:$F$501)</f>
      </c>
      <c r="H20" s="26">
        <f>F20/3600</f>
      </c>
      <c r="I20" s="27">
        <f>IFERROR(INDEX(Lists!$C:$C,MATCH(J20,Lists!$D:$D,0)),"")</f>
      </c>
      <c r="J20" s="29">
        <f>J19</f>
      </c>
      <c r="K20" s="1"/>
      <c r="L20" s="1"/>
      <c r="M20" s="1"/>
    </row>
    <row x14ac:dyDescent="0.25" r="21" customHeight="1" ht="18">
      <c r="A21" s="21" t="s">
        <v>483</v>
      </c>
      <c r="B21" s="22" t="s">
        <v>484</v>
      </c>
      <c r="C21" s="21" t="s">
        <v>489</v>
      </c>
      <c r="D21" s="21"/>
      <c r="E21" s="23" t="s">
        <v>488</v>
      </c>
      <c r="F21" s="24">
        <v>25.5</v>
      </c>
      <c r="G21" s="25">
        <f>SUMIF($C$16:$C$501,C21,$F$16:$F$501)</f>
      </c>
      <c r="H21" s="26">
        <f>F21/3600</f>
      </c>
      <c r="I21" s="27">
        <f>IFERROR(INDEX(Lists!$C:$C,MATCH(J21,Lists!$D:$D,0)),"")</f>
      </c>
      <c r="J21" s="29">
        <f>J19</f>
      </c>
      <c r="K21" s="1"/>
      <c r="L21" s="1"/>
      <c r="M21" s="1"/>
    </row>
    <row x14ac:dyDescent="0.25" r="22" customHeight="1" ht="18">
      <c r="A22" s="21" t="s">
        <v>483</v>
      </c>
      <c r="B22" s="22" t="s">
        <v>484</v>
      </c>
      <c r="C22" s="21" t="s">
        <v>490</v>
      </c>
      <c r="D22" s="21"/>
      <c r="E22" s="23" t="s">
        <v>491</v>
      </c>
      <c r="F22" s="24">
        <v>15</v>
      </c>
      <c r="G22" s="25">
        <f>SUMIF($C$16:$C$501,C22,$F$16:$F$501)</f>
      </c>
      <c r="H22" s="26">
        <f>F22/3600</f>
      </c>
      <c r="I22" s="27">
        <f>IFERROR(INDEX(Lists!$C:$C,MATCH(J22,Lists!$D:$D,0)),"")</f>
      </c>
      <c r="J22" s="28" t="s">
        <v>422</v>
      </c>
      <c r="K22" s="1"/>
      <c r="L22" s="1"/>
      <c r="M22" s="1"/>
    </row>
    <row x14ac:dyDescent="0.25" r="23" customHeight="1" ht="18">
      <c r="A23" s="21" t="s">
        <v>483</v>
      </c>
      <c r="B23" s="22" t="s">
        <v>484</v>
      </c>
      <c r="C23" s="21" t="s">
        <v>490</v>
      </c>
      <c r="D23" s="21"/>
      <c r="E23" s="23" t="s">
        <v>492</v>
      </c>
      <c r="F23" s="24">
        <v>16</v>
      </c>
      <c r="G23" s="25">
        <f>SUMIF($C$16:$C$501,C23,$F$16:$F$501)</f>
      </c>
      <c r="H23" s="26">
        <f>F23/3600</f>
      </c>
      <c r="I23" s="27">
        <f>IFERROR(INDEX(Lists!$C:$C,MATCH(J23,Lists!$D:$D,0)),"")</f>
      </c>
      <c r="J23" s="29">
        <f>J22</f>
      </c>
      <c r="K23" s="1"/>
      <c r="L23" s="1"/>
      <c r="M23" s="1"/>
    </row>
    <row x14ac:dyDescent="0.25" r="24" customHeight="1" ht="18">
      <c r="A24" s="21" t="s">
        <v>483</v>
      </c>
      <c r="B24" s="22" t="s">
        <v>484</v>
      </c>
      <c r="C24" s="21" t="s">
        <v>490</v>
      </c>
      <c r="D24" s="21"/>
      <c r="E24" s="23" t="s">
        <v>493</v>
      </c>
      <c r="F24" s="24">
        <v>12</v>
      </c>
      <c r="G24" s="25">
        <f>SUMIF($C$16:$C$501,C24,$F$16:$F$501)</f>
      </c>
      <c r="H24" s="26">
        <f>F24/3600</f>
      </c>
      <c r="I24" s="27">
        <f>IFERROR(INDEX(Lists!$C:$C,MATCH(J24,Lists!$D:$D,0)),"")</f>
      </c>
      <c r="J24" s="29">
        <f>J22</f>
      </c>
      <c r="K24" s="1"/>
      <c r="L24" s="1"/>
      <c r="M24" s="1"/>
    </row>
    <row x14ac:dyDescent="0.25" r="25" customHeight="1" ht="18">
      <c r="A25" s="21" t="s">
        <v>483</v>
      </c>
      <c r="B25" s="22" t="s">
        <v>484</v>
      </c>
      <c r="C25" s="21" t="s">
        <v>490</v>
      </c>
      <c r="D25" s="21"/>
      <c r="E25" s="23" t="s">
        <v>494</v>
      </c>
      <c r="F25" s="24">
        <v>8</v>
      </c>
      <c r="G25" s="25">
        <f>SUMIF($C$16:$C$501,C25,$F$16:$F$501)</f>
      </c>
      <c r="H25" s="26">
        <f>F25/3600</f>
      </c>
      <c r="I25" s="27">
        <f>IFERROR(INDEX(Lists!$C:$C,MATCH(J25,Lists!$D:$D,0)),"")</f>
      </c>
      <c r="J25" s="29">
        <f>J22</f>
      </c>
      <c r="K25" s="1"/>
      <c r="L25" s="1"/>
      <c r="M25" s="1"/>
    </row>
    <row x14ac:dyDescent="0.25" r="26" customHeight="1" ht="18">
      <c r="A26" s="21" t="s">
        <v>483</v>
      </c>
      <c r="B26" s="22" t="s">
        <v>484</v>
      </c>
      <c r="C26" s="21" t="s">
        <v>490</v>
      </c>
      <c r="D26" s="21"/>
      <c r="E26" s="23" t="s">
        <v>495</v>
      </c>
      <c r="F26" s="24">
        <v>12</v>
      </c>
      <c r="G26" s="25">
        <f>SUMIF($C$16:$C$501,C26,$F$16:$F$501)</f>
      </c>
      <c r="H26" s="26">
        <f>F26/3600</f>
      </c>
      <c r="I26" s="27">
        <f>IFERROR(INDEX(Lists!$C:$C,MATCH(J26,Lists!$D:$D,0)),"")</f>
      </c>
      <c r="J26" s="29">
        <f>J22</f>
      </c>
      <c r="K26" s="1"/>
      <c r="L26" s="1"/>
      <c r="M26" s="1"/>
    </row>
    <row x14ac:dyDescent="0.25" r="27" customHeight="1" ht="18">
      <c r="A27" s="21" t="s">
        <v>483</v>
      </c>
      <c r="B27" s="22" t="s">
        <v>484</v>
      </c>
      <c r="C27" s="21" t="s">
        <v>490</v>
      </c>
      <c r="D27" s="21"/>
      <c r="E27" s="23" t="s">
        <v>496</v>
      </c>
      <c r="F27" s="24">
        <v>12</v>
      </c>
      <c r="G27" s="25">
        <f>SUMIF($C$16:$C$501,C27,$F$16:$F$501)</f>
      </c>
      <c r="H27" s="26">
        <f>F27/3600</f>
      </c>
      <c r="I27" s="27">
        <f>IFERROR(INDEX(Lists!$C:$C,MATCH(J27,Lists!$D:$D,0)),"")</f>
      </c>
      <c r="J27" s="29">
        <f>J22</f>
      </c>
      <c r="K27" s="1"/>
      <c r="L27" s="1"/>
      <c r="M27" s="1"/>
    </row>
    <row x14ac:dyDescent="0.25" r="28" customHeight="1" ht="18">
      <c r="A28" s="21" t="s">
        <v>483</v>
      </c>
      <c r="B28" s="22" t="s">
        <v>484</v>
      </c>
      <c r="C28" s="21" t="s">
        <v>497</v>
      </c>
      <c r="D28" s="21"/>
      <c r="E28" s="23" t="s">
        <v>498</v>
      </c>
      <c r="F28" s="24">
        <v>20</v>
      </c>
      <c r="G28" s="25">
        <f>SUMIF($C$16:$C$501,C28,$F$16:$F$501)</f>
      </c>
      <c r="H28" s="26">
        <f>F28/3600</f>
      </c>
      <c r="I28" s="27">
        <f>IFERROR(INDEX(Lists!$C:$C,MATCH(J28,Lists!$D:$D,0)),"")</f>
      </c>
      <c r="J28" s="28" t="s">
        <v>143</v>
      </c>
      <c r="K28" s="1"/>
      <c r="L28" s="1"/>
      <c r="M28" s="1"/>
    </row>
    <row x14ac:dyDescent="0.25" r="29" customHeight="1" ht="18">
      <c r="A29" s="21" t="s">
        <v>483</v>
      </c>
      <c r="B29" s="22" t="s">
        <v>484</v>
      </c>
      <c r="C29" s="21" t="s">
        <v>497</v>
      </c>
      <c r="D29" s="21"/>
      <c r="E29" s="23" t="s">
        <v>499</v>
      </c>
      <c r="F29" s="24">
        <v>12</v>
      </c>
      <c r="G29" s="25">
        <f>SUMIF($C$16:$C$501,C29,$F$16:$F$501)</f>
      </c>
      <c r="H29" s="26">
        <f>F29/3600</f>
      </c>
      <c r="I29" s="27">
        <f>IFERROR(INDEX(Lists!$C:$C,MATCH(J29,Lists!$D:$D,0)),"")</f>
      </c>
      <c r="J29" s="29">
        <f>J28</f>
      </c>
      <c r="K29" s="1"/>
      <c r="L29" s="1"/>
      <c r="M29" s="1"/>
    </row>
    <row x14ac:dyDescent="0.25" r="30" customHeight="1" ht="18">
      <c r="A30" s="21" t="s">
        <v>483</v>
      </c>
      <c r="B30" s="22" t="s">
        <v>484</v>
      </c>
      <c r="C30" s="21" t="s">
        <v>497</v>
      </c>
      <c r="D30" s="21"/>
      <c r="E30" s="23" t="s">
        <v>500</v>
      </c>
      <c r="F30" s="24">
        <v>13.5</v>
      </c>
      <c r="G30" s="25">
        <f>SUMIF($C$16:$C$501,C30,$F$16:$F$501)</f>
      </c>
      <c r="H30" s="26">
        <f>F30/3600</f>
      </c>
      <c r="I30" s="27">
        <f>IFERROR(INDEX(Lists!$C:$C,MATCH(J30,Lists!$D:$D,0)),"")</f>
      </c>
      <c r="J30" s="29">
        <f>J28</f>
      </c>
      <c r="K30" s="1"/>
      <c r="L30" s="1"/>
      <c r="M30" s="1"/>
    </row>
    <row x14ac:dyDescent="0.25" r="31" customHeight="1" ht="18">
      <c r="A31" s="21" t="s">
        <v>483</v>
      </c>
      <c r="B31" s="22" t="s">
        <v>484</v>
      </c>
      <c r="C31" s="21" t="s">
        <v>497</v>
      </c>
      <c r="D31" s="21"/>
      <c r="E31" s="23" t="s">
        <v>501</v>
      </c>
      <c r="F31" s="24">
        <v>5</v>
      </c>
      <c r="G31" s="25">
        <f>SUMIF($C$16:$C$501,C31,$F$16:$F$501)</f>
      </c>
      <c r="H31" s="26">
        <f>F31/3600</f>
      </c>
      <c r="I31" s="27">
        <f>IFERROR(INDEX(Lists!$C:$C,MATCH(J31,Lists!$D:$D,0)),"")</f>
      </c>
      <c r="J31" s="29">
        <f>J28</f>
      </c>
      <c r="K31" s="1"/>
      <c r="L31" s="1"/>
      <c r="M31" s="1"/>
    </row>
    <row x14ac:dyDescent="0.25" r="32" customHeight="1" ht="18">
      <c r="A32" s="21" t="s">
        <v>483</v>
      </c>
      <c r="B32" s="22" t="s">
        <v>484</v>
      </c>
      <c r="C32" s="21" t="s">
        <v>502</v>
      </c>
      <c r="D32" s="21"/>
      <c r="E32" s="23" t="s">
        <v>503</v>
      </c>
      <c r="F32" s="24">
        <v>8</v>
      </c>
      <c r="G32" s="25">
        <f>SUMIF($C$16:$C$501,C32,$F$16:$F$501)</f>
      </c>
      <c r="H32" s="26">
        <f>F32/3600</f>
      </c>
      <c r="I32" s="27">
        <f>IFERROR(INDEX(Lists!$C:$C,MATCH(J32,Lists!$D:$D,0)),"")</f>
      </c>
      <c r="J32" s="28" t="s">
        <v>57</v>
      </c>
      <c r="K32" s="1"/>
      <c r="L32" s="1"/>
      <c r="M32" s="1"/>
    </row>
    <row x14ac:dyDescent="0.25" r="33" customHeight="1" ht="18">
      <c r="A33" s="21" t="s">
        <v>483</v>
      </c>
      <c r="B33" s="22" t="s">
        <v>484</v>
      </c>
      <c r="C33" s="21" t="s">
        <v>502</v>
      </c>
      <c r="D33" s="21"/>
      <c r="E33" s="23" t="s">
        <v>503</v>
      </c>
      <c r="F33" s="24">
        <v>8</v>
      </c>
      <c r="G33" s="25">
        <f>SUMIF($C$16:$C$501,C33,$F$16:$F$501)</f>
      </c>
      <c r="H33" s="26">
        <f>F33/3600</f>
      </c>
      <c r="I33" s="27">
        <f>IFERROR(INDEX(Lists!$C:$C,MATCH(J33,Lists!$D:$D,0)),"")</f>
      </c>
      <c r="J33" s="29">
        <f>J32</f>
      </c>
      <c r="K33" s="1"/>
      <c r="L33" s="1"/>
      <c r="M33" s="1"/>
    </row>
    <row x14ac:dyDescent="0.25" r="34" customHeight="1" ht="18">
      <c r="A34" s="21" t="s">
        <v>483</v>
      </c>
      <c r="B34" s="22" t="s">
        <v>484</v>
      </c>
      <c r="C34" s="21" t="s">
        <v>502</v>
      </c>
      <c r="D34" s="21"/>
      <c r="E34" s="23" t="s">
        <v>504</v>
      </c>
      <c r="F34" s="24">
        <v>9</v>
      </c>
      <c r="G34" s="25">
        <f>SUMIF($C$16:$C$501,C34,$F$16:$F$501)</f>
      </c>
      <c r="H34" s="26">
        <f>F34/3600</f>
      </c>
      <c r="I34" s="27">
        <f>IFERROR(INDEX(Lists!$C:$C,MATCH(J34,Lists!$D:$D,0)),"")</f>
      </c>
      <c r="J34" s="29">
        <f>J32</f>
      </c>
      <c r="K34" s="1"/>
      <c r="L34" s="1"/>
      <c r="M34" s="1"/>
    </row>
    <row x14ac:dyDescent="0.25" r="35" customHeight="1" ht="18">
      <c r="A35" s="21" t="s">
        <v>483</v>
      </c>
      <c r="B35" s="22" t="s">
        <v>484</v>
      </c>
      <c r="C35" s="21" t="s">
        <v>502</v>
      </c>
      <c r="D35" s="21"/>
      <c r="E35" s="23" t="s">
        <v>504</v>
      </c>
      <c r="F35" s="24">
        <v>9</v>
      </c>
      <c r="G35" s="25">
        <f>SUMIF($C$16:$C$501,C35,$F$16:$F$501)</f>
      </c>
      <c r="H35" s="26">
        <f>F35/3600</f>
      </c>
      <c r="I35" s="27">
        <f>IFERROR(INDEX(Lists!$C:$C,MATCH(J35,Lists!$D:$D,0)),"")</f>
      </c>
      <c r="J35" s="29">
        <f>J32</f>
      </c>
      <c r="K35" s="1"/>
      <c r="L35" s="1"/>
      <c r="M35" s="1"/>
    </row>
    <row x14ac:dyDescent="0.25" r="36" customHeight="1" ht="18">
      <c r="A36" s="21" t="s">
        <v>483</v>
      </c>
      <c r="B36" s="22" t="s">
        <v>484</v>
      </c>
      <c r="C36" s="21" t="s">
        <v>505</v>
      </c>
      <c r="D36" s="21"/>
      <c r="E36" s="23" t="s">
        <v>506</v>
      </c>
      <c r="F36" s="24">
        <v>10</v>
      </c>
      <c r="G36" s="25">
        <f>SUMIF($C$16:$C$501,C36,$F$16:$F$501)</f>
      </c>
      <c r="H36" s="26">
        <f>F36/3600</f>
      </c>
      <c r="I36" s="27">
        <f>IFERROR(INDEX(Lists!$C:$C,MATCH(J36,Lists!$D:$D,0)),"")</f>
      </c>
      <c r="J36" s="28" t="s">
        <v>439</v>
      </c>
      <c r="K36" s="1"/>
      <c r="L36" s="1"/>
      <c r="M36" s="1"/>
    </row>
    <row x14ac:dyDescent="0.25" r="37" customHeight="1" ht="18">
      <c r="A37" s="21" t="s">
        <v>483</v>
      </c>
      <c r="B37" s="22" t="s">
        <v>484</v>
      </c>
      <c r="C37" s="21" t="s">
        <v>505</v>
      </c>
      <c r="D37" s="21"/>
      <c r="E37" s="23" t="s">
        <v>507</v>
      </c>
      <c r="F37" s="24">
        <v>7</v>
      </c>
      <c r="G37" s="25">
        <f>SUMIF($C$16:$C$501,C37,$F$16:$F$501)</f>
      </c>
      <c r="H37" s="26">
        <f>F37/3600</f>
      </c>
      <c r="I37" s="27">
        <f>IFERROR(INDEX(Lists!$C:$C,MATCH(J37,Lists!$D:$D,0)),"")</f>
      </c>
      <c r="J37" s="29">
        <f>J36</f>
      </c>
      <c r="K37" s="1"/>
      <c r="L37" s="1"/>
      <c r="M37" s="1"/>
    </row>
    <row x14ac:dyDescent="0.25" r="38" customHeight="1" ht="18">
      <c r="A38" s="21" t="s">
        <v>483</v>
      </c>
      <c r="B38" s="22" t="s">
        <v>484</v>
      </c>
      <c r="C38" s="21" t="s">
        <v>505</v>
      </c>
      <c r="D38" s="21"/>
      <c r="E38" s="23" t="s">
        <v>508</v>
      </c>
      <c r="F38" s="24">
        <v>14</v>
      </c>
      <c r="G38" s="25">
        <f>SUMIF($C$16:$C$501,C38,$F$16:$F$501)</f>
      </c>
      <c r="H38" s="26">
        <f>F38/3600</f>
      </c>
      <c r="I38" s="27">
        <f>IFERROR(INDEX(Lists!$C:$C,MATCH(J38,Lists!$D:$D,0)),"")</f>
      </c>
      <c r="J38" s="29">
        <f>J36</f>
      </c>
      <c r="K38" s="1"/>
      <c r="L38" s="1"/>
      <c r="M38" s="1"/>
    </row>
    <row x14ac:dyDescent="0.25" r="39" customHeight="1" ht="18">
      <c r="A39" s="21" t="s">
        <v>483</v>
      </c>
      <c r="B39" s="22" t="s">
        <v>484</v>
      </c>
      <c r="C39" s="21" t="s">
        <v>505</v>
      </c>
      <c r="D39" s="21"/>
      <c r="E39" s="23" t="s">
        <v>509</v>
      </c>
      <c r="F39" s="24">
        <v>10</v>
      </c>
      <c r="G39" s="25">
        <f>SUMIF($C$16:$C$501,C39,$F$16:$F$501)</f>
      </c>
      <c r="H39" s="26">
        <f>F39/3600</f>
      </c>
      <c r="I39" s="27">
        <f>IFERROR(INDEX(Lists!$C:$C,MATCH(J39,Lists!$D:$D,0)),"")</f>
      </c>
      <c r="J39" s="29">
        <f>J36</f>
      </c>
      <c r="K39" s="1"/>
      <c r="L39" s="1"/>
      <c r="M39" s="1"/>
    </row>
    <row x14ac:dyDescent="0.25" r="40" customHeight="1" ht="18">
      <c r="A40" s="21" t="s">
        <v>483</v>
      </c>
      <c r="B40" s="22" t="s">
        <v>484</v>
      </c>
      <c r="C40" s="21" t="s">
        <v>505</v>
      </c>
      <c r="D40" s="21"/>
      <c r="E40" s="23" t="s">
        <v>510</v>
      </c>
      <c r="F40" s="24">
        <v>6</v>
      </c>
      <c r="G40" s="25">
        <f>SUMIF($C$16:$C$501,C40,$F$16:$F$501)</f>
      </c>
      <c r="H40" s="26">
        <f>F40/3600</f>
      </c>
      <c r="I40" s="27">
        <f>IFERROR(INDEX(Lists!$C:$C,MATCH(J40,Lists!$D:$D,0)),"")</f>
      </c>
      <c r="J40" s="29">
        <f>J36</f>
      </c>
      <c r="K40" s="1"/>
      <c r="L40" s="1"/>
      <c r="M40" s="1"/>
    </row>
    <row x14ac:dyDescent="0.25" r="41" customHeight="1" ht="18">
      <c r="A41" s="21" t="s">
        <v>483</v>
      </c>
      <c r="B41" s="22" t="s">
        <v>484</v>
      </c>
      <c r="C41" s="21" t="s">
        <v>505</v>
      </c>
      <c r="D41" s="21"/>
      <c r="E41" s="23" t="s">
        <v>511</v>
      </c>
      <c r="F41" s="24">
        <v>6</v>
      </c>
      <c r="G41" s="25">
        <f>SUMIF($C$16:$C$501,C41,$F$16:$F$501)</f>
      </c>
      <c r="H41" s="26">
        <f>F41/3600</f>
      </c>
      <c r="I41" s="27">
        <f>IFERROR(INDEX(Lists!$C:$C,MATCH(J41,Lists!$D:$D,0)),"")</f>
      </c>
      <c r="J41" s="29">
        <f>J36</f>
      </c>
      <c r="K41" s="1"/>
      <c r="L41" s="1"/>
      <c r="M41" s="1"/>
    </row>
    <row x14ac:dyDescent="0.25" r="42" customHeight="1" ht="18">
      <c r="A42" s="21" t="s">
        <v>483</v>
      </c>
      <c r="B42" s="22" t="s">
        <v>484</v>
      </c>
      <c r="C42" s="21" t="s">
        <v>505</v>
      </c>
      <c r="D42" s="21"/>
      <c r="E42" s="23" t="s">
        <v>512</v>
      </c>
      <c r="F42" s="24">
        <v>8</v>
      </c>
      <c r="G42" s="25">
        <f>SUMIF($C$16:$C$501,C42,$F$16:$F$501)</f>
      </c>
      <c r="H42" s="26">
        <f>F42/3600</f>
      </c>
      <c r="I42" s="27">
        <f>IFERROR(INDEX(Lists!$C:$C,MATCH(J42,Lists!$D:$D,0)),"")</f>
      </c>
      <c r="J42" s="29">
        <f>J36</f>
      </c>
      <c r="K42" s="1"/>
      <c r="L42" s="1"/>
      <c r="M42" s="1"/>
    </row>
    <row x14ac:dyDescent="0.25" r="43" customHeight="1" ht="18">
      <c r="A43" s="21" t="s">
        <v>483</v>
      </c>
      <c r="B43" s="22" t="s">
        <v>484</v>
      </c>
      <c r="C43" s="21" t="s">
        <v>505</v>
      </c>
      <c r="D43" s="21"/>
      <c r="E43" s="23" t="s">
        <v>513</v>
      </c>
      <c r="F43" s="24">
        <v>8</v>
      </c>
      <c r="G43" s="25">
        <f>SUMIF($C$16:$C$501,C43,$F$16:$F$501)</f>
      </c>
      <c r="H43" s="26">
        <f>F43/3600</f>
      </c>
      <c r="I43" s="27">
        <f>IFERROR(INDEX(Lists!$C:$C,MATCH(J43,Lists!$D:$D,0)),"")</f>
      </c>
      <c r="J43" s="29">
        <f>J36</f>
      </c>
      <c r="K43" s="1"/>
      <c r="L43" s="1"/>
      <c r="M43" s="1"/>
    </row>
    <row x14ac:dyDescent="0.25" r="44" customHeight="1" ht="18">
      <c r="A44" s="21" t="s">
        <v>483</v>
      </c>
      <c r="B44" s="22" t="s">
        <v>484</v>
      </c>
      <c r="C44" s="21" t="s">
        <v>514</v>
      </c>
      <c r="D44" s="21"/>
      <c r="E44" s="23" t="s">
        <v>515</v>
      </c>
      <c r="F44" s="24">
        <v>4</v>
      </c>
      <c r="G44" s="25">
        <f>SUMIF($C$16:$C$501,C44,$F$16:$F$501)</f>
      </c>
      <c r="H44" s="26">
        <f>F44/3600</f>
      </c>
      <c r="I44" s="27">
        <f>IFERROR(INDEX(Lists!$C:$C,MATCH(J44,Lists!$D:$D,0)),"")</f>
      </c>
      <c r="J44" s="28" t="s">
        <v>408</v>
      </c>
      <c r="K44" s="1"/>
      <c r="L44" s="1"/>
      <c r="M44" s="1"/>
    </row>
    <row x14ac:dyDescent="0.25" r="45" customHeight="1" ht="18">
      <c r="A45" s="21" t="s">
        <v>483</v>
      </c>
      <c r="B45" s="22" t="s">
        <v>484</v>
      </c>
      <c r="C45" s="21" t="s">
        <v>514</v>
      </c>
      <c r="D45" s="21"/>
      <c r="E45" s="23" t="s">
        <v>516</v>
      </c>
      <c r="F45" s="24">
        <v>5</v>
      </c>
      <c r="G45" s="25">
        <f>SUMIF($C$16:$C$501,C45,$F$16:$F$501)</f>
      </c>
      <c r="H45" s="26">
        <f>F45/3600</f>
      </c>
      <c r="I45" s="27">
        <f>IFERROR(INDEX(Lists!$C:$C,MATCH(J45,Lists!$D:$D,0)),"")</f>
      </c>
      <c r="J45" s="29">
        <f>J44</f>
      </c>
      <c r="K45" s="1"/>
      <c r="L45" s="1"/>
      <c r="M45" s="1"/>
    </row>
    <row x14ac:dyDescent="0.25" r="46" customHeight="1" ht="18">
      <c r="A46" s="21" t="s">
        <v>483</v>
      </c>
      <c r="B46" s="22" t="s">
        <v>484</v>
      </c>
      <c r="C46" s="21" t="s">
        <v>514</v>
      </c>
      <c r="D46" s="21"/>
      <c r="E46" s="23" t="s">
        <v>517</v>
      </c>
      <c r="F46" s="24">
        <v>10</v>
      </c>
      <c r="G46" s="25">
        <f>SUMIF($C$16:$C$501,C46,$F$16:$F$501)</f>
      </c>
      <c r="H46" s="26">
        <f>F46/3600</f>
      </c>
      <c r="I46" s="27">
        <f>IFERROR(INDEX(Lists!$C:$C,MATCH(J46,Lists!$D:$D,0)),"")</f>
      </c>
      <c r="J46" s="29">
        <f>J44</f>
      </c>
      <c r="K46" s="1"/>
      <c r="L46" s="1"/>
      <c r="M46" s="1"/>
    </row>
    <row x14ac:dyDescent="0.25" r="47" customHeight="1" ht="18">
      <c r="A47" s="21" t="s">
        <v>483</v>
      </c>
      <c r="B47" s="22" t="s">
        <v>484</v>
      </c>
      <c r="C47" s="21" t="s">
        <v>514</v>
      </c>
      <c r="D47" s="21"/>
      <c r="E47" s="23" t="s">
        <v>518</v>
      </c>
      <c r="F47" s="24">
        <v>10</v>
      </c>
      <c r="G47" s="25">
        <f>SUMIF($C$16:$C$501,C47,$F$16:$F$501)</f>
      </c>
      <c r="H47" s="26">
        <f>F47/3600</f>
      </c>
      <c r="I47" s="27">
        <f>IFERROR(INDEX(Lists!$C:$C,MATCH(J47,Lists!$D:$D,0)),"")</f>
      </c>
      <c r="J47" s="29">
        <f>J44</f>
      </c>
      <c r="K47" s="1"/>
      <c r="L47" s="1"/>
      <c r="M47" s="1"/>
    </row>
    <row x14ac:dyDescent="0.25" r="48" customHeight="1" ht="18">
      <c r="A48" s="21" t="s">
        <v>483</v>
      </c>
      <c r="B48" s="22" t="s">
        <v>484</v>
      </c>
      <c r="C48" s="21" t="s">
        <v>514</v>
      </c>
      <c r="D48" s="21"/>
      <c r="E48" s="23" t="s">
        <v>519</v>
      </c>
      <c r="F48" s="24">
        <v>10</v>
      </c>
      <c r="G48" s="25">
        <f>SUMIF($C$16:$C$501,C48,$F$16:$F$501)</f>
      </c>
      <c r="H48" s="26">
        <f>F48/3600</f>
      </c>
      <c r="I48" s="27">
        <f>IFERROR(INDEX(Lists!$C:$C,MATCH(J48,Lists!$D:$D,0)),"")</f>
      </c>
      <c r="J48" s="29">
        <f>J44</f>
      </c>
      <c r="K48" s="1"/>
      <c r="L48" s="1"/>
      <c r="M48" s="1"/>
    </row>
    <row x14ac:dyDescent="0.25" r="49" customHeight="1" ht="18">
      <c r="A49" s="21" t="s">
        <v>483</v>
      </c>
      <c r="B49" s="22" t="s">
        <v>484</v>
      </c>
      <c r="C49" s="21" t="s">
        <v>514</v>
      </c>
      <c r="D49" s="21"/>
      <c r="E49" s="23" t="s">
        <v>518</v>
      </c>
      <c r="F49" s="24">
        <v>8</v>
      </c>
      <c r="G49" s="25">
        <f>SUMIF($C$16:$C$501,C49,$F$16:$F$501)</f>
      </c>
      <c r="H49" s="26">
        <f>F49/3600</f>
      </c>
      <c r="I49" s="27">
        <f>IFERROR(INDEX(Lists!$C:$C,MATCH(J49,Lists!$D:$D,0)),"")</f>
      </c>
      <c r="J49" s="29">
        <f>J44</f>
      </c>
      <c r="K49" s="1"/>
      <c r="L49" s="1"/>
      <c r="M49" s="1"/>
    </row>
    <row x14ac:dyDescent="0.25" r="50" customHeight="1" ht="18">
      <c r="A50" s="21" t="s">
        <v>483</v>
      </c>
      <c r="B50" s="22" t="s">
        <v>484</v>
      </c>
      <c r="C50" s="21" t="s">
        <v>514</v>
      </c>
      <c r="D50" s="21"/>
      <c r="E50" s="23" t="s">
        <v>520</v>
      </c>
      <c r="F50" s="24">
        <v>8</v>
      </c>
      <c r="G50" s="25">
        <f>SUMIF($C$16:$C$501,C50,$F$16:$F$501)</f>
      </c>
      <c r="H50" s="26">
        <f>F50/3600</f>
      </c>
      <c r="I50" s="27">
        <f>IFERROR(INDEX(Lists!$C:$C,MATCH(J50,Lists!$D:$D,0)),"")</f>
      </c>
      <c r="J50" s="29">
        <f>J44</f>
      </c>
      <c r="K50" s="1"/>
      <c r="L50" s="1"/>
      <c r="M50" s="1"/>
    </row>
    <row x14ac:dyDescent="0.25" r="51" customHeight="1" ht="18">
      <c r="A51" s="21" t="s">
        <v>483</v>
      </c>
      <c r="B51" s="22" t="s">
        <v>484</v>
      </c>
      <c r="C51" s="21" t="s">
        <v>514</v>
      </c>
      <c r="D51" s="21"/>
      <c r="E51" s="23" t="s">
        <v>521</v>
      </c>
      <c r="F51" s="24">
        <v>10</v>
      </c>
      <c r="G51" s="25">
        <f>SUMIF($C$16:$C$501,C51,$F$16:$F$501)</f>
      </c>
      <c r="H51" s="26">
        <f>F51/3600</f>
      </c>
      <c r="I51" s="27">
        <f>IFERROR(INDEX(Lists!$C:$C,MATCH(J51,Lists!$D:$D,0)),"")</f>
      </c>
      <c r="J51" s="29">
        <f>J44</f>
      </c>
      <c r="K51" s="1"/>
      <c r="L51" s="1"/>
      <c r="M51" s="1"/>
    </row>
    <row x14ac:dyDescent="0.25" r="52" customHeight="1" ht="18">
      <c r="A52" s="21" t="s">
        <v>483</v>
      </c>
      <c r="B52" s="22" t="s">
        <v>484</v>
      </c>
      <c r="C52" s="21" t="s">
        <v>522</v>
      </c>
      <c r="D52" s="21"/>
      <c r="E52" s="23" t="s">
        <v>523</v>
      </c>
      <c r="F52" s="24">
        <v>14</v>
      </c>
      <c r="G52" s="25">
        <f>SUMIF($C$16:$C$501,C52,$F$16:$F$501)</f>
      </c>
      <c r="H52" s="26">
        <f>F52/3600</f>
      </c>
      <c r="I52" s="27">
        <f>IFERROR(INDEX(Lists!$C:$C,MATCH(J52,Lists!$D:$D,0)),"")</f>
      </c>
      <c r="J52" s="28" t="s">
        <v>162</v>
      </c>
      <c r="K52" s="1"/>
      <c r="L52" s="1"/>
      <c r="M52" s="1"/>
    </row>
    <row x14ac:dyDescent="0.25" r="53" customHeight="1" ht="18">
      <c r="A53" s="21" t="s">
        <v>483</v>
      </c>
      <c r="B53" s="22" t="s">
        <v>484</v>
      </c>
      <c r="C53" s="21" t="s">
        <v>522</v>
      </c>
      <c r="D53" s="21"/>
      <c r="E53" s="23" t="s">
        <v>524</v>
      </c>
      <c r="F53" s="24">
        <v>16</v>
      </c>
      <c r="G53" s="25">
        <f>SUMIF($C$16:$C$501,C53,$F$16:$F$501)</f>
      </c>
      <c r="H53" s="26">
        <f>F53/3600</f>
      </c>
      <c r="I53" s="27">
        <f>IFERROR(INDEX(Lists!$C:$C,MATCH(J53,Lists!$D:$D,0)),"")</f>
      </c>
      <c r="J53" s="29">
        <f>J52</f>
      </c>
      <c r="K53" s="1"/>
      <c r="L53" s="1"/>
      <c r="M53" s="1"/>
    </row>
    <row x14ac:dyDescent="0.25" r="54" customHeight="1" ht="18">
      <c r="A54" s="21" t="s">
        <v>483</v>
      </c>
      <c r="B54" s="22" t="s">
        <v>484</v>
      </c>
      <c r="C54" s="21" t="s">
        <v>522</v>
      </c>
      <c r="D54" s="21"/>
      <c r="E54" s="23" t="s">
        <v>525</v>
      </c>
      <c r="F54" s="24">
        <v>18</v>
      </c>
      <c r="G54" s="25">
        <f>SUMIF($C$16:$C$501,C54,$F$16:$F$501)</f>
      </c>
      <c r="H54" s="26">
        <f>F54/3600</f>
      </c>
      <c r="I54" s="27">
        <f>IFERROR(INDEX(Lists!$C:$C,MATCH(J54,Lists!$D:$D,0)),"")</f>
      </c>
      <c r="J54" s="29">
        <f>J52</f>
      </c>
      <c r="K54" s="1"/>
      <c r="L54" s="1"/>
      <c r="M54" s="1"/>
    </row>
    <row x14ac:dyDescent="0.25" r="55" customHeight="1" ht="18">
      <c r="A55" s="21" t="s">
        <v>483</v>
      </c>
      <c r="B55" s="22" t="s">
        <v>484</v>
      </c>
      <c r="C55" s="21" t="s">
        <v>522</v>
      </c>
      <c r="D55" s="21"/>
      <c r="E55" s="23" t="s">
        <v>526</v>
      </c>
      <c r="F55" s="24">
        <v>7</v>
      </c>
      <c r="G55" s="25">
        <f>SUMIF($C$16:$C$501,C55,$F$16:$F$501)</f>
      </c>
      <c r="H55" s="26">
        <f>F55/3600</f>
      </c>
      <c r="I55" s="27">
        <f>IFERROR(INDEX(Lists!$C:$C,MATCH(J55,Lists!$D:$D,0)),"")</f>
      </c>
      <c r="J55" s="29">
        <f>J52</f>
      </c>
      <c r="K55" s="1"/>
      <c r="L55" s="1"/>
      <c r="M55" s="1"/>
    </row>
    <row x14ac:dyDescent="0.25" r="56" customHeight="1" ht="18">
      <c r="A56" s="21" t="s">
        <v>527</v>
      </c>
      <c r="B56" s="22" t="s">
        <v>528</v>
      </c>
      <c r="C56" s="21" t="s">
        <v>529</v>
      </c>
      <c r="D56" s="21"/>
      <c r="E56" s="23" t="s">
        <v>530</v>
      </c>
      <c r="F56" s="24">
        <v>24</v>
      </c>
      <c r="G56" s="25">
        <f>SUMIF($C$16:$C$501,C56,$F$16:$F$501)</f>
      </c>
      <c r="H56" s="26">
        <f>F56/3600</f>
      </c>
      <c r="I56" s="27">
        <f>IFERROR(INDEX(Lists!$C:$C,MATCH(J56,Lists!$D:$D,0)),"")</f>
      </c>
      <c r="J56" s="28" t="s">
        <v>172</v>
      </c>
      <c r="K56" s="1"/>
      <c r="L56" s="1"/>
      <c r="M56" s="1"/>
    </row>
    <row x14ac:dyDescent="0.25" r="57" customHeight="1" ht="18">
      <c r="A57" s="21" t="s">
        <v>527</v>
      </c>
      <c r="B57" s="22" t="s">
        <v>528</v>
      </c>
      <c r="C57" s="21" t="s">
        <v>529</v>
      </c>
      <c r="D57" s="21"/>
      <c r="E57" s="23" t="s">
        <v>531</v>
      </c>
      <c r="F57" s="24">
        <v>20</v>
      </c>
      <c r="G57" s="25">
        <f>SUMIF($C$16:$C$501,C57,$F$16:$F$501)</f>
      </c>
      <c r="H57" s="26">
        <f>F57/3600</f>
      </c>
      <c r="I57" s="27">
        <f>IFERROR(INDEX(Lists!$C:$C,MATCH(J57,Lists!$D:$D,0)),"")</f>
      </c>
      <c r="J57" s="29">
        <f>J56</f>
      </c>
      <c r="K57" s="1"/>
      <c r="L57" s="1"/>
      <c r="M57" s="1"/>
    </row>
    <row x14ac:dyDescent="0.25" r="58" customHeight="1" ht="18">
      <c r="A58" s="21" t="s">
        <v>527</v>
      </c>
      <c r="B58" s="22" t="s">
        <v>528</v>
      </c>
      <c r="C58" s="21" t="s">
        <v>529</v>
      </c>
      <c r="D58" s="21"/>
      <c r="E58" s="23" t="s">
        <v>532</v>
      </c>
      <c r="F58" s="24">
        <v>12</v>
      </c>
      <c r="G58" s="25">
        <f>SUMIF($C$16:$C$501,C58,$F$16:$F$501)</f>
      </c>
      <c r="H58" s="26">
        <f>F58/3600</f>
      </c>
      <c r="I58" s="27">
        <f>IFERROR(INDEX(Lists!$C:$C,MATCH(J58,Lists!$D:$D,0)),"")</f>
      </c>
      <c r="J58" s="29">
        <f>J56</f>
      </c>
      <c r="K58" s="1"/>
      <c r="L58" s="1"/>
      <c r="M58" s="1"/>
    </row>
    <row x14ac:dyDescent="0.25" r="59" customHeight="1" ht="18">
      <c r="A59" s="21" t="s">
        <v>527</v>
      </c>
      <c r="B59" s="22" t="s">
        <v>528</v>
      </c>
      <c r="C59" s="21" t="s">
        <v>533</v>
      </c>
      <c r="D59" s="21"/>
      <c r="E59" s="23" t="s">
        <v>534</v>
      </c>
      <c r="F59" s="24">
        <v>12</v>
      </c>
      <c r="G59" s="25">
        <f>SUMIF($C$16:$C$501,C59,$F$16:$F$501)</f>
      </c>
      <c r="H59" s="26">
        <f>F59/3600</f>
      </c>
      <c r="I59" s="27">
        <f>IFERROR(INDEX(Lists!$C:$C,MATCH(J59,Lists!$D:$D,0)),"")</f>
      </c>
      <c r="J59" s="28" t="s">
        <v>139</v>
      </c>
      <c r="K59" s="1"/>
      <c r="L59" s="1"/>
      <c r="M59" s="1"/>
    </row>
    <row x14ac:dyDescent="0.25" r="60" customHeight="1" ht="18">
      <c r="A60" s="21" t="s">
        <v>527</v>
      </c>
      <c r="B60" s="22" t="s">
        <v>528</v>
      </c>
      <c r="C60" s="21" t="s">
        <v>533</v>
      </c>
      <c r="D60" s="21"/>
      <c r="E60" s="23" t="s">
        <v>535</v>
      </c>
      <c r="F60" s="24">
        <v>28</v>
      </c>
      <c r="G60" s="25">
        <f>SUMIF($C$16:$C$501,C60,$F$16:$F$501)</f>
      </c>
      <c r="H60" s="26">
        <f>F60/3600</f>
      </c>
      <c r="I60" s="27">
        <f>IFERROR(INDEX(Lists!$C:$C,MATCH(J60,Lists!$D:$D,0)),"")</f>
      </c>
      <c r="J60" s="29">
        <f>J59</f>
      </c>
      <c r="K60" s="1"/>
      <c r="L60" s="1"/>
      <c r="M60" s="1"/>
    </row>
    <row x14ac:dyDescent="0.25" r="61" customHeight="1" ht="18">
      <c r="A61" s="21" t="s">
        <v>483</v>
      </c>
      <c r="B61" s="22" t="s">
        <v>528</v>
      </c>
      <c r="C61" s="21" t="s">
        <v>536</v>
      </c>
      <c r="D61" s="21"/>
      <c r="E61" s="23" t="s">
        <v>537</v>
      </c>
      <c r="F61" s="24">
        <v>7</v>
      </c>
      <c r="G61" s="25">
        <f>SUMIF($C$16:$C$501,C61,$F$16:$F$501)</f>
      </c>
      <c r="H61" s="26">
        <f>F61/3600</f>
      </c>
      <c r="I61" s="27">
        <f>IFERROR(INDEX(Lists!$C:$C,MATCH(J61,Lists!$D:$D,0)),"")</f>
      </c>
      <c r="J61" s="28" t="s">
        <v>49</v>
      </c>
      <c r="K61" s="1"/>
      <c r="L61" s="1"/>
      <c r="M61" s="1"/>
    </row>
    <row x14ac:dyDescent="0.25" r="62" customHeight="1" ht="18">
      <c r="A62" s="21" t="s">
        <v>483</v>
      </c>
      <c r="B62" s="22" t="s">
        <v>528</v>
      </c>
      <c r="C62" s="21" t="s">
        <v>536</v>
      </c>
      <c r="D62" s="21"/>
      <c r="E62" s="23" t="s">
        <v>537</v>
      </c>
      <c r="F62" s="24">
        <v>7</v>
      </c>
      <c r="G62" s="25">
        <f>SUMIF($C$16:$C$501,C62,$F$16:$F$501)</f>
      </c>
      <c r="H62" s="26">
        <f>F62/3600</f>
      </c>
      <c r="I62" s="27">
        <f>IFERROR(INDEX(Lists!$C:$C,MATCH(J62,Lists!$D:$D,0)),"")</f>
      </c>
      <c r="J62" s="29">
        <f>J61</f>
      </c>
      <c r="K62" s="1"/>
      <c r="L62" s="1"/>
      <c r="M62" s="1"/>
    </row>
    <row x14ac:dyDescent="0.25" r="63" customHeight="1" ht="18">
      <c r="A63" s="21" t="s">
        <v>483</v>
      </c>
      <c r="B63" s="22" t="s">
        <v>528</v>
      </c>
      <c r="C63" s="21" t="s">
        <v>536</v>
      </c>
      <c r="D63" s="21"/>
      <c r="E63" s="23" t="s">
        <v>537</v>
      </c>
      <c r="F63" s="24">
        <v>8</v>
      </c>
      <c r="G63" s="25">
        <f>SUMIF($C$16:$C$501,C63,$F$16:$F$501)</f>
      </c>
      <c r="H63" s="26">
        <f>F63/3600</f>
      </c>
      <c r="I63" s="27">
        <f>IFERROR(INDEX(Lists!$C:$C,MATCH(J63,Lists!$D:$D,0)),"")</f>
      </c>
      <c r="J63" s="29">
        <f>J61</f>
      </c>
      <c r="K63" s="1"/>
      <c r="L63" s="1"/>
      <c r="M63" s="1"/>
    </row>
    <row x14ac:dyDescent="0.25" r="64" customHeight="1" ht="18">
      <c r="A64" s="21" t="s">
        <v>483</v>
      </c>
      <c r="B64" s="22" t="s">
        <v>528</v>
      </c>
      <c r="C64" s="21" t="s">
        <v>536</v>
      </c>
      <c r="D64" s="21"/>
      <c r="E64" s="23" t="s">
        <v>537</v>
      </c>
      <c r="F64" s="24">
        <v>8</v>
      </c>
      <c r="G64" s="25">
        <f>SUMIF($C$16:$C$501,C64,$F$16:$F$501)</f>
      </c>
      <c r="H64" s="26">
        <f>F64/3600</f>
      </c>
      <c r="I64" s="27">
        <f>IFERROR(INDEX(Lists!$C:$C,MATCH(J64,Lists!$D:$D,0)),"")</f>
      </c>
      <c r="J64" s="29">
        <f>J61</f>
      </c>
      <c r="K64" s="1"/>
      <c r="L64" s="1"/>
      <c r="M64" s="1"/>
    </row>
    <row x14ac:dyDescent="0.25" r="65" customHeight="1" ht="18">
      <c r="A65" s="21" t="s">
        <v>483</v>
      </c>
      <c r="B65" s="22" t="s">
        <v>528</v>
      </c>
      <c r="C65" s="21" t="s">
        <v>536</v>
      </c>
      <c r="D65" s="21"/>
      <c r="E65" s="23" t="s">
        <v>538</v>
      </c>
      <c r="F65" s="24">
        <v>8</v>
      </c>
      <c r="G65" s="25">
        <f>SUMIF($C$16:$C$501,C65,$F$16:$F$501)</f>
      </c>
      <c r="H65" s="26">
        <f>F65/3600</f>
      </c>
      <c r="I65" s="27">
        <f>IFERROR(INDEX(Lists!$C:$C,MATCH(J65,Lists!$D:$D,0)),"")</f>
      </c>
      <c r="J65" s="29">
        <f>J61</f>
      </c>
      <c r="K65" s="1"/>
      <c r="L65" s="1"/>
      <c r="M65" s="1"/>
    </row>
    <row x14ac:dyDescent="0.25" r="66" customHeight="1" ht="18">
      <c r="A66" s="21" t="s">
        <v>483</v>
      </c>
      <c r="B66" s="22" t="s">
        <v>528</v>
      </c>
      <c r="C66" s="21" t="s">
        <v>536</v>
      </c>
      <c r="D66" s="21"/>
      <c r="E66" s="23" t="s">
        <v>537</v>
      </c>
      <c r="F66" s="24">
        <v>6</v>
      </c>
      <c r="G66" s="25">
        <f>SUMIF($C$16:$C$501,C66,$F$16:$F$501)</f>
      </c>
      <c r="H66" s="26">
        <f>F66/3600</f>
      </c>
      <c r="I66" s="27">
        <f>IFERROR(INDEX(Lists!$C:$C,MATCH(J66,Lists!$D:$D,0)),"")</f>
      </c>
      <c r="J66" s="29">
        <f>J61</f>
      </c>
      <c r="K66" s="1"/>
      <c r="L66" s="1"/>
      <c r="M66" s="1"/>
    </row>
    <row x14ac:dyDescent="0.25" r="67" customHeight="1" ht="18">
      <c r="A67" s="21" t="s">
        <v>527</v>
      </c>
      <c r="B67" s="22" t="s">
        <v>528</v>
      </c>
      <c r="C67" s="21" t="s">
        <v>539</v>
      </c>
      <c r="D67" s="21"/>
      <c r="E67" s="23" t="s">
        <v>540</v>
      </c>
      <c r="F67" s="24">
        <v>8</v>
      </c>
      <c r="G67" s="25">
        <f>SUMIF($C$16:$C$501,C67,$F$16:$F$501)</f>
      </c>
      <c r="H67" s="26">
        <f>F67/3600</f>
      </c>
      <c r="I67" s="27">
        <f>IFERROR(INDEX(Lists!$C:$C,MATCH(J67,Lists!$D:$D,0)),"")</f>
      </c>
      <c r="J67" s="28" t="s">
        <v>131</v>
      </c>
      <c r="K67" s="1"/>
      <c r="L67" s="1"/>
      <c r="M67" s="1"/>
    </row>
    <row x14ac:dyDescent="0.25" r="68" customHeight="1" ht="18">
      <c r="A68" s="21" t="s">
        <v>527</v>
      </c>
      <c r="B68" s="22" t="s">
        <v>528</v>
      </c>
      <c r="C68" s="21" t="s">
        <v>539</v>
      </c>
      <c r="D68" s="21"/>
      <c r="E68" s="23" t="s">
        <v>486</v>
      </c>
      <c r="F68" s="24">
        <v>11</v>
      </c>
      <c r="G68" s="25">
        <f>SUMIF($C$16:$C$501,C68,$F$16:$F$501)</f>
      </c>
      <c r="H68" s="26">
        <f>F68/3600</f>
      </c>
      <c r="I68" s="27">
        <f>IFERROR(INDEX(Lists!$C:$C,MATCH(J68,Lists!$D:$D,0)),"")</f>
      </c>
      <c r="J68" s="29">
        <f>J67</f>
      </c>
      <c r="K68" s="1"/>
      <c r="L68" s="1"/>
      <c r="M68" s="1"/>
    </row>
    <row x14ac:dyDescent="0.25" r="69" customHeight="1" ht="18">
      <c r="A69" s="21" t="s">
        <v>527</v>
      </c>
      <c r="B69" s="22" t="s">
        <v>528</v>
      </c>
      <c r="C69" s="21" t="s">
        <v>539</v>
      </c>
      <c r="D69" s="21"/>
      <c r="E69" s="23" t="s">
        <v>541</v>
      </c>
      <c r="F69" s="24">
        <v>14</v>
      </c>
      <c r="G69" s="25">
        <f>SUMIF($C$16:$C$501,C69,$F$16:$F$501)</f>
      </c>
      <c r="H69" s="26">
        <f>F69/3600</f>
      </c>
      <c r="I69" s="27">
        <f>IFERROR(INDEX(Lists!$C:$C,MATCH(J69,Lists!$D:$D,0)),"")</f>
      </c>
      <c r="J69" s="29">
        <f>J67</f>
      </c>
      <c r="K69" s="1"/>
      <c r="L69" s="1"/>
      <c r="M69" s="1"/>
    </row>
    <row x14ac:dyDescent="0.25" r="70" customHeight="1" ht="18">
      <c r="A70" s="21" t="s">
        <v>527</v>
      </c>
      <c r="B70" s="22" t="s">
        <v>528</v>
      </c>
      <c r="C70" s="21" t="s">
        <v>539</v>
      </c>
      <c r="D70" s="21"/>
      <c r="E70" s="23" t="s">
        <v>541</v>
      </c>
      <c r="F70" s="24">
        <v>14</v>
      </c>
      <c r="G70" s="25">
        <f>SUMIF($C$16:$C$501,C70,$F$16:$F$501)</f>
      </c>
      <c r="H70" s="26">
        <f>F70/3600</f>
      </c>
      <c r="I70" s="27">
        <f>IFERROR(INDEX(Lists!$C:$C,MATCH(J70,Lists!$D:$D,0)),"")</f>
      </c>
      <c r="J70" s="29">
        <f>J67</f>
      </c>
      <c r="K70" s="1"/>
      <c r="L70" s="1"/>
      <c r="M70" s="1"/>
    </row>
    <row x14ac:dyDescent="0.25" r="71" customHeight="1" ht="18">
      <c r="A71" s="21" t="s">
        <v>527</v>
      </c>
      <c r="B71" s="22" t="s">
        <v>528</v>
      </c>
      <c r="C71" s="21" t="s">
        <v>539</v>
      </c>
      <c r="D71" s="21"/>
      <c r="E71" s="23" t="s">
        <v>542</v>
      </c>
      <c r="F71" s="24">
        <v>14</v>
      </c>
      <c r="G71" s="25">
        <f>SUMIF($C$16:$C$501,C71,$F$16:$F$501)</f>
      </c>
      <c r="H71" s="26">
        <f>F71/3600</f>
      </c>
      <c r="I71" s="27">
        <f>IFERROR(INDEX(Lists!$C:$C,MATCH(J71,Lists!$D:$D,0)),"")</f>
      </c>
      <c r="J71" s="29">
        <f>J67</f>
      </c>
      <c r="K71" s="1"/>
      <c r="L71" s="1"/>
      <c r="M71" s="1"/>
    </row>
    <row x14ac:dyDescent="0.25" r="72" customHeight="1" ht="18">
      <c r="A72" s="21" t="s">
        <v>483</v>
      </c>
      <c r="B72" s="22" t="s">
        <v>528</v>
      </c>
      <c r="C72" s="21" t="s">
        <v>543</v>
      </c>
      <c r="D72" s="21"/>
      <c r="E72" s="23" t="s">
        <v>544</v>
      </c>
      <c r="F72" s="24">
        <v>10</v>
      </c>
      <c r="G72" s="25">
        <f>SUMIF($C$16:$C$501,C72,$F$16:$F$501)</f>
      </c>
      <c r="H72" s="26">
        <f>F72/3600</f>
      </c>
      <c r="I72" s="27">
        <f>IFERROR(INDEX(Lists!$C:$C,MATCH(J72,Lists!$D:$D,0)),"")</f>
      </c>
      <c r="J72" s="28" t="s">
        <v>267</v>
      </c>
      <c r="K72" s="1"/>
      <c r="L72" s="1"/>
      <c r="M72" s="1"/>
    </row>
    <row x14ac:dyDescent="0.25" r="73" customHeight="1" ht="18">
      <c r="A73" s="21" t="s">
        <v>483</v>
      </c>
      <c r="B73" s="22" t="s">
        <v>528</v>
      </c>
      <c r="C73" s="21" t="s">
        <v>545</v>
      </c>
      <c r="D73" s="21"/>
      <c r="E73" s="23" t="s">
        <v>544</v>
      </c>
      <c r="F73" s="24">
        <v>10</v>
      </c>
      <c r="G73" s="25">
        <f>SUMIF($C$16:$C$501,C73,$F$16:$F$501)</f>
      </c>
      <c r="H73" s="26">
        <f>F73/3600</f>
      </c>
      <c r="I73" s="27">
        <f>IFERROR(INDEX(Lists!$C:$C,MATCH(J73,Lists!$D:$D,0)),"")</f>
      </c>
      <c r="J73" s="28" t="s">
        <v>335</v>
      </c>
      <c r="K73" s="1"/>
      <c r="L73" s="1"/>
      <c r="M73" s="1"/>
    </row>
    <row x14ac:dyDescent="0.25" r="74" customHeight="1" ht="18">
      <c r="A74" s="21" t="s">
        <v>483</v>
      </c>
      <c r="B74" s="22" t="s">
        <v>528</v>
      </c>
      <c r="C74" s="21" t="s">
        <v>543</v>
      </c>
      <c r="D74" s="21"/>
      <c r="E74" s="23" t="s">
        <v>546</v>
      </c>
      <c r="F74" s="24">
        <v>10</v>
      </c>
      <c r="G74" s="25">
        <f>SUMIF($C$16:$C$501,C74,$F$16:$F$501)</f>
      </c>
      <c r="H74" s="26">
        <f>F74/3600</f>
      </c>
      <c r="I74" s="27">
        <f>IFERROR(INDEX(Lists!$C:$C,MATCH(J74,Lists!$D:$D,0)),"")</f>
      </c>
      <c r="J74" s="29">
        <f>J72</f>
      </c>
      <c r="K74" s="1"/>
      <c r="L74" s="1"/>
      <c r="M74" s="1"/>
    </row>
    <row x14ac:dyDescent="0.25" r="75" customHeight="1" ht="18">
      <c r="A75" s="21" t="s">
        <v>483</v>
      </c>
      <c r="B75" s="22" t="s">
        <v>528</v>
      </c>
      <c r="C75" s="21" t="s">
        <v>545</v>
      </c>
      <c r="D75" s="21"/>
      <c r="E75" s="23" t="s">
        <v>546</v>
      </c>
      <c r="F75" s="24">
        <v>10</v>
      </c>
      <c r="G75" s="25">
        <f>SUMIF($C$16:$C$501,C75,$F$16:$F$501)</f>
      </c>
      <c r="H75" s="26">
        <f>F75/3600</f>
      </c>
      <c r="I75" s="27">
        <f>IFERROR(INDEX(Lists!$C:$C,MATCH(J75,Lists!$D:$D,0)),"")</f>
      </c>
      <c r="J75" s="29">
        <f>J73</f>
      </c>
      <c r="K75" s="1"/>
      <c r="L75" s="1"/>
      <c r="M75" s="1"/>
    </row>
    <row x14ac:dyDescent="0.25" r="76" customHeight="1" ht="18">
      <c r="A76" s="21" t="s">
        <v>483</v>
      </c>
      <c r="B76" s="22" t="s">
        <v>528</v>
      </c>
      <c r="C76" s="21" t="s">
        <v>543</v>
      </c>
      <c r="D76" s="21"/>
      <c r="E76" s="23" t="s">
        <v>547</v>
      </c>
      <c r="F76" s="24">
        <v>10</v>
      </c>
      <c r="G76" s="25">
        <f>SUMIF($C$16:$C$501,C76,$F$16:$F$501)</f>
      </c>
      <c r="H76" s="26">
        <f>F76/3600</f>
      </c>
      <c r="I76" s="27">
        <f>IFERROR(INDEX(Lists!$C:$C,MATCH(J76,Lists!$D:$D,0)),"")</f>
      </c>
      <c r="J76" s="29">
        <f>J72</f>
      </c>
      <c r="K76" s="1"/>
      <c r="L76" s="1"/>
      <c r="M76" s="1"/>
    </row>
    <row x14ac:dyDescent="0.25" r="77" customHeight="1" ht="18">
      <c r="A77" s="21" t="s">
        <v>483</v>
      </c>
      <c r="B77" s="22" t="s">
        <v>528</v>
      </c>
      <c r="C77" s="21" t="s">
        <v>545</v>
      </c>
      <c r="D77" s="21"/>
      <c r="E77" s="23" t="s">
        <v>547</v>
      </c>
      <c r="F77" s="24">
        <v>10</v>
      </c>
      <c r="G77" s="25">
        <f>SUMIF($C$16:$C$501,C77,$F$16:$F$501)</f>
      </c>
      <c r="H77" s="26">
        <f>F77/3600</f>
      </c>
      <c r="I77" s="27">
        <f>IFERROR(INDEX(Lists!$C:$C,MATCH(J77,Lists!$D:$D,0)),"")</f>
      </c>
      <c r="J77" s="29">
        <f>J73</f>
      </c>
      <c r="K77" s="1"/>
      <c r="L77" s="1"/>
      <c r="M77" s="1"/>
    </row>
    <row x14ac:dyDescent="0.25" r="78" customHeight="1" ht="18">
      <c r="A78" s="21" t="s">
        <v>483</v>
      </c>
      <c r="B78" s="22" t="s">
        <v>528</v>
      </c>
      <c r="C78" s="21" t="s">
        <v>543</v>
      </c>
      <c r="D78" s="21"/>
      <c r="E78" s="23" t="s">
        <v>548</v>
      </c>
      <c r="F78" s="24">
        <v>4</v>
      </c>
      <c r="G78" s="25">
        <f>SUMIF($C$16:$C$501,C78,$F$16:$F$501)</f>
      </c>
      <c r="H78" s="26">
        <f>F78/3600</f>
      </c>
      <c r="I78" s="27">
        <f>IFERROR(INDEX(Lists!$C:$C,MATCH(J78,Lists!$D:$D,0)),"")</f>
      </c>
      <c r="J78" s="29">
        <f>J72</f>
      </c>
      <c r="K78" s="1"/>
      <c r="L78" s="1"/>
      <c r="M78" s="1"/>
    </row>
    <row x14ac:dyDescent="0.25" r="79" customHeight="1" ht="18">
      <c r="A79" s="21" t="s">
        <v>483</v>
      </c>
      <c r="B79" s="22" t="s">
        <v>528</v>
      </c>
      <c r="C79" s="21" t="s">
        <v>545</v>
      </c>
      <c r="D79" s="21"/>
      <c r="E79" s="23" t="s">
        <v>548</v>
      </c>
      <c r="F79" s="24">
        <v>4</v>
      </c>
      <c r="G79" s="25">
        <f>SUMIF($C$16:$C$501,C79,$F$16:$F$501)</f>
      </c>
      <c r="H79" s="26">
        <f>F79/3600</f>
      </c>
      <c r="I79" s="27">
        <f>IFERROR(INDEX(Lists!$C:$C,MATCH(J79,Lists!$D:$D,0)),"")</f>
      </c>
      <c r="J79" s="29">
        <f>J73</f>
      </c>
      <c r="K79" s="1"/>
      <c r="L79" s="1"/>
      <c r="M79" s="1"/>
    </row>
    <row x14ac:dyDescent="0.25" r="80" customHeight="1" ht="18">
      <c r="A80" s="21" t="s">
        <v>483</v>
      </c>
      <c r="B80" s="22" t="s">
        <v>528</v>
      </c>
      <c r="C80" s="21" t="s">
        <v>543</v>
      </c>
      <c r="D80" s="21"/>
      <c r="E80" s="23" t="s">
        <v>542</v>
      </c>
      <c r="F80" s="24">
        <v>10</v>
      </c>
      <c r="G80" s="25">
        <f>SUMIF($C$16:$C$501,C80,$F$16:$F$501)</f>
      </c>
      <c r="H80" s="26">
        <f>F80/3600</f>
      </c>
      <c r="I80" s="27">
        <f>IFERROR(INDEX(Lists!$C:$C,MATCH(J80,Lists!$D:$D,0)),"")</f>
      </c>
      <c r="J80" s="29">
        <f>J72</f>
      </c>
      <c r="K80" s="1"/>
      <c r="L80" s="1"/>
      <c r="M80" s="1"/>
    </row>
    <row x14ac:dyDescent="0.25" r="81" customHeight="1" ht="18">
      <c r="A81" s="21" t="s">
        <v>483</v>
      </c>
      <c r="B81" s="22" t="s">
        <v>528</v>
      </c>
      <c r="C81" s="21" t="s">
        <v>545</v>
      </c>
      <c r="D81" s="21"/>
      <c r="E81" s="23" t="s">
        <v>542</v>
      </c>
      <c r="F81" s="24">
        <v>10</v>
      </c>
      <c r="G81" s="25">
        <f>SUMIF($C$16:$C$501,C81,$F$16:$F$501)</f>
      </c>
      <c r="H81" s="26">
        <f>F81/3600</f>
      </c>
      <c r="I81" s="27">
        <f>IFERROR(INDEX(Lists!$C:$C,MATCH(J81,Lists!$D:$D,0)),"")</f>
      </c>
      <c r="J81" s="29">
        <f>J73</f>
      </c>
      <c r="K81" s="1"/>
      <c r="L81" s="1"/>
      <c r="M81" s="1"/>
    </row>
    <row x14ac:dyDescent="0.25" r="82" customHeight="1" ht="18">
      <c r="A82" s="21" t="s">
        <v>483</v>
      </c>
      <c r="B82" s="22" t="s">
        <v>528</v>
      </c>
      <c r="C82" s="21" t="s">
        <v>543</v>
      </c>
      <c r="D82" s="21"/>
      <c r="E82" s="23" t="s">
        <v>544</v>
      </c>
      <c r="F82" s="24">
        <v>10</v>
      </c>
      <c r="G82" s="25">
        <f>SUMIF($C$16:$C$501,C82,$F$16:$F$501)</f>
      </c>
      <c r="H82" s="26">
        <f>F82/3600</f>
      </c>
      <c r="I82" s="27">
        <f>IFERROR(INDEX(Lists!$C:$C,MATCH(J82,Lists!$D:$D,0)),"")</f>
      </c>
      <c r="J82" s="29">
        <f>J72</f>
      </c>
      <c r="K82" s="1"/>
      <c r="L82" s="1"/>
      <c r="M82" s="1"/>
    </row>
    <row x14ac:dyDescent="0.25" r="83" customHeight="1" ht="18">
      <c r="A83" s="21" t="s">
        <v>483</v>
      </c>
      <c r="B83" s="22" t="s">
        <v>528</v>
      </c>
      <c r="C83" s="21" t="s">
        <v>545</v>
      </c>
      <c r="D83" s="21"/>
      <c r="E83" s="23" t="s">
        <v>544</v>
      </c>
      <c r="F83" s="24">
        <v>10</v>
      </c>
      <c r="G83" s="25">
        <f>SUMIF($C$16:$C$501,C83,$F$16:$F$501)</f>
      </c>
      <c r="H83" s="26">
        <f>F83/3600</f>
      </c>
      <c r="I83" s="27">
        <f>IFERROR(INDEX(Lists!$C:$C,MATCH(J83,Lists!$D:$D,0)),"")</f>
      </c>
      <c r="J83" s="29">
        <f>J73</f>
      </c>
      <c r="K83" s="1"/>
      <c r="L83" s="1"/>
      <c r="M83" s="1"/>
    </row>
    <row x14ac:dyDescent="0.25" r="84" customHeight="1" ht="18">
      <c r="A84" s="21" t="s">
        <v>483</v>
      </c>
      <c r="B84" s="22" t="s">
        <v>528</v>
      </c>
      <c r="C84" s="21" t="s">
        <v>543</v>
      </c>
      <c r="D84" s="21"/>
      <c r="E84" s="23" t="s">
        <v>546</v>
      </c>
      <c r="F84" s="24">
        <v>10</v>
      </c>
      <c r="G84" s="25">
        <f>SUMIF($C$16:$C$501,C84,$F$16:$F$501)</f>
      </c>
      <c r="H84" s="26">
        <f>F84/3600</f>
      </c>
      <c r="I84" s="27">
        <f>IFERROR(INDEX(Lists!$C:$C,MATCH(J84,Lists!$D:$D,0)),"")</f>
      </c>
      <c r="J84" s="29">
        <f>J72</f>
      </c>
      <c r="K84" s="1"/>
      <c r="L84" s="1"/>
      <c r="M84" s="1"/>
    </row>
    <row x14ac:dyDescent="0.25" r="85" customHeight="1" ht="18">
      <c r="A85" s="21" t="s">
        <v>483</v>
      </c>
      <c r="B85" s="22" t="s">
        <v>528</v>
      </c>
      <c r="C85" s="21" t="s">
        <v>545</v>
      </c>
      <c r="D85" s="21"/>
      <c r="E85" s="23" t="s">
        <v>546</v>
      </c>
      <c r="F85" s="24">
        <v>10</v>
      </c>
      <c r="G85" s="25">
        <f>SUMIF($C$16:$C$501,C85,$F$16:$F$501)</f>
      </c>
      <c r="H85" s="26">
        <f>F85/3600</f>
      </c>
      <c r="I85" s="27">
        <f>IFERROR(INDEX(Lists!$C:$C,MATCH(J85,Lists!$D:$D,0)),"")</f>
      </c>
      <c r="J85" s="29">
        <f>J73</f>
      </c>
      <c r="K85" s="1"/>
      <c r="L85" s="1"/>
      <c r="M85" s="1"/>
    </row>
    <row x14ac:dyDescent="0.25" r="86" customHeight="1" ht="18">
      <c r="A86" s="21" t="s">
        <v>483</v>
      </c>
      <c r="B86" s="22" t="s">
        <v>528</v>
      </c>
      <c r="C86" s="21" t="s">
        <v>543</v>
      </c>
      <c r="D86" s="21"/>
      <c r="E86" s="23" t="s">
        <v>547</v>
      </c>
      <c r="F86" s="24">
        <v>10</v>
      </c>
      <c r="G86" s="25">
        <f>SUMIF($C$16:$C$501,C86,$F$16:$F$501)</f>
      </c>
      <c r="H86" s="26">
        <f>F86/3600</f>
      </c>
      <c r="I86" s="27">
        <f>IFERROR(INDEX(Lists!$C:$C,MATCH(J86,Lists!$D:$D,0)),"")</f>
      </c>
      <c r="J86" s="29">
        <f>J72</f>
      </c>
      <c r="K86" s="1"/>
      <c r="L86" s="1"/>
      <c r="M86" s="1"/>
    </row>
    <row x14ac:dyDescent="0.25" r="87" customHeight="1" ht="18">
      <c r="A87" s="21" t="s">
        <v>483</v>
      </c>
      <c r="B87" s="22" t="s">
        <v>528</v>
      </c>
      <c r="C87" s="21" t="s">
        <v>545</v>
      </c>
      <c r="D87" s="21"/>
      <c r="E87" s="23" t="s">
        <v>547</v>
      </c>
      <c r="F87" s="24">
        <v>10</v>
      </c>
      <c r="G87" s="25">
        <f>SUMIF($C$16:$C$501,C87,$F$16:$F$501)</f>
      </c>
      <c r="H87" s="26">
        <f>F87/3600</f>
      </c>
      <c r="I87" s="27">
        <f>IFERROR(INDEX(Lists!$C:$C,MATCH(J87,Lists!$D:$D,0)),"")</f>
      </c>
      <c r="J87" s="29">
        <f>J73</f>
      </c>
      <c r="K87" s="1"/>
      <c r="L87" s="1"/>
      <c r="M87" s="1"/>
    </row>
    <row x14ac:dyDescent="0.25" r="88" customHeight="1" ht="18">
      <c r="A88" s="21" t="s">
        <v>483</v>
      </c>
      <c r="B88" s="22" t="s">
        <v>528</v>
      </c>
      <c r="C88" s="21" t="s">
        <v>543</v>
      </c>
      <c r="D88" s="21"/>
      <c r="E88" s="23" t="s">
        <v>548</v>
      </c>
      <c r="F88" s="24">
        <v>4</v>
      </c>
      <c r="G88" s="25">
        <f>SUMIF($C$16:$C$501,C88,$F$16:$F$501)</f>
      </c>
      <c r="H88" s="26">
        <f>F88/3600</f>
      </c>
      <c r="I88" s="27">
        <f>IFERROR(INDEX(Lists!$C:$C,MATCH(J88,Lists!$D:$D,0)),"")</f>
      </c>
      <c r="J88" s="29">
        <f>J72</f>
      </c>
      <c r="K88" s="1"/>
      <c r="L88" s="1"/>
      <c r="M88" s="1"/>
    </row>
    <row x14ac:dyDescent="0.25" r="89" customHeight="1" ht="18">
      <c r="A89" s="21" t="s">
        <v>483</v>
      </c>
      <c r="B89" s="22" t="s">
        <v>528</v>
      </c>
      <c r="C89" s="21" t="s">
        <v>545</v>
      </c>
      <c r="D89" s="21"/>
      <c r="E89" s="23" t="s">
        <v>548</v>
      </c>
      <c r="F89" s="24">
        <v>4</v>
      </c>
      <c r="G89" s="25">
        <f>SUMIF($C$16:$C$501,C89,$F$16:$F$501)</f>
      </c>
      <c r="H89" s="26">
        <f>F89/3600</f>
      </c>
      <c r="I89" s="27">
        <f>IFERROR(INDEX(Lists!$C:$C,MATCH(J89,Lists!$D:$D,0)),"")</f>
      </c>
      <c r="J89" s="29">
        <f>J73</f>
      </c>
      <c r="K89" s="1"/>
      <c r="L89" s="1"/>
      <c r="M89" s="1"/>
    </row>
    <row x14ac:dyDescent="0.25" r="90" customHeight="1" ht="18">
      <c r="A90" s="21" t="s">
        <v>483</v>
      </c>
      <c r="B90" s="22" t="s">
        <v>528</v>
      </c>
      <c r="C90" s="21" t="s">
        <v>543</v>
      </c>
      <c r="D90" s="21"/>
      <c r="E90" s="23" t="s">
        <v>542</v>
      </c>
      <c r="F90" s="24">
        <v>10</v>
      </c>
      <c r="G90" s="25">
        <f>SUMIF($C$16:$C$501,C90,$F$16:$F$501)</f>
      </c>
      <c r="H90" s="26">
        <f>F90/3600</f>
      </c>
      <c r="I90" s="27">
        <f>IFERROR(INDEX(Lists!$C:$C,MATCH(J90,Lists!$D:$D,0)),"")</f>
      </c>
      <c r="J90" s="29">
        <f>J72</f>
      </c>
      <c r="K90" s="1"/>
      <c r="L90" s="1"/>
      <c r="M90" s="1"/>
    </row>
    <row x14ac:dyDescent="0.25" r="91" customHeight="1" ht="18">
      <c r="A91" s="21" t="s">
        <v>483</v>
      </c>
      <c r="B91" s="22" t="s">
        <v>528</v>
      </c>
      <c r="C91" s="21" t="s">
        <v>545</v>
      </c>
      <c r="D91" s="21"/>
      <c r="E91" s="23" t="s">
        <v>542</v>
      </c>
      <c r="F91" s="24">
        <v>10</v>
      </c>
      <c r="G91" s="25">
        <f>SUMIF($C$16:$C$501,C91,$F$16:$F$501)</f>
      </c>
      <c r="H91" s="26">
        <f>F91/3600</f>
      </c>
      <c r="I91" s="27">
        <f>IFERROR(INDEX(Lists!$C:$C,MATCH(J91,Lists!$D:$D,0)),"")</f>
      </c>
      <c r="J91" s="29">
        <f>J73</f>
      </c>
      <c r="K91" s="1"/>
      <c r="L91" s="1"/>
      <c r="M91" s="1"/>
    </row>
    <row x14ac:dyDescent="0.25" r="92" customHeight="1" ht="18">
      <c r="A92" s="21" t="s">
        <v>483</v>
      </c>
      <c r="B92" s="22" t="s">
        <v>528</v>
      </c>
      <c r="C92" s="21" t="s">
        <v>543</v>
      </c>
      <c r="D92" s="21"/>
      <c r="E92" s="23" t="s">
        <v>544</v>
      </c>
      <c r="F92" s="24">
        <v>6</v>
      </c>
      <c r="G92" s="25">
        <f>SUMIF($C$16:$C$501,C92,$F$16:$F$501)</f>
      </c>
      <c r="H92" s="26">
        <f>F92/3600</f>
      </c>
      <c r="I92" s="27">
        <f>IFERROR(INDEX(Lists!$C:$C,MATCH(J92,Lists!$D:$D,0)),"")</f>
      </c>
      <c r="J92" s="29">
        <f>J72</f>
      </c>
      <c r="K92" s="1"/>
      <c r="L92" s="1"/>
      <c r="M92" s="1"/>
    </row>
    <row x14ac:dyDescent="0.25" r="93" customHeight="1" ht="18">
      <c r="A93" s="21" t="s">
        <v>483</v>
      </c>
      <c r="B93" s="22" t="s">
        <v>528</v>
      </c>
      <c r="C93" s="21" t="s">
        <v>545</v>
      </c>
      <c r="D93" s="21"/>
      <c r="E93" s="23" t="s">
        <v>544</v>
      </c>
      <c r="F93" s="24">
        <v>6</v>
      </c>
      <c r="G93" s="25">
        <f>SUMIF($C$16:$C$501,C93,$F$16:$F$501)</f>
      </c>
      <c r="H93" s="26">
        <f>F93/3600</f>
      </c>
      <c r="I93" s="27">
        <f>IFERROR(INDEX(Lists!$C:$C,MATCH(J93,Lists!$D:$D,0)),"")</f>
      </c>
      <c r="J93" s="29">
        <f>J73</f>
      </c>
      <c r="K93" s="1"/>
      <c r="L93" s="1"/>
      <c r="M93" s="1"/>
    </row>
    <row x14ac:dyDescent="0.25" r="94" customHeight="1" ht="18">
      <c r="A94" s="21" t="s">
        <v>483</v>
      </c>
      <c r="B94" s="22" t="s">
        <v>528</v>
      </c>
      <c r="C94" s="21" t="s">
        <v>543</v>
      </c>
      <c r="D94" s="21"/>
      <c r="E94" s="23" t="s">
        <v>546</v>
      </c>
      <c r="F94" s="24">
        <v>6</v>
      </c>
      <c r="G94" s="25">
        <f>SUMIF($C$16:$C$501,C94,$F$16:$F$501)</f>
      </c>
      <c r="H94" s="26">
        <f>F94/3600</f>
      </c>
      <c r="I94" s="27">
        <f>IFERROR(INDEX(Lists!$C:$C,MATCH(J94,Lists!$D:$D,0)),"")</f>
      </c>
      <c r="J94" s="29">
        <f>J72</f>
      </c>
      <c r="K94" s="1"/>
      <c r="L94" s="1"/>
      <c r="M94" s="1"/>
    </row>
    <row x14ac:dyDescent="0.25" r="95" customHeight="1" ht="18">
      <c r="A95" s="21" t="s">
        <v>483</v>
      </c>
      <c r="B95" s="22" t="s">
        <v>528</v>
      </c>
      <c r="C95" s="21" t="s">
        <v>545</v>
      </c>
      <c r="D95" s="21"/>
      <c r="E95" s="23" t="s">
        <v>546</v>
      </c>
      <c r="F95" s="24">
        <v>6</v>
      </c>
      <c r="G95" s="25">
        <f>SUMIF($C$16:$C$501,C95,$F$16:$F$501)</f>
      </c>
      <c r="H95" s="26">
        <f>F95/3600</f>
      </c>
      <c r="I95" s="27">
        <f>IFERROR(INDEX(Lists!$C:$C,MATCH(J95,Lists!$D:$D,0)),"")</f>
      </c>
      <c r="J95" s="29">
        <f>J73</f>
      </c>
      <c r="K95" s="1"/>
      <c r="L95" s="1"/>
      <c r="M95" s="1"/>
    </row>
    <row x14ac:dyDescent="0.25" r="96" customHeight="1" ht="18">
      <c r="A96" s="21" t="s">
        <v>483</v>
      </c>
      <c r="B96" s="22" t="s">
        <v>528</v>
      </c>
      <c r="C96" s="21" t="s">
        <v>543</v>
      </c>
      <c r="D96" s="21"/>
      <c r="E96" s="23" t="s">
        <v>547</v>
      </c>
      <c r="F96" s="24">
        <v>6</v>
      </c>
      <c r="G96" s="25">
        <f>SUMIF($C$16:$C$501,C96,$F$16:$F$501)</f>
      </c>
      <c r="H96" s="26">
        <f>F96/3600</f>
      </c>
      <c r="I96" s="27">
        <f>IFERROR(INDEX(Lists!$C:$C,MATCH(J96,Lists!$D:$D,0)),"")</f>
      </c>
      <c r="J96" s="29">
        <f>J72</f>
      </c>
      <c r="K96" s="1"/>
      <c r="L96" s="1"/>
      <c r="M96" s="1"/>
    </row>
    <row x14ac:dyDescent="0.25" r="97" customHeight="1" ht="18">
      <c r="A97" s="21" t="s">
        <v>483</v>
      </c>
      <c r="B97" s="22" t="s">
        <v>528</v>
      </c>
      <c r="C97" s="21" t="s">
        <v>545</v>
      </c>
      <c r="D97" s="21"/>
      <c r="E97" s="23" t="s">
        <v>547</v>
      </c>
      <c r="F97" s="24">
        <v>6</v>
      </c>
      <c r="G97" s="25">
        <f>SUMIF($C$16:$C$501,C97,$F$16:$F$501)</f>
      </c>
      <c r="H97" s="26">
        <f>F97/3600</f>
      </c>
      <c r="I97" s="27">
        <f>IFERROR(INDEX(Lists!$C:$C,MATCH(J97,Lists!$D:$D,0)),"")</f>
      </c>
      <c r="J97" s="29">
        <f>J73</f>
      </c>
      <c r="K97" s="1"/>
      <c r="L97" s="1"/>
      <c r="M97" s="1"/>
    </row>
    <row x14ac:dyDescent="0.25" r="98" customHeight="1" ht="18">
      <c r="A98" s="21" t="s">
        <v>483</v>
      </c>
      <c r="B98" s="22" t="s">
        <v>528</v>
      </c>
      <c r="C98" s="21" t="s">
        <v>543</v>
      </c>
      <c r="D98" s="21"/>
      <c r="E98" s="23" t="s">
        <v>548</v>
      </c>
      <c r="F98" s="24">
        <v>4</v>
      </c>
      <c r="G98" s="25">
        <f>SUMIF($C$16:$C$501,C98,$F$16:$F$501)</f>
      </c>
      <c r="H98" s="26">
        <f>F98/3600</f>
      </c>
      <c r="I98" s="27">
        <f>IFERROR(INDEX(Lists!$C:$C,MATCH(J98,Lists!$D:$D,0)),"")</f>
      </c>
      <c r="J98" s="29">
        <f>J72</f>
      </c>
      <c r="K98" s="1"/>
      <c r="L98" s="1"/>
      <c r="M98" s="1"/>
    </row>
    <row x14ac:dyDescent="0.25" r="99" customHeight="1" ht="18">
      <c r="A99" s="21" t="s">
        <v>483</v>
      </c>
      <c r="B99" s="22" t="s">
        <v>528</v>
      </c>
      <c r="C99" s="21" t="s">
        <v>545</v>
      </c>
      <c r="D99" s="21"/>
      <c r="E99" s="23" t="s">
        <v>548</v>
      </c>
      <c r="F99" s="24">
        <v>4</v>
      </c>
      <c r="G99" s="25">
        <f>SUMIF($C$16:$C$501,C99,$F$16:$F$501)</f>
      </c>
      <c r="H99" s="26">
        <f>F99/3600</f>
      </c>
      <c r="I99" s="27">
        <f>IFERROR(INDEX(Lists!$C:$C,MATCH(J99,Lists!$D:$D,0)),"")</f>
      </c>
      <c r="J99" s="29">
        <f>J73</f>
      </c>
      <c r="K99" s="1"/>
      <c r="L99" s="1"/>
      <c r="M99" s="1"/>
    </row>
    <row x14ac:dyDescent="0.25" r="100" customHeight="1" ht="18">
      <c r="A100" s="21" t="s">
        <v>483</v>
      </c>
      <c r="B100" s="22" t="s">
        <v>528</v>
      </c>
      <c r="C100" s="21" t="s">
        <v>543</v>
      </c>
      <c r="D100" s="21"/>
      <c r="E100" s="23" t="s">
        <v>542</v>
      </c>
      <c r="F100" s="24">
        <v>6</v>
      </c>
      <c r="G100" s="25">
        <f>SUMIF($C$16:$C$501,C100,$F$16:$F$501)</f>
      </c>
      <c r="H100" s="26">
        <f>F100/3600</f>
      </c>
      <c r="I100" s="27">
        <f>IFERROR(INDEX(Lists!$C:$C,MATCH(J100,Lists!$D:$D,0)),"")</f>
      </c>
      <c r="J100" s="29">
        <f>J72</f>
      </c>
      <c r="K100" s="1"/>
      <c r="L100" s="1"/>
      <c r="M100" s="1"/>
    </row>
    <row x14ac:dyDescent="0.25" r="101" customHeight="1" ht="18">
      <c r="A101" s="21" t="s">
        <v>483</v>
      </c>
      <c r="B101" s="22" t="s">
        <v>528</v>
      </c>
      <c r="C101" s="21" t="s">
        <v>545</v>
      </c>
      <c r="D101" s="21"/>
      <c r="E101" s="23" t="s">
        <v>542</v>
      </c>
      <c r="F101" s="24">
        <v>6</v>
      </c>
      <c r="G101" s="25">
        <f>SUMIF($C$16:$C$501,C101,$F$16:$F$501)</f>
      </c>
      <c r="H101" s="26">
        <f>F101/3600</f>
      </c>
      <c r="I101" s="27">
        <f>IFERROR(INDEX(Lists!$C:$C,MATCH(J101,Lists!$D:$D,0)),"")</f>
      </c>
      <c r="J101" s="29">
        <f>J73</f>
      </c>
      <c r="K101" s="1"/>
      <c r="L101" s="1"/>
      <c r="M101" s="1"/>
    </row>
    <row x14ac:dyDescent="0.25" r="102" customHeight="1" ht="18">
      <c r="A102" s="21" t="s">
        <v>549</v>
      </c>
      <c r="B102" s="22" t="s">
        <v>484</v>
      </c>
      <c r="C102" s="21" t="s">
        <v>550</v>
      </c>
      <c r="D102" s="21"/>
      <c r="E102" s="23" t="s">
        <v>551</v>
      </c>
      <c r="F102" s="24">
        <v>3</v>
      </c>
      <c r="G102" s="25">
        <f>SUMIF($C$16:$C$501,C102,$F$16:$F$501)</f>
      </c>
      <c r="H102" s="26">
        <f>F102/3600</f>
      </c>
      <c r="I102" s="27">
        <f>IFERROR(INDEX(Lists!$C:$C,MATCH(J102,Lists!$D:$D,0)),"")</f>
      </c>
      <c r="J102" s="28" t="s">
        <v>230</v>
      </c>
      <c r="K102" s="1"/>
      <c r="L102" s="1"/>
      <c r="M102" s="1"/>
    </row>
    <row x14ac:dyDescent="0.25" r="103" customHeight="1" ht="18">
      <c r="A103" s="21" t="s">
        <v>549</v>
      </c>
      <c r="B103" s="22" t="s">
        <v>484</v>
      </c>
      <c r="C103" s="21" t="s">
        <v>550</v>
      </c>
      <c r="D103" s="21"/>
      <c r="E103" s="23" t="s">
        <v>552</v>
      </c>
      <c r="F103" s="24">
        <v>3</v>
      </c>
      <c r="G103" s="25">
        <f>SUMIF($C$16:$C$501,C103,$F$16:$F$501)</f>
      </c>
      <c r="H103" s="26">
        <f>F103/3600</f>
      </c>
      <c r="I103" s="27">
        <f>IFERROR(INDEX(Lists!$C:$C,MATCH(J103,Lists!$D:$D,0)),"")</f>
      </c>
      <c r="J103" s="29">
        <f>J102</f>
      </c>
      <c r="K103" s="1"/>
      <c r="L103" s="1"/>
      <c r="M103" s="1"/>
    </row>
    <row x14ac:dyDescent="0.25" r="104" customHeight="1" ht="18">
      <c r="A104" s="21" t="s">
        <v>549</v>
      </c>
      <c r="B104" s="22" t="s">
        <v>484</v>
      </c>
      <c r="C104" s="21" t="s">
        <v>550</v>
      </c>
      <c r="D104" s="21"/>
      <c r="E104" s="23" t="s">
        <v>553</v>
      </c>
      <c r="F104" s="24">
        <v>14</v>
      </c>
      <c r="G104" s="25">
        <f>SUMIF($C$16:$C$501,C104,$F$16:$F$501)</f>
      </c>
      <c r="H104" s="26">
        <f>F104/3600</f>
      </c>
      <c r="I104" s="27">
        <f>IFERROR(INDEX(Lists!$C:$C,MATCH(J104,Lists!$D:$D,0)),"")</f>
      </c>
      <c r="J104" s="29">
        <f>J102</f>
      </c>
      <c r="K104" s="1"/>
      <c r="L104" s="1"/>
      <c r="M104" s="1"/>
    </row>
    <row x14ac:dyDescent="0.25" r="105" customHeight="1" ht="18">
      <c r="A105" s="21" t="s">
        <v>549</v>
      </c>
      <c r="B105" s="22" t="s">
        <v>484</v>
      </c>
      <c r="C105" s="21" t="s">
        <v>550</v>
      </c>
      <c r="D105" s="21"/>
      <c r="E105" s="23" t="s">
        <v>554</v>
      </c>
      <c r="F105" s="24">
        <v>15</v>
      </c>
      <c r="G105" s="25">
        <f>SUMIF($C$16:$C$501,C105,$F$16:$F$501)</f>
      </c>
      <c r="H105" s="26">
        <f>F105/3600</f>
      </c>
      <c r="I105" s="27">
        <f>IFERROR(INDEX(Lists!$C:$C,MATCH(J105,Lists!$D:$D,0)),"")</f>
      </c>
      <c r="J105" s="29">
        <f>J102</f>
      </c>
      <c r="K105" s="1"/>
      <c r="L105" s="1"/>
      <c r="M105" s="1"/>
    </row>
    <row x14ac:dyDescent="0.25" r="106" customHeight="1" ht="18">
      <c r="A106" s="21" t="s">
        <v>549</v>
      </c>
      <c r="B106" s="22" t="s">
        <v>484</v>
      </c>
      <c r="C106" s="21" t="s">
        <v>550</v>
      </c>
      <c r="D106" s="21"/>
      <c r="E106" s="23" t="s">
        <v>504</v>
      </c>
      <c r="F106" s="24">
        <v>7.5</v>
      </c>
      <c r="G106" s="25">
        <f>SUMIF($C$16:$C$501,C106,$F$16:$F$501)</f>
      </c>
      <c r="H106" s="26">
        <f>F106/3600</f>
      </c>
      <c r="I106" s="27">
        <f>IFERROR(INDEX(Lists!$C:$C,MATCH(J106,Lists!$D:$D,0)),"")</f>
      </c>
      <c r="J106" s="29">
        <f>J102</f>
      </c>
      <c r="K106" s="1"/>
      <c r="L106" s="1"/>
      <c r="M106" s="1"/>
    </row>
    <row x14ac:dyDescent="0.25" r="107" customHeight="1" ht="18">
      <c r="A107" s="21" t="s">
        <v>549</v>
      </c>
      <c r="B107" s="22" t="s">
        <v>484</v>
      </c>
      <c r="C107" s="21" t="s">
        <v>550</v>
      </c>
      <c r="D107" s="21"/>
      <c r="E107" s="23" t="s">
        <v>504</v>
      </c>
      <c r="F107" s="24">
        <v>8</v>
      </c>
      <c r="G107" s="25">
        <f>SUMIF($C$16:$C$501,C107,$F$16:$F$501)</f>
      </c>
      <c r="H107" s="26">
        <f>F107/3600</f>
      </c>
      <c r="I107" s="27">
        <f>IFERROR(INDEX(Lists!$C:$C,MATCH(J107,Lists!$D:$D,0)),"")</f>
      </c>
      <c r="J107" s="29">
        <f>J102</f>
      </c>
      <c r="K107" s="1"/>
      <c r="L107" s="1"/>
      <c r="M107" s="1"/>
    </row>
    <row x14ac:dyDescent="0.25" r="108" customHeight="1" ht="18">
      <c r="A108" s="21" t="s">
        <v>555</v>
      </c>
      <c r="B108" s="22" t="s">
        <v>556</v>
      </c>
      <c r="C108" s="21" t="s">
        <v>557</v>
      </c>
      <c r="D108" s="21"/>
      <c r="E108" s="23" t="s">
        <v>558</v>
      </c>
      <c r="F108" s="24">
        <v>28</v>
      </c>
      <c r="G108" s="25">
        <f>SUMIF($C$16:$C$501,C108,$F$16:$F$501)</f>
      </c>
      <c r="H108" s="26">
        <f>F108/3600</f>
      </c>
      <c r="I108" s="27">
        <f>IFERROR(INDEX(Lists!$C:$C,MATCH(J108,Lists!$D:$D,0)),"")</f>
      </c>
      <c r="J108" s="28" t="s">
        <v>295</v>
      </c>
      <c r="K108" s="1"/>
      <c r="L108" s="1"/>
      <c r="M108" s="1"/>
    </row>
    <row x14ac:dyDescent="0.25" r="109" customHeight="1" ht="18">
      <c r="A109" s="21" t="s">
        <v>555</v>
      </c>
      <c r="B109" s="22" t="s">
        <v>556</v>
      </c>
      <c r="C109" s="21" t="s">
        <v>557</v>
      </c>
      <c r="D109" s="21"/>
      <c r="E109" s="23" t="s">
        <v>559</v>
      </c>
      <c r="F109" s="24">
        <v>18</v>
      </c>
      <c r="G109" s="25">
        <f>SUMIF($C$16:$C$501,C109,$F$16:$F$501)</f>
      </c>
      <c r="H109" s="26">
        <f>F109/3600</f>
      </c>
      <c r="I109" s="27">
        <f>IFERROR(INDEX(Lists!$C:$C,MATCH(J109,Lists!$D:$D,0)),"")</f>
      </c>
      <c r="J109" s="29">
        <f>J108</f>
      </c>
      <c r="K109" s="1"/>
      <c r="L109" s="1"/>
      <c r="M109" s="1"/>
    </row>
    <row x14ac:dyDescent="0.25" r="110" customHeight="1" ht="18">
      <c r="A110" s="21" t="s">
        <v>555</v>
      </c>
      <c r="B110" s="22" t="s">
        <v>556</v>
      </c>
      <c r="C110" s="21" t="s">
        <v>557</v>
      </c>
      <c r="D110" s="21"/>
      <c r="E110" s="23" t="s">
        <v>560</v>
      </c>
      <c r="F110" s="24">
        <v>18</v>
      </c>
      <c r="G110" s="25">
        <f>SUMIF($C$16:$C$501,C110,$F$16:$F$501)</f>
      </c>
      <c r="H110" s="26">
        <f>F110/3600</f>
      </c>
      <c r="I110" s="27">
        <f>IFERROR(INDEX(Lists!$C:$C,MATCH(J110,Lists!$D:$D,0)),"")</f>
      </c>
      <c r="J110" s="29">
        <f>J108</f>
      </c>
      <c r="K110" s="1"/>
      <c r="L110" s="1"/>
      <c r="M110" s="1"/>
    </row>
    <row x14ac:dyDescent="0.25" r="111" customHeight="1" ht="18">
      <c r="A111" s="21" t="s">
        <v>555</v>
      </c>
      <c r="B111" s="22" t="s">
        <v>556</v>
      </c>
      <c r="C111" s="21" t="s">
        <v>557</v>
      </c>
      <c r="D111" s="21"/>
      <c r="E111" s="23" t="s">
        <v>561</v>
      </c>
      <c r="F111" s="24">
        <v>16</v>
      </c>
      <c r="G111" s="25">
        <f>SUMIF($C$16:$C$501,C111,$F$16:$F$501)</f>
      </c>
      <c r="H111" s="26">
        <f>F111/3600</f>
      </c>
      <c r="I111" s="27">
        <f>IFERROR(INDEX(Lists!$C:$C,MATCH(J111,Lists!$D:$D,0)),"")</f>
      </c>
      <c r="J111" s="29">
        <f>J108</f>
      </c>
      <c r="K111" s="1"/>
      <c r="L111" s="1"/>
      <c r="M111" s="1"/>
    </row>
    <row x14ac:dyDescent="0.25" r="112" customHeight="1" ht="18">
      <c r="A112" s="21" t="s">
        <v>549</v>
      </c>
      <c r="B112" s="22" t="s">
        <v>528</v>
      </c>
      <c r="C112" s="21" t="s">
        <v>562</v>
      </c>
      <c r="D112" s="21"/>
      <c r="E112" s="23" t="s">
        <v>563</v>
      </c>
      <c r="F112" s="24">
        <v>68</v>
      </c>
      <c r="G112" s="25">
        <f>SUMIF($C$16:$C$501,C112,$F$16:$F$501)</f>
      </c>
      <c r="H112" s="26">
        <f>F112/3600</f>
      </c>
      <c r="I112" s="27">
        <f>IFERROR(INDEX(Lists!$C:$C,MATCH(J112,Lists!$D:$D,0)),"")</f>
      </c>
      <c r="J112" s="28" t="s">
        <v>37</v>
      </c>
      <c r="K112" s="1"/>
      <c r="L112" s="1"/>
      <c r="M112" s="1"/>
    </row>
    <row x14ac:dyDescent="0.25" r="113" customHeight="1" ht="18">
      <c r="A113" s="21" t="s">
        <v>549</v>
      </c>
      <c r="B113" s="22" t="s">
        <v>528</v>
      </c>
      <c r="C113" s="21" t="s">
        <v>562</v>
      </c>
      <c r="D113" s="21"/>
      <c r="E113" s="23" t="s">
        <v>564</v>
      </c>
      <c r="F113" s="24">
        <v>12</v>
      </c>
      <c r="G113" s="25">
        <f>SUMIF($C$16:$C$501,C113,$F$16:$F$501)</f>
      </c>
      <c r="H113" s="26">
        <f>F113/3600</f>
      </c>
      <c r="I113" s="27">
        <f>IFERROR(INDEX(Lists!$C:$C,MATCH(J113,Lists!$D:$D,0)),"")</f>
      </c>
      <c r="J113" s="29">
        <f>J112</f>
      </c>
      <c r="K113" s="1"/>
      <c r="L113" s="1"/>
      <c r="M113" s="1"/>
    </row>
    <row x14ac:dyDescent="0.25" r="114" customHeight="1" ht="18">
      <c r="A114" s="21" t="s">
        <v>549</v>
      </c>
      <c r="B114" s="22" t="s">
        <v>528</v>
      </c>
      <c r="C114" s="21" t="s">
        <v>565</v>
      </c>
      <c r="D114" s="21"/>
      <c r="E114" s="23" t="s">
        <v>566</v>
      </c>
      <c r="F114" s="24">
        <v>14</v>
      </c>
      <c r="G114" s="25">
        <f>SUMIF($C$16:$C$501,C114,$F$16:$F$501)</f>
      </c>
      <c r="H114" s="26">
        <f>F114/3600</f>
      </c>
      <c r="I114" s="27">
        <f>IFERROR(INDEX(Lists!$C:$C,MATCH(J114,Lists!$D:$D,0)),"")</f>
      </c>
      <c r="J114" s="28" t="s">
        <v>103</v>
      </c>
      <c r="K114" s="1"/>
      <c r="L114" s="1"/>
      <c r="M114" s="1"/>
    </row>
    <row x14ac:dyDescent="0.25" r="115" customHeight="1" ht="18">
      <c r="A115" s="21" t="s">
        <v>549</v>
      </c>
      <c r="B115" s="22" t="s">
        <v>528</v>
      </c>
      <c r="C115" s="21" t="s">
        <v>567</v>
      </c>
      <c r="D115" s="21"/>
      <c r="E115" s="23" t="s">
        <v>566</v>
      </c>
      <c r="F115" s="24">
        <v>14</v>
      </c>
      <c r="G115" s="25">
        <f>SUMIF($C$16:$C$501,C115,$F$16:$F$501)</f>
      </c>
      <c r="H115" s="26">
        <f>F115/3600</f>
      </c>
      <c r="I115" s="27">
        <f>IFERROR(INDEX(Lists!$C:$C,MATCH(J115,Lists!$D:$D,0)),"")</f>
      </c>
      <c r="J115" s="28" t="s">
        <v>373</v>
      </c>
      <c r="K115" s="1"/>
      <c r="L115" s="1"/>
      <c r="M115" s="1"/>
    </row>
    <row x14ac:dyDescent="0.25" r="116" customHeight="1" ht="18">
      <c r="A116" s="21" t="s">
        <v>549</v>
      </c>
      <c r="B116" s="22" t="s">
        <v>528</v>
      </c>
      <c r="C116" s="21" t="s">
        <v>565</v>
      </c>
      <c r="D116" s="21"/>
      <c r="E116" s="23" t="s">
        <v>568</v>
      </c>
      <c r="F116" s="24">
        <v>14</v>
      </c>
      <c r="G116" s="25">
        <f>SUMIF($C$16:$C$501,C116,$F$16:$F$501)</f>
      </c>
      <c r="H116" s="26">
        <f>F116/3600</f>
      </c>
      <c r="I116" s="27">
        <f>IFERROR(INDEX(Lists!$C:$C,MATCH(J116,Lists!$D:$D,0)),"")</f>
      </c>
      <c r="J116" s="29">
        <f>J114</f>
      </c>
      <c r="K116" s="1"/>
      <c r="L116" s="1"/>
      <c r="M116" s="1"/>
    </row>
    <row x14ac:dyDescent="0.25" r="117" customHeight="1" ht="18">
      <c r="A117" s="21" t="s">
        <v>549</v>
      </c>
      <c r="B117" s="22" t="s">
        <v>528</v>
      </c>
      <c r="C117" s="21" t="s">
        <v>567</v>
      </c>
      <c r="D117" s="21"/>
      <c r="E117" s="23" t="s">
        <v>568</v>
      </c>
      <c r="F117" s="24">
        <v>14</v>
      </c>
      <c r="G117" s="25">
        <f>SUMIF($C$16:$C$501,C117,$F$16:$F$501)</f>
      </c>
      <c r="H117" s="26">
        <f>F117/3600</f>
      </c>
      <c r="I117" s="27">
        <f>IFERROR(INDEX(Lists!$C:$C,MATCH(J117,Lists!$D:$D,0)),"")</f>
      </c>
      <c r="J117" s="29">
        <f>J115</f>
      </c>
      <c r="K117" s="1"/>
      <c r="L117" s="1"/>
      <c r="M117" s="1"/>
    </row>
    <row x14ac:dyDescent="0.25" r="118" customHeight="1" ht="18">
      <c r="A118" s="21" t="s">
        <v>549</v>
      </c>
      <c r="B118" s="22" t="s">
        <v>528</v>
      </c>
      <c r="C118" s="21" t="s">
        <v>565</v>
      </c>
      <c r="D118" s="21"/>
      <c r="E118" s="23" t="s">
        <v>569</v>
      </c>
      <c r="F118" s="24">
        <v>16</v>
      </c>
      <c r="G118" s="25">
        <f>SUMIF($C$16:$C$501,C118,$F$16:$F$501)</f>
      </c>
      <c r="H118" s="26">
        <f>F118/3600</f>
      </c>
      <c r="I118" s="27">
        <f>IFERROR(INDEX(Lists!$C:$C,MATCH(J118,Lists!$D:$D,0)),"")</f>
      </c>
      <c r="J118" s="29">
        <f>J114</f>
      </c>
      <c r="K118" s="1"/>
      <c r="L118" s="1"/>
      <c r="M118" s="1"/>
    </row>
    <row x14ac:dyDescent="0.25" r="119" customHeight="1" ht="18">
      <c r="A119" s="21" t="s">
        <v>549</v>
      </c>
      <c r="B119" s="22" t="s">
        <v>528</v>
      </c>
      <c r="C119" s="21" t="s">
        <v>567</v>
      </c>
      <c r="D119" s="21"/>
      <c r="E119" s="23" t="s">
        <v>569</v>
      </c>
      <c r="F119" s="24">
        <v>16</v>
      </c>
      <c r="G119" s="25">
        <f>SUMIF($C$16:$C$501,C119,$F$16:$F$501)</f>
      </c>
      <c r="H119" s="26">
        <f>F119/3600</f>
      </c>
      <c r="I119" s="27">
        <f>IFERROR(INDEX(Lists!$C:$C,MATCH(J119,Lists!$D:$D,0)),"")</f>
      </c>
      <c r="J119" s="29">
        <f>J115</f>
      </c>
      <c r="K119" s="1"/>
      <c r="L119" s="1"/>
      <c r="M119" s="1"/>
    </row>
    <row x14ac:dyDescent="0.25" r="120" customHeight="1" ht="18">
      <c r="A120" s="21" t="s">
        <v>549</v>
      </c>
      <c r="B120" s="22" t="s">
        <v>528</v>
      </c>
      <c r="C120" s="21" t="s">
        <v>565</v>
      </c>
      <c r="D120" s="21"/>
      <c r="E120" s="23" t="s">
        <v>570</v>
      </c>
      <c r="F120" s="24">
        <v>16</v>
      </c>
      <c r="G120" s="25">
        <f>SUMIF($C$16:$C$501,C120,$F$16:$F$501)</f>
      </c>
      <c r="H120" s="26">
        <f>F120/3600</f>
      </c>
      <c r="I120" s="27">
        <f>IFERROR(INDEX(Lists!$C:$C,MATCH(J120,Lists!$D:$D,0)),"")</f>
      </c>
      <c r="J120" s="29">
        <f>J114</f>
      </c>
      <c r="K120" s="1"/>
      <c r="L120" s="1"/>
      <c r="M120" s="1"/>
    </row>
    <row x14ac:dyDescent="0.25" r="121" customHeight="1" ht="18">
      <c r="A121" s="21" t="s">
        <v>549</v>
      </c>
      <c r="B121" s="22" t="s">
        <v>528</v>
      </c>
      <c r="C121" s="21" t="s">
        <v>567</v>
      </c>
      <c r="D121" s="21"/>
      <c r="E121" s="23" t="s">
        <v>570</v>
      </c>
      <c r="F121" s="24">
        <v>16</v>
      </c>
      <c r="G121" s="25">
        <f>SUMIF($C$16:$C$501,C121,$F$16:$F$501)</f>
      </c>
      <c r="H121" s="26">
        <f>F121/3600</f>
      </c>
      <c r="I121" s="27">
        <f>IFERROR(INDEX(Lists!$C:$C,MATCH(J121,Lists!$D:$D,0)),"")</f>
      </c>
      <c r="J121" s="29">
        <f>J115</f>
      </c>
      <c r="K121" s="1"/>
      <c r="L121" s="1"/>
      <c r="M121" s="1"/>
    </row>
    <row x14ac:dyDescent="0.25" r="122" customHeight="1" ht="18">
      <c r="A122" s="21" t="s">
        <v>549</v>
      </c>
      <c r="B122" s="22" t="s">
        <v>528</v>
      </c>
      <c r="C122" s="21" t="s">
        <v>565</v>
      </c>
      <c r="D122" s="21"/>
      <c r="E122" s="23" t="s">
        <v>571</v>
      </c>
      <c r="F122" s="24">
        <v>12</v>
      </c>
      <c r="G122" s="25">
        <f>SUMIF($C$16:$C$501,C122,$F$16:$F$501)</f>
      </c>
      <c r="H122" s="26">
        <f>F122/3600</f>
      </c>
      <c r="I122" s="27">
        <f>IFERROR(INDEX(Lists!$C:$C,MATCH(J122,Lists!$D:$D,0)),"")</f>
      </c>
      <c r="J122" s="29">
        <f>J114</f>
      </c>
      <c r="K122" s="1"/>
      <c r="L122" s="1"/>
      <c r="M122" s="1"/>
    </row>
    <row x14ac:dyDescent="0.25" r="123" customHeight="1" ht="18">
      <c r="A123" s="21" t="s">
        <v>549</v>
      </c>
      <c r="B123" s="22" t="s">
        <v>528</v>
      </c>
      <c r="C123" s="21" t="s">
        <v>567</v>
      </c>
      <c r="D123" s="21"/>
      <c r="E123" s="23" t="s">
        <v>571</v>
      </c>
      <c r="F123" s="24">
        <v>12</v>
      </c>
      <c r="G123" s="25">
        <f>SUMIF($C$16:$C$501,C123,$F$16:$F$501)</f>
      </c>
      <c r="H123" s="26">
        <f>F123/3600</f>
      </c>
      <c r="I123" s="27">
        <f>IFERROR(INDEX(Lists!$C:$C,MATCH(J123,Lists!$D:$D,0)),"")</f>
      </c>
      <c r="J123" s="29">
        <f>J115</f>
      </c>
      <c r="K123" s="1"/>
      <c r="L123" s="1"/>
      <c r="M123" s="1"/>
    </row>
    <row x14ac:dyDescent="0.25" r="124" customHeight="1" ht="18">
      <c r="A124" s="21" t="s">
        <v>549</v>
      </c>
      <c r="B124" s="22" t="s">
        <v>528</v>
      </c>
      <c r="C124" s="21" t="s">
        <v>565</v>
      </c>
      <c r="D124" s="21"/>
      <c r="E124" s="23" t="s">
        <v>572</v>
      </c>
      <c r="F124" s="24">
        <v>6</v>
      </c>
      <c r="G124" s="25">
        <f>SUMIF($C$16:$C$501,C124,$F$16:$F$501)</f>
      </c>
      <c r="H124" s="26">
        <f>F124/3600</f>
      </c>
      <c r="I124" s="27">
        <f>IFERROR(INDEX(Lists!$C:$C,MATCH(J124,Lists!$D:$D,0)),"")</f>
      </c>
      <c r="J124" s="29">
        <f>J114</f>
      </c>
      <c r="K124" s="1"/>
      <c r="L124" s="1"/>
      <c r="M124" s="1"/>
    </row>
    <row x14ac:dyDescent="0.25" r="125" customHeight="1" ht="18">
      <c r="A125" s="21" t="s">
        <v>549</v>
      </c>
      <c r="B125" s="22" t="s">
        <v>528</v>
      </c>
      <c r="C125" s="21" t="s">
        <v>567</v>
      </c>
      <c r="D125" s="21"/>
      <c r="E125" s="23" t="s">
        <v>572</v>
      </c>
      <c r="F125" s="24">
        <v>6</v>
      </c>
      <c r="G125" s="25">
        <f>SUMIF($C$16:$C$501,C125,$F$16:$F$501)</f>
      </c>
      <c r="H125" s="26">
        <f>F125/3600</f>
      </c>
      <c r="I125" s="27">
        <f>IFERROR(INDEX(Lists!$C:$C,MATCH(J125,Lists!$D:$D,0)),"")</f>
      </c>
      <c r="J125" s="29">
        <f>J115</f>
      </c>
      <c r="K125" s="1"/>
      <c r="L125" s="1"/>
      <c r="M125" s="1"/>
    </row>
    <row x14ac:dyDescent="0.25" r="126" customHeight="1" ht="18">
      <c r="A126" s="21" t="s">
        <v>549</v>
      </c>
      <c r="B126" s="22" t="s">
        <v>528</v>
      </c>
      <c r="C126" s="21" t="s">
        <v>565</v>
      </c>
      <c r="D126" s="21"/>
      <c r="E126" s="23" t="s">
        <v>573</v>
      </c>
      <c r="F126" s="24">
        <v>16</v>
      </c>
      <c r="G126" s="25">
        <f>SUMIF($C$16:$C$501,C126,$F$16:$F$501)</f>
      </c>
      <c r="H126" s="26">
        <f>F126/3600</f>
      </c>
      <c r="I126" s="27">
        <f>IFERROR(INDEX(Lists!$C:$C,MATCH(J126,Lists!$D:$D,0)),"")</f>
      </c>
      <c r="J126" s="29">
        <f>J114</f>
      </c>
      <c r="K126" s="1"/>
      <c r="L126" s="1"/>
      <c r="M126" s="1"/>
    </row>
    <row x14ac:dyDescent="0.25" r="127" customHeight="1" ht="18">
      <c r="A127" s="21" t="s">
        <v>549</v>
      </c>
      <c r="B127" s="22" t="s">
        <v>528</v>
      </c>
      <c r="C127" s="21" t="s">
        <v>567</v>
      </c>
      <c r="D127" s="21"/>
      <c r="E127" s="23" t="s">
        <v>573</v>
      </c>
      <c r="F127" s="24">
        <v>16</v>
      </c>
      <c r="G127" s="25">
        <f>SUMIF($C$16:$C$501,C127,$F$16:$F$501)</f>
      </c>
      <c r="H127" s="26">
        <f>F127/3600</f>
      </c>
      <c r="I127" s="27">
        <f>IFERROR(INDEX(Lists!$C:$C,MATCH(J127,Lists!$D:$D,0)),"")</f>
      </c>
      <c r="J127" s="29">
        <f>J115</f>
      </c>
      <c r="K127" s="1"/>
      <c r="L127" s="1"/>
      <c r="M127" s="1"/>
    </row>
    <row x14ac:dyDescent="0.25" r="128" customHeight="1" ht="18">
      <c r="A128" s="21" t="s">
        <v>549</v>
      </c>
      <c r="B128" s="22" t="s">
        <v>528</v>
      </c>
      <c r="C128" s="21" t="s">
        <v>565</v>
      </c>
      <c r="D128" s="21"/>
      <c r="E128" s="23" t="s">
        <v>574</v>
      </c>
      <c r="F128" s="24">
        <v>20</v>
      </c>
      <c r="G128" s="25">
        <f>SUMIF($C$16:$C$501,C128,$F$16:$F$501)</f>
      </c>
      <c r="H128" s="26">
        <f>F128/3600</f>
      </c>
      <c r="I128" s="27">
        <f>IFERROR(INDEX(Lists!$C:$C,MATCH(J128,Lists!$D:$D,0)),"")</f>
      </c>
      <c r="J128" s="29">
        <f>J114</f>
      </c>
      <c r="K128" s="1"/>
      <c r="L128" s="1"/>
      <c r="M128" s="1"/>
    </row>
    <row x14ac:dyDescent="0.25" r="129" customHeight="1" ht="18">
      <c r="A129" s="21" t="s">
        <v>549</v>
      </c>
      <c r="B129" s="22" t="s">
        <v>528</v>
      </c>
      <c r="C129" s="21" t="s">
        <v>567</v>
      </c>
      <c r="D129" s="21"/>
      <c r="E129" s="23" t="s">
        <v>574</v>
      </c>
      <c r="F129" s="24">
        <v>20</v>
      </c>
      <c r="G129" s="25">
        <f>SUMIF($C$16:$C$501,C129,$F$16:$F$501)</f>
      </c>
      <c r="H129" s="26">
        <f>F129/3600</f>
      </c>
      <c r="I129" s="27">
        <f>IFERROR(INDEX(Lists!$C:$C,MATCH(J129,Lists!$D:$D,0)),"")</f>
      </c>
      <c r="J129" s="29">
        <f>J115</f>
      </c>
      <c r="K129" s="1"/>
      <c r="L129" s="1"/>
      <c r="M129" s="1"/>
    </row>
    <row x14ac:dyDescent="0.25" r="130" customHeight="1" ht="18">
      <c r="A130" s="21" t="s">
        <v>549</v>
      </c>
      <c r="B130" s="22" t="s">
        <v>528</v>
      </c>
      <c r="C130" s="21" t="s">
        <v>565</v>
      </c>
      <c r="D130" s="21"/>
      <c r="E130" s="23" t="s">
        <v>575</v>
      </c>
      <c r="F130" s="24">
        <v>10</v>
      </c>
      <c r="G130" s="25">
        <f>SUMIF($C$16:$C$501,C130,$F$16:$F$501)</f>
      </c>
      <c r="H130" s="26">
        <f>F130/3600</f>
      </c>
      <c r="I130" s="27">
        <f>IFERROR(INDEX(Lists!$C:$C,MATCH(J130,Lists!$D:$D,0)),"")</f>
      </c>
      <c r="J130" s="29">
        <f>J114</f>
      </c>
      <c r="K130" s="1"/>
      <c r="L130" s="1"/>
      <c r="M130" s="1"/>
    </row>
    <row x14ac:dyDescent="0.25" r="131" customHeight="1" ht="18">
      <c r="A131" s="21" t="s">
        <v>549</v>
      </c>
      <c r="B131" s="22" t="s">
        <v>528</v>
      </c>
      <c r="C131" s="21" t="s">
        <v>567</v>
      </c>
      <c r="D131" s="21"/>
      <c r="E131" s="23" t="s">
        <v>575</v>
      </c>
      <c r="F131" s="24">
        <v>10</v>
      </c>
      <c r="G131" s="25">
        <f>SUMIF($C$16:$C$501,C131,$F$16:$F$501)</f>
      </c>
      <c r="H131" s="26">
        <f>F131/3600</f>
      </c>
      <c r="I131" s="27">
        <f>IFERROR(INDEX(Lists!$C:$C,MATCH(J131,Lists!$D:$D,0)),"")</f>
      </c>
      <c r="J131" s="29">
        <f>J115</f>
      </c>
      <c r="K131" s="1"/>
      <c r="L131" s="1"/>
      <c r="M131" s="1"/>
    </row>
    <row x14ac:dyDescent="0.25" r="132" customHeight="1" ht="18">
      <c r="A132" s="21" t="s">
        <v>549</v>
      </c>
      <c r="B132" s="22" t="s">
        <v>528</v>
      </c>
      <c r="C132" s="21" t="s">
        <v>565</v>
      </c>
      <c r="D132" s="21"/>
      <c r="E132" s="23" t="s">
        <v>576</v>
      </c>
      <c r="F132" s="24">
        <v>10</v>
      </c>
      <c r="G132" s="25">
        <f>SUMIF($C$16:$C$501,C132,$F$16:$F$501)</f>
      </c>
      <c r="H132" s="26">
        <f>F132/3600</f>
      </c>
      <c r="I132" s="27">
        <f>IFERROR(INDEX(Lists!$C:$C,MATCH(J132,Lists!$D:$D,0)),"")</f>
      </c>
      <c r="J132" s="29">
        <f>J114</f>
      </c>
      <c r="K132" s="1"/>
      <c r="L132" s="1"/>
      <c r="M132" s="1"/>
    </row>
    <row x14ac:dyDescent="0.25" r="133" customHeight="1" ht="18">
      <c r="A133" s="21" t="s">
        <v>549</v>
      </c>
      <c r="B133" s="22" t="s">
        <v>528</v>
      </c>
      <c r="C133" s="21" t="s">
        <v>567</v>
      </c>
      <c r="D133" s="21"/>
      <c r="E133" s="23" t="s">
        <v>576</v>
      </c>
      <c r="F133" s="24">
        <v>10</v>
      </c>
      <c r="G133" s="25">
        <f>SUMIF($C$16:$C$501,C133,$F$16:$F$501)</f>
      </c>
      <c r="H133" s="26">
        <f>F133/3600</f>
      </c>
      <c r="I133" s="27">
        <f>IFERROR(INDEX(Lists!$C:$C,MATCH(J133,Lists!$D:$D,0)),"")</f>
      </c>
      <c r="J133" s="29">
        <f>J115</f>
      </c>
      <c r="K133" s="1"/>
      <c r="L133" s="1"/>
      <c r="M133" s="1"/>
    </row>
    <row x14ac:dyDescent="0.25" r="134" customHeight="1" ht="18">
      <c r="A134" s="21" t="s">
        <v>577</v>
      </c>
      <c r="B134" s="22" t="s">
        <v>528</v>
      </c>
      <c r="C134" s="21" t="s">
        <v>578</v>
      </c>
      <c r="D134" s="21"/>
      <c r="E134" s="23" t="s">
        <v>579</v>
      </c>
      <c r="F134" s="24">
        <v>12</v>
      </c>
      <c r="G134" s="25">
        <f>SUMIF($C$16:$C$501,C134,$F$16:$F$501)</f>
      </c>
      <c r="H134" s="26">
        <f>F134/3600</f>
      </c>
      <c r="I134" s="27">
        <f>IFERROR(INDEX(Lists!$C:$C,MATCH(J134,Lists!$D:$D,0)),"")</f>
      </c>
      <c r="J134" s="28" t="s">
        <v>395</v>
      </c>
      <c r="K134" s="1"/>
      <c r="L134" s="1"/>
      <c r="M134" s="1"/>
    </row>
    <row x14ac:dyDescent="0.25" r="135" customHeight="1" ht="18">
      <c r="A135" s="21" t="s">
        <v>577</v>
      </c>
      <c r="B135" s="22" t="s">
        <v>528</v>
      </c>
      <c r="C135" s="21" t="s">
        <v>578</v>
      </c>
      <c r="D135" s="21"/>
      <c r="E135" s="23" t="s">
        <v>579</v>
      </c>
      <c r="F135" s="24">
        <v>20</v>
      </c>
      <c r="G135" s="25">
        <f>SUMIF($C$16:$C$501,C135,$F$16:$F$501)</f>
      </c>
      <c r="H135" s="26">
        <f>F135/3600</f>
      </c>
      <c r="I135" s="27">
        <f>IFERROR(INDEX(Lists!$C:$C,MATCH(J135,Lists!$D:$D,0)),"")</f>
      </c>
      <c r="J135" s="29">
        <f>J134</f>
      </c>
      <c r="K135" s="1"/>
      <c r="L135" s="1"/>
      <c r="M135" s="1"/>
    </row>
    <row x14ac:dyDescent="0.25" r="136" customHeight="1" ht="18">
      <c r="A136" s="21" t="s">
        <v>577</v>
      </c>
      <c r="B136" s="22" t="s">
        <v>528</v>
      </c>
      <c r="C136" s="21" t="s">
        <v>580</v>
      </c>
      <c r="D136" s="21"/>
      <c r="E136" s="23" t="s">
        <v>581</v>
      </c>
      <c r="F136" s="24">
        <v>20</v>
      </c>
      <c r="G136" s="25">
        <f>SUMIF($C$16:$C$501,C136,$F$16:$F$501)</f>
      </c>
      <c r="H136" s="26">
        <f>F136/3600</f>
      </c>
      <c r="I136" s="27">
        <f>IFERROR(INDEX(Lists!$C:$C,MATCH(J136,Lists!$D:$D,0)),"")</f>
      </c>
      <c r="J136" s="28" t="s">
        <v>238</v>
      </c>
      <c r="K136" s="1"/>
      <c r="L136" s="1"/>
      <c r="M136" s="1"/>
    </row>
    <row x14ac:dyDescent="0.25" r="137" customHeight="1" ht="18">
      <c r="A137" s="21" t="s">
        <v>577</v>
      </c>
      <c r="B137" s="22" t="s">
        <v>528</v>
      </c>
      <c r="C137" s="21" t="s">
        <v>580</v>
      </c>
      <c r="D137" s="21"/>
      <c r="E137" s="23" t="s">
        <v>582</v>
      </c>
      <c r="F137" s="24">
        <v>20</v>
      </c>
      <c r="G137" s="25">
        <f>SUMIF($C$16:$C$501,C137,$F$16:$F$501)</f>
      </c>
      <c r="H137" s="26">
        <f>F137/3600</f>
      </c>
      <c r="I137" s="27">
        <f>IFERROR(INDEX(Lists!$C:$C,MATCH(J137,Lists!$D:$D,0)),"")</f>
      </c>
      <c r="J137" s="29">
        <f>J136</f>
      </c>
      <c r="K137" s="1"/>
      <c r="L137" s="1"/>
      <c r="M137" s="1"/>
    </row>
    <row x14ac:dyDescent="0.25" r="138" customHeight="1" ht="18">
      <c r="A138" s="21" t="s">
        <v>577</v>
      </c>
      <c r="B138" s="22" t="s">
        <v>528</v>
      </c>
      <c r="C138" s="21" t="s">
        <v>580</v>
      </c>
      <c r="D138" s="21"/>
      <c r="E138" s="23" t="s">
        <v>583</v>
      </c>
      <c r="F138" s="24">
        <v>12</v>
      </c>
      <c r="G138" s="25">
        <f>SUMIF($C$16:$C$501,C138,$F$16:$F$501)</f>
      </c>
      <c r="H138" s="26">
        <f>F138/3600</f>
      </c>
      <c r="I138" s="27">
        <f>IFERROR(INDEX(Lists!$C:$C,MATCH(J138,Lists!$D:$D,0)),"")</f>
      </c>
      <c r="J138" s="29">
        <f>J136</f>
      </c>
      <c r="K138" s="1"/>
      <c r="L138" s="1"/>
      <c r="M138" s="1"/>
    </row>
    <row x14ac:dyDescent="0.25" r="139" customHeight="1" ht="18">
      <c r="A139" s="21" t="s">
        <v>577</v>
      </c>
      <c r="B139" s="22" t="s">
        <v>528</v>
      </c>
      <c r="C139" s="21" t="s">
        <v>584</v>
      </c>
      <c r="D139" s="21"/>
      <c r="E139" s="23" t="s">
        <v>585</v>
      </c>
      <c r="F139" s="24">
        <v>12</v>
      </c>
      <c r="G139" s="25">
        <f>SUMIF($C$16:$C$501,C139,$F$16:$F$501)</f>
      </c>
      <c r="H139" s="26">
        <f>F139/3600</f>
      </c>
      <c r="I139" s="27">
        <f>IFERROR(INDEX(Lists!$C:$C,MATCH(J139,Lists!$D:$D,0)),"")</f>
      </c>
      <c r="J139" s="28" t="s">
        <v>55</v>
      </c>
      <c r="K139" s="1"/>
      <c r="L139" s="1"/>
      <c r="M139" s="1"/>
    </row>
    <row x14ac:dyDescent="0.25" r="140" customHeight="1" ht="18">
      <c r="A140" s="21" t="s">
        <v>577</v>
      </c>
      <c r="B140" s="22" t="s">
        <v>528</v>
      </c>
      <c r="C140" s="21" t="s">
        <v>584</v>
      </c>
      <c r="D140" s="21"/>
      <c r="E140" s="23" t="s">
        <v>586</v>
      </c>
      <c r="F140" s="24">
        <v>36</v>
      </c>
      <c r="G140" s="25">
        <f>SUMIF($C$16:$C$501,C140,$F$16:$F$501)</f>
      </c>
      <c r="H140" s="26">
        <f>F140/3600</f>
      </c>
      <c r="I140" s="27">
        <f>IFERROR(INDEX(Lists!$C:$C,MATCH(J140,Lists!$D:$D,0)),"")</f>
      </c>
      <c r="J140" s="29">
        <f>J139</f>
      </c>
      <c r="K140" s="1"/>
      <c r="L140" s="1"/>
      <c r="M140" s="1"/>
    </row>
    <row x14ac:dyDescent="0.25" r="141" customHeight="1" ht="18">
      <c r="A141" s="21" t="s">
        <v>577</v>
      </c>
      <c r="B141" s="22" t="s">
        <v>528</v>
      </c>
      <c r="C141" s="21" t="s">
        <v>584</v>
      </c>
      <c r="D141" s="21"/>
      <c r="E141" s="23" t="s">
        <v>587</v>
      </c>
      <c r="F141" s="24">
        <v>28</v>
      </c>
      <c r="G141" s="25">
        <f>SUMIF($C$16:$C$501,C141,$F$16:$F$501)</f>
      </c>
      <c r="H141" s="26">
        <f>F141/3600</f>
      </c>
      <c r="I141" s="27">
        <f>IFERROR(INDEX(Lists!$C:$C,MATCH(J141,Lists!$D:$D,0)),"")</f>
      </c>
      <c r="J141" s="29">
        <f>J139</f>
      </c>
      <c r="K141" s="1"/>
      <c r="L141" s="1"/>
      <c r="M141" s="1"/>
    </row>
    <row x14ac:dyDescent="0.25" r="142" customHeight="1" ht="18">
      <c r="A142" s="21" t="s">
        <v>577</v>
      </c>
      <c r="B142" s="22" t="s">
        <v>528</v>
      </c>
      <c r="C142" s="21" t="s">
        <v>588</v>
      </c>
      <c r="D142" s="21"/>
      <c r="E142" s="23" t="s">
        <v>589</v>
      </c>
      <c r="F142" s="24">
        <v>42</v>
      </c>
      <c r="G142" s="25">
        <f>SUMIF($C$16:$C$501,C142,$F$16:$F$501)</f>
      </c>
      <c r="H142" s="26">
        <f>F142/3600</f>
      </c>
      <c r="I142" s="27">
        <f>IFERROR(INDEX(Lists!$C:$C,MATCH(J142,Lists!$D:$D,0)),"")</f>
      </c>
      <c r="J142" s="28" t="s">
        <v>33</v>
      </c>
      <c r="K142" s="1"/>
      <c r="L142" s="1"/>
      <c r="M142" s="1"/>
    </row>
    <row x14ac:dyDescent="0.25" r="143" customHeight="1" ht="18">
      <c r="A143" s="21" t="s">
        <v>590</v>
      </c>
      <c r="B143" s="22" t="s">
        <v>591</v>
      </c>
      <c r="C143" s="21" t="s">
        <v>592</v>
      </c>
      <c r="D143" s="21"/>
      <c r="E143" s="23" t="s">
        <v>593</v>
      </c>
      <c r="F143" s="24">
        <v>14</v>
      </c>
      <c r="G143" s="25">
        <f>SUMIF($C$16:$C$501,C143,$F$16:$F$501)</f>
      </c>
      <c r="H143" s="26">
        <f>F143/3600</f>
      </c>
      <c r="I143" s="27">
        <f>IFERROR(INDEX(Lists!$C:$C,MATCH(J143,Lists!$D:$D,0)),"")</f>
      </c>
      <c r="J143" s="28" t="s">
        <v>355</v>
      </c>
      <c r="K143" s="1"/>
      <c r="L143" s="1"/>
      <c r="M143" s="1"/>
    </row>
    <row x14ac:dyDescent="0.25" r="144" customHeight="1" ht="18">
      <c r="A144" s="21" t="s">
        <v>590</v>
      </c>
      <c r="B144" s="22" t="s">
        <v>591</v>
      </c>
      <c r="C144" s="21" t="s">
        <v>592</v>
      </c>
      <c r="D144" s="21"/>
      <c r="E144" s="23" t="s">
        <v>594</v>
      </c>
      <c r="F144" s="24">
        <v>16</v>
      </c>
      <c r="G144" s="25">
        <f>SUMIF($C$16:$C$501,C144,$F$16:$F$501)</f>
      </c>
      <c r="H144" s="26">
        <f>F144/3600</f>
      </c>
      <c r="I144" s="27">
        <f>IFERROR(INDEX(Lists!$C:$C,MATCH(J144,Lists!$D:$D,0)),"")</f>
      </c>
      <c r="J144" s="29">
        <f>J143</f>
      </c>
      <c r="K144" s="1"/>
      <c r="L144" s="1"/>
      <c r="M144" s="1"/>
    </row>
    <row x14ac:dyDescent="0.25" r="145" customHeight="1" ht="18">
      <c r="A145" s="21" t="s">
        <v>590</v>
      </c>
      <c r="B145" s="22" t="s">
        <v>591</v>
      </c>
      <c r="C145" s="21" t="s">
        <v>592</v>
      </c>
      <c r="D145" s="21"/>
      <c r="E145" s="23" t="s">
        <v>595</v>
      </c>
      <c r="F145" s="24">
        <v>28</v>
      </c>
      <c r="G145" s="25">
        <f>SUMIF($C$16:$C$501,C145,$F$16:$F$501)</f>
      </c>
      <c r="H145" s="26">
        <f>F145/3600</f>
      </c>
      <c r="I145" s="27">
        <f>IFERROR(INDEX(Lists!$C:$C,MATCH(J145,Lists!$D:$D,0)),"")</f>
      </c>
      <c r="J145" s="29">
        <f>J143</f>
      </c>
      <c r="K145" s="1"/>
      <c r="L145" s="1"/>
      <c r="M145" s="1"/>
    </row>
    <row x14ac:dyDescent="0.25" r="146" customHeight="1" ht="18">
      <c r="A146" s="21" t="s">
        <v>590</v>
      </c>
      <c r="B146" s="22" t="s">
        <v>591</v>
      </c>
      <c r="C146" s="21" t="s">
        <v>596</v>
      </c>
      <c r="D146" s="21"/>
      <c r="E146" s="23" t="s">
        <v>597</v>
      </c>
      <c r="F146" s="24">
        <v>12</v>
      </c>
      <c r="G146" s="25">
        <f>SUMIF($C$16:$C$501,C146,$F$16:$F$501)</f>
      </c>
      <c r="H146" s="26">
        <f>F146/3600</f>
      </c>
      <c r="I146" s="27">
        <f>IFERROR(INDEX(Lists!$C:$C,MATCH(J146,Lists!$D:$D,0)),"")</f>
      </c>
      <c r="J146" s="28" t="s">
        <v>269</v>
      </c>
      <c r="K146" s="1"/>
      <c r="L146" s="1"/>
      <c r="M146" s="1"/>
    </row>
    <row x14ac:dyDescent="0.25" r="147" customHeight="1" ht="18">
      <c r="A147" s="21" t="s">
        <v>590</v>
      </c>
      <c r="B147" s="22" t="s">
        <v>591</v>
      </c>
      <c r="C147" s="21" t="s">
        <v>596</v>
      </c>
      <c r="D147" s="21"/>
      <c r="E147" s="23" t="s">
        <v>598</v>
      </c>
      <c r="F147" s="24">
        <v>12</v>
      </c>
      <c r="G147" s="25">
        <f>SUMIF($C$16:$C$501,C147,$F$16:$F$501)</f>
      </c>
      <c r="H147" s="26">
        <f>F147/3600</f>
      </c>
      <c r="I147" s="27">
        <f>IFERROR(INDEX(Lists!$C:$C,MATCH(J147,Lists!$D:$D,0)),"")</f>
      </c>
      <c r="J147" s="29">
        <f>J146</f>
      </c>
      <c r="K147" s="1"/>
      <c r="L147" s="1"/>
      <c r="M147" s="1"/>
    </row>
    <row x14ac:dyDescent="0.25" r="148" customHeight="1" ht="18">
      <c r="A148" s="21" t="s">
        <v>590</v>
      </c>
      <c r="B148" s="22" t="s">
        <v>591</v>
      </c>
      <c r="C148" s="21" t="s">
        <v>596</v>
      </c>
      <c r="D148" s="21"/>
      <c r="E148" s="23" t="s">
        <v>599</v>
      </c>
      <c r="F148" s="24">
        <v>14</v>
      </c>
      <c r="G148" s="25">
        <f>SUMIF($C$16:$C$501,C148,$F$16:$F$501)</f>
      </c>
      <c r="H148" s="26">
        <f>F148/3600</f>
      </c>
      <c r="I148" s="27">
        <f>IFERROR(INDEX(Lists!$C:$C,MATCH(J148,Lists!$D:$D,0)),"")</f>
      </c>
      <c r="J148" s="29">
        <f>J146</f>
      </c>
      <c r="K148" s="1"/>
      <c r="L148" s="1"/>
      <c r="M148" s="1"/>
    </row>
    <row x14ac:dyDescent="0.25" r="149" customHeight="1" ht="18">
      <c r="A149" s="21" t="s">
        <v>590</v>
      </c>
      <c r="B149" s="22" t="s">
        <v>591</v>
      </c>
      <c r="C149" s="21" t="s">
        <v>600</v>
      </c>
      <c r="D149" s="21"/>
      <c r="E149" s="23" t="s">
        <v>601</v>
      </c>
      <c r="F149" s="24">
        <v>18</v>
      </c>
      <c r="G149" s="25">
        <f>SUMIF($C$16:$C$501,C149,$F$16:$F$501)</f>
      </c>
      <c r="H149" s="26">
        <f>F149/3600</f>
      </c>
      <c r="I149" s="27">
        <f>IFERROR(INDEX(Lists!$C:$C,MATCH(J149,Lists!$D:$D,0)),"")</f>
      </c>
      <c r="J149" s="28" t="s">
        <v>212</v>
      </c>
      <c r="K149" s="1"/>
      <c r="L149" s="1"/>
      <c r="M149" s="1"/>
    </row>
    <row x14ac:dyDescent="0.25" r="150" customHeight="1" ht="18">
      <c r="A150" s="21" t="s">
        <v>590</v>
      </c>
      <c r="B150" s="22" t="s">
        <v>591</v>
      </c>
      <c r="C150" s="21" t="s">
        <v>600</v>
      </c>
      <c r="D150" s="21"/>
      <c r="E150" s="23" t="s">
        <v>602</v>
      </c>
      <c r="F150" s="24">
        <v>18</v>
      </c>
      <c r="G150" s="25">
        <f>SUMIF($C$16:$C$501,C150,$F$16:$F$501)</f>
      </c>
      <c r="H150" s="26">
        <f>F150/3600</f>
      </c>
      <c r="I150" s="27">
        <f>IFERROR(INDEX(Lists!$C:$C,MATCH(J150,Lists!$D:$D,0)),"")</f>
      </c>
      <c r="J150" s="29">
        <f>J149</f>
      </c>
      <c r="K150" s="1"/>
      <c r="L150" s="1"/>
      <c r="M150" s="1"/>
    </row>
    <row x14ac:dyDescent="0.25" r="151" customHeight="1" ht="18">
      <c r="A151" s="21" t="s">
        <v>590</v>
      </c>
      <c r="B151" s="22" t="s">
        <v>591</v>
      </c>
      <c r="C151" s="21" t="s">
        <v>600</v>
      </c>
      <c r="D151" s="21"/>
      <c r="E151" s="23" t="s">
        <v>601</v>
      </c>
      <c r="F151" s="24">
        <v>18</v>
      </c>
      <c r="G151" s="25">
        <f>SUMIF($C$16:$C$501,C151,$F$16:$F$501)</f>
      </c>
      <c r="H151" s="26">
        <f>F151/3600</f>
      </c>
      <c r="I151" s="27">
        <f>IFERROR(INDEX(Lists!$C:$C,MATCH(J151,Lists!$D:$D,0)),"")</f>
      </c>
      <c r="J151" s="29">
        <f>J149</f>
      </c>
      <c r="K151" s="1"/>
      <c r="L151" s="1"/>
      <c r="M151" s="1"/>
    </row>
    <row x14ac:dyDescent="0.25" r="152" customHeight="1" ht="18">
      <c r="A152" s="21" t="s">
        <v>590</v>
      </c>
      <c r="B152" s="22" t="s">
        <v>591</v>
      </c>
      <c r="C152" s="21" t="s">
        <v>600</v>
      </c>
      <c r="D152" s="21"/>
      <c r="E152" s="23" t="s">
        <v>602</v>
      </c>
      <c r="F152" s="24">
        <v>18</v>
      </c>
      <c r="G152" s="25">
        <f>SUMIF($C$16:$C$501,C152,$F$16:$F$501)</f>
      </c>
      <c r="H152" s="26">
        <f>F152/3600</f>
      </c>
      <c r="I152" s="27">
        <f>IFERROR(INDEX(Lists!$C:$C,MATCH(J152,Lists!$D:$D,0)),"")</f>
      </c>
      <c r="J152" s="29">
        <f>J149</f>
      </c>
      <c r="K152" s="1"/>
      <c r="L152" s="1"/>
      <c r="M152" s="1"/>
    </row>
    <row x14ac:dyDescent="0.25" r="153" customHeight="1" ht="18">
      <c r="A153" s="21" t="s">
        <v>590</v>
      </c>
      <c r="B153" s="22" t="s">
        <v>591</v>
      </c>
      <c r="C153" s="21" t="s">
        <v>603</v>
      </c>
      <c r="D153" s="21"/>
      <c r="E153" s="23" t="s">
        <v>604</v>
      </c>
      <c r="F153" s="24">
        <v>60</v>
      </c>
      <c r="G153" s="25">
        <f>SUMIF($C$16:$C$501,C153,$F$16:$F$501)</f>
      </c>
      <c r="H153" s="26">
        <f>F153/3600</f>
      </c>
      <c r="I153" s="27">
        <f>IFERROR(INDEX(Lists!$C:$C,MATCH(J153,Lists!$D:$D,0)),"")</f>
      </c>
      <c r="J153" s="28" t="s">
        <v>383</v>
      </c>
      <c r="K153" s="1"/>
      <c r="L153" s="1"/>
      <c r="M153" s="1"/>
    </row>
    <row x14ac:dyDescent="0.25" r="154" customHeight="1" ht="18">
      <c r="A154" s="21" t="s">
        <v>590</v>
      </c>
      <c r="B154" s="22" t="s">
        <v>591</v>
      </c>
      <c r="C154" s="21" t="s">
        <v>605</v>
      </c>
      <c r="D154" s="21"/>
      <c r="E154" s="23" t="s">
        <v>604</v>
      </c>
      <c r="F154" s="24">
        <v>60</v>
      </c>
      <c r="G154" s="25">
        <f>SUMIF($C$16:$C$501,C154,$F$16:$F$501)</f>
      </c>
      <c r="H154" s="26">
        <f>F154/3600</f>
      </c>
      <c r="I154" s="27">
        <f>IFERROR(INDEX(Lists!$C:$C,MATCH(J154,Lists!$D:$D,0)),"")</f>
      </c>
      <c r="J154" s="28" t="s">
        <v>77</v>
      </c>
      <c r="K154" s="1"/>
      <c r="L154" s="1"/>
      <c r="M154" s="1"/>
    </row>
    <row x14ac:dyDescent="0.25" r="155" customHeight="1" ht="18">
      <c r="A155" s="21" t="s">
        <v>590</v>
      </c>
      <c r="B155" s="22" t="s">
        <v>591</v>
      </c>
      <c r="C155" s="21" t="s">
        <v>606</v>
      </c>
      <c r="D155" s="21"/>
      <c r="E155" s="23" t="s">
        <v>607</v>
      </c>
      <c r="F155" s="24">
        <v>12</v>
      </c>
      <c r="G155" s="25">
        <f>SUMIF($C$16:$C$501,C155,$F$16:$F$501)</f>
      </c>
      <c r="H155" s="26">
        <f>F155/3600</f>
      </c>
      <c r="I155" s="27">
        <f>IFERROR(INDEX(Lists!$C:$C,MATCH(J155,Lists!$D:$D,0)),"")</f>
      </c>
      <c r="J155" s="28" t="s">
        <v>393</v>
      </c>
      <c r="K155" s="1"/>
      <c r="L155" s="1"/>
      <c r="M155" s="1"/>
    </row>
    <row x14ac:dyDescent="0.25" r="156" customHeight="1" ht="18">
      <c r="A156" s="21" t="s">
        <v>590</v>
      </c>
      <c r="B156" s="22" t="s">
        <v>591</v>
      </c>
      <c r="C156" s="21" t="s">
        <v>606</v>
      </c>
      <c r="D156" s="21"/>
      <c r="E156" s="23" t="s">
        <v>608</v>
      </c>
      <c r="F156" s="24">
        <v>12</v>
      </c>
      <c r="G156" s="25">
        <f>SUMIF($C$16:$C$501,C156,$F$16:$F$501)</f>
      </c>
      <c r="H156" s="26">
        <f>F156/3600</f>
      </c>
      <c r="I156" s="27">
        <f>IFERROR(INDEX(Lists!$C:$C,MATCH(J156,Lists!$D:$D,0)),"")</f>
      </c>
      <c r="J156" s="29">
        <f>J155</f>
      </c>
      <c r="K156" s="1"/>
      <c r="L156" s="1"/>
      <c r="M156" s="1"/>
    </row>
    <row x14ac:dyDescent="0.25" r="157" customHeight="1" ht="18">
      <c r="A157" s="21" t="s">
        <v>590</v>
      </c>
      <c r="B157" s="22" t="s">
        <v>591</v>
      </c>
      <c r="C157" s="21" t="s">
        <v>606</v>
      </c>
      <c r="D157" s="21"/>
      <c r="E157" s="23" t="s">
        <v>609</v>
      </c>
      <c r="F157" s="24">
        <v>24</v>
      </c>
      <c r="G157" s="25">
        <f>SUMIF($C$16:$C$501,C157,$F$16:$F$501)</f>
      </c>
      <c r="H157" s="26">
        <f>F157/3600</f>
      </c>
      <c r="I157" s="27">
        <f>IFERROR(INDEX(Lists!$C:$C,MATCH(J157,Lists!$D:$D,0)),"")</f>
      </c>
      <c r="J157" s="29">
        <f>J155</f>
      </c>
      <c r="K157" s="1"/>
      <c r="L157" s="1"/>
      <c r="M157" s="1"/>
    </row>
    <row x14ac:dyDescent="0.25" r="158" customHeight="1" ht="18">
      <c r="A158" s="21" t="s">
        <v>590</v>
      </c>
      <c r="B158" s="22" t="s">
        <v>591</v>
      </c>
      <c r="C158" s="21" t="s">
        <v>606</v>
      </c>
      <c r="D158" s="21"/>
      <c r="E158" s="23" t="s">
        <v>610</v>
      </c>
      <c r="F158" s="24">
        <v>8</v>
      </c>
      <c r="G158" s="25">
        <f>SUMIF($C$16:$C$501,C158,$F$16:$F$501)</f>
      </c>
      <c r="H158" s="26">
        <f>F158/3600</f>
      </c>
      <c r="I158" s="27">
        <f>IFERROR(INDEX(Lists!$C:$C,MATCH(J158,Lists!$D:$D,0)),"")</f>
      </c>
      <c r="J158" s="29">
        <f>J155</f>
      </c>
      <c r="K158" s="1"/>
      <c r="L158" s="1"/>
      <c r="M158" s="1"/>
    </row>
    <row x14ac:dyDescent="0.25" r="159" customHeight="1" ht="18">
      <c r="A159" s="21" t="s">
        <v>590</v>
      </c>
      <c r="B159" s="22" t="s">
        <v>591</v>
      </c>
      <c r="C159" s="21" t="s">
        <v>606</v>
      </c>
      <c r="D159" s="21"/>
      <c r="E159" s="23" t="s">
        <v>611</v>
      </c>
      <c r="F159" s="24">
        <v>10</v>
      </c>
      <c r="G159" s="25">
        <f>SUMIF($C$16:$C$501,C159,$F$16:$F$501)</f>
      </c>
      <c r="H159" s="26">
        <f>F159/3600</f>
      </c>
      <c r="I159" s="27">
        <f>IFERROR(INDEX(Lists!$C:$C,MATCH(J159,Lists!$D:$D,0)),"")</f>
      </c>
      <c r="J159" s="29">
        <f>J155</f>
      </c>
      <c r="K159" s="1"/>
      <c r="L159" s="1"/>
      <c r="M159" s="1"/>
    </row>
    <row x14ac:dyDescent="0.25" r="160" customHeight="1" ht="18">
      <c r="A160" s="21" t="s">
        <v>590</v>
      </c>
      <c r="B160" s="22" t="s">
        <v>591</v>
      </c>
      <c r="C160" s="21" t="s">
        <v>612</v>
      </c>
      <c r="D160" s="21"/>
      <c r="E160" s="23" t="s">
        <v>613</v>
      </c>
      <c r="F160" s="24">
        <v>12</v>
      </c>
      <c r="G160" s="25">
        <f>SUMIF($C$16:$C$501,C160,$F$16:$F$501)</f>
      </c>
      <c r="H160" s="26">
        <f>F160/3600</f>
      </c>
      <c r="I160" s="27">
        <f>IFERROR(INDEX(Lists!$C:$C,MATCH(J160,Lists!$D:$D,0)),"")</f>
      </c>
      <c r="J160" s="28" t="s">
        <v>349</v>
      </c>
      <c r="K160" s="1"/>
      <c r="L160" s="1"/>
      <c r="M160" s="1"/>
    </row>
    <row x14ac:dyDescent="0.25" r="161" customHeight="1" ht="18">
      <c r="A161" s="21" t="s">
        <v>590</v>
      </c>
      <c r="B161" s="22" t="s">
        <v>591</v>
      </c>
      <c r="C161" s="21" t="s">
        <v>612</v>
      </c>
      <c r="D161" s="21"/>
      <c r="E161" s="23" t="s">
        <v>614</v>
      </c>
      <c r="F161" s="24">
        <v>12</v>
      </c>
      <c r="G161" s="25">
        <f>SUMIF($C$16:$C$501,C161,$F$16:$F$501)</f>
      </c>
      <c r="H161" s="26">
        <f>F161/3600</f>
      </c>
      <c r="I161" s="27">
        <f>IFERROR(INDEX(Lists!$C:$C,MATCH(J161,Lists!$D:$D,0)),"")</f>
      </c>
      <c r="J161" s="29">
        <f>J160</f>
      </c>
      <c r="K161" s="1"/>
      <c r="L161" s="1"/>
      <c r="M161" s="1"/>
    </row>
    <row x14ac:dyDescent="0.25" r="162" customHeight="1" ht="18">
      <c r="A162" s="21" t="s">
        <v>590</v>
      </c>
      <c r="B162" s="22" t="s">
        <v>591</v>
      </c>
      <c r="C162" s="21" t="s">
        <v>612</v>
      </c>
      <c r="D162" s="21"/>
      <c r="E162" s="23" t="s">
        <v>615</v>
      </c>
      <c r="F162" s="24">
        <v>16</v>
      </c>
      <c r="G162" s="25">
        <f>SUMIF($C$16:$C$501,C162,$F$16:$F$501)</f>
      </c>
      <c r="H162" s="26">
        <f>F162/3600</f>
      </c>
      <c r="I162" s="27">
        <f>IFERROR(INDEX(Lists!$C:$C,MATCH(J162,Lists!$D:$D,0)),"")</f>
      </c>
      <c r="J162" s="29">
        <f>J160</f>
      </c>
      <c r="K162" s="1"/>
      <c r="L162" s="1"/>
      <c r="M162" s="1"/>
    </row>
    <row x14ac:dyDescent="0.25" r="163" customHeight="1" ht="18">
      <c r="A163" s="21" t="s">
        <v>590</v>
      </c>
      <c r="B163" s="22" t="s">
        <v>591</v>
      </c>
      <c r="C163" s="21" t="s">
        <v>612</v>
      </c>
      <c r="D163" s="21"/>
      <c r="E163" s="23" t="s">
        <v>616</v>
      </c>
      <c r="F163" s="24">
        <v>12</v>
      </c>
      <c r="G163" s="25">
        <f>SUMIF($C$16:$C$501,C163,$F$16:$F$501)</f>
      </c>
      <c r="H163" s="26">
        <f>F163/3600</f>
      </c>
      <c r="I163" s="27">
        <f>IFERROR(INDEX(Lists!$C:$C,MATCH(J163,Lists!$D:$D,0)),"")</f>
      </c>
      <c r="J163" s="29">
        <f>J160</f>
      </c>
      <c r="K163" s="1"/>
      <c r="L163" s="1"/>
      <c r="M163" s="1"/>
    </row>
    <row x14ac:dyDescent="0.25" r="164" customHeight="1" ht="18">
      <c r="A164" s="21" t="s">
        <v>590</v>
      </c>
      <c r="B164" s="22" t="s">
        <v>591</v>
      </c>
      <c r="C164" s="21" t="s">
        <v>612</v>
      </c>
      <c r="D164" s="21"/>
      <c r="E164" s="23" t="s">
        <v>617</v>
      </c>
      <c r="F164" s="24">
        <v>12</v>
      </c>
      <c r="G164" s="25">
        <f>SUMIF($C$16:$C$501,C164,$F$16:$F$501)</f>
      </c>
      <c r="H164" s="26">
        <f>F164/3600</f>
      </c>
      <c r="I164" s="27">
        <f>IFERROR(INDEX(Lists!$C:$C,MATCH(J164,Lists!$D:$D,0)),"")</f>
      </c>
      <c r="J164" s="29">
        <f>J160</f>
      </c>
      <c r="K164" s="1"/>
      <c r="L164" s="1"/>
      <c r="M164" s="1"/>
    </row>
    <row x14ac:dyDescent="0.25" r="165" customHeight="1" ht="18">
      <c r="A165" s="21" t="s">
        <v>590</v>
      </c>
      <c r="B165" s="22" t="s">
        <v>591</v>
      </c>
      <c r="C165" s="21" t="s">
        <v>612</v>
      </c>
      <c r="D165" s="21"/>
      <c r="E165" s="23" t="s">
        <v>618</v>
      </c>
      <c r="F165" s="24">
        <v>14</v>
      </c>
      <c r="G165" s="25">
        <f>SUMIF($C$16:$C$501,C165,$F$16:$F$501)</f>
      </c>
      <c r="H165" s="26">
        <f>F165/3600</f>
      </c>
      <c r="I165" s="27">
        <f>IFERROR(INDEX(Lists!$C:$C,MATCH(J165,Lists!$D:$D,0)),"")</f>
      </c>
      <c r="J165" s="29">
        <f>J160</f>
      </c>
      <c r="K165" s="1"/>
      <c r="L165" s="1"/>
      <c r="M165" s="1"/>
    </row>
    <row x14ac:dyDescent="0.25" r="166" customHeight="1" ht="18">
      <c r="A166" s="21" t="s">
        <v>590</v>
      </c>
      <c r="B166" s="22" t="s">
        <v>591</v>
      </c>
      <c r="C166" s="21" t="s">
        <v>619</v>
      </c>
      <c r="D166" s="21"/>
      <c r="E166" s="23" t="s">
        <v>620</v>
      </c>
      <c r="F166" s="24">
        <v>12</v>
      </c>
      <c r="G166" s="25">
        <f>SUMIF($C$16:$C$501,C166,$F$16:$F$501)</f>
      </c>
      <c r="H166" s="26">
        <f>F166/3600</f>
      </c>
      <c r="I166" s="27">
        <f>IFERROR(INDEX(Lists!$C:$C,MATCH(J166,Lists!$D:$D,0)),"")</f>
      </c>
      <c r="J166" s="28" t="s">
        <v>289</v>
      </c>
      <c r="K166" s="1"/>
      <c r="L166" s="1"/>
      <c r="M166" s="1"/>
    </row>
    <row x14ac:dyDescent="0.25" r="167" customHeight="1" ht="18">
      <c r="A167" s="21" t="s">
        <v>590</v>
      </c>
      <c r="B167" s="22" t="s">
        <v>591</v>
      </c>
      <c r="C167" s="21" t="s">
        <v>619</v>
      </c>
      <c r="D167" s="21"/>
      <c r="E167" s="23" t="s">
        <v>617</v>
      </c>
      <c r="F167" s="24">
        <v>12</v>
      </c>
      <c r="G167" s="25">
        <f>SUMIF($C$16:$C$501,C167,$F$16:$F$501)</f>
      </c>
      <c r="H167" s="26">
        <f>F167/3600</f>
      </c>
      <c r="I167" s="27">
        <f>IFERROR(INDEX(Lists!$C:$C,MATCH(J167,Lists!$D:$D,0)),"")</f>
      </c>
      <c r="J167" s="29">
        <f>J166</f>
      </c>
      <c r="K167" s="1"/>
      <c r="L167" s="1"/>
      <c r="M167" s="1"/>
    </row>
    <row x14ac:dyDescent="0.25" r="168" customHeight="1" ht="18">
      <c r="A168" s="21" t="s">
        <v>590</v>
      </c>
      <c r="B168" s="22" t="s">
        <v>591</v>
      </c>
      <c r="C168" s="21" t="s">
        <v>619</v>
      </c>
      <c r="D168" s="21"/>
      <c r="E168" s="23" t="s">
        <v>621</v>
      </c>
      <c r="F168" s="24">
        <v>14</v>
      </c>
      <c r="G168" s="25">
        <f>SUMIF($C$16:$C$501,C168,$F$16:$F$501)</f>
      </c>
      <c r="H168" s="26">
        <f>F168/3600</f>
      </c>
      <c r="I168" s="27">
        <f>IFERROR(INDEX(Lists!$C:$C,MATCH(J168,Lists!$D:$D,0)),"")</f>
      </c>
      <c r="J168" s="29">
        <f>J166</f>
      </c>
      <c r="K168" s="1"/>
      <c r="L168" s="1"/>
      <c r="M168" s="1"/>
    </row>
    <row x14ac:dyDescent="0.25" r="169" customHeight="1" ht="18">
      <c r="A169" s="21" t="s">
        <v>590</v>
      </c>
      <c r="B169" s="22" t="s">
        <v>591</v>
      </c>
      <c r="C169" s="21" t="s">
        <v>622</v>
      </c>
      <c r="D169" s="21"/>
      <c r="E169" s="23" t="s">
        <v>623</v>
      </c>
      <c r="F169" s="24">
        <v>14</v>
      </c>
      <c r="G169" s="25">
        <f>SUMIF($C$16:$C$501,C169,$F$16:$F$501)</f>
      </c>
      <c r="H169" s="26">
        <f>F169/3600</f>
      </c>
      <c r="I169" s="27">
        <f>IFERROR(INDEX(Lists!$C:$C,MATCH(J169,Lists!$D:$D,0)),"")</f>
      </c>
      <c r="J169" s="28" t="s">
        <v>383</v>
      </c>
      <c r="K169" s="1"/>
      <c r="L169" s="1"/>
      <c r="M169" s="1"/>
    </row>
    <row x14ac:dyDescent="0.25" r="170" customHeight="1" ht="18">
      <c r="A170" s="21" t="s">
        <v>590</v>
      </c>
      <c r="B170" s="22" t="s">
        <v>591</v>
      </c>
      <c r="C170" s="21" t="s">
        <v>622</v>
      </c>
      <c r="D170" s="21"/>
      <c r="E170" s="23" t="s">
        <v>624</v>
      </c>
      <c r="F170" s="24">
        <v>14</v>
      </c>
      <c r="G170" s="25">
        <f>SUMIF($C$16:$C$501,C170,$F$16:$F$501)</f>
      </c>
      <c r="H170" s="26">
        <f>F170/3600</f>
      </c>
      <c r="I170" s="27">
        <f>IFERROR(INDEX(Lists!$C:$C,MATCH(J170,Lists!$D:$D,0)),"")</f>
      </c>
      <c r="J170" s="29">
        <f>J169</f>
      </c>
      <c r="K170" s="1"/>
      <c r="L170" s="1"/>
      <c r="M170" s="1"/>
    </row>
    <row x14ac:dyDescent="0.25" r="171" customHeight="1" ht="18">
      <c r="A171" s="21" t="s">
        <v>590</v>
      </c>
      <c r="B171" s="22" t="s">
        <v>591</v>
      </c>
      <c r="C171" s="21" t="s">
        <v>622</v>
      </c>
      <c r="D171" s="21"/>
      <c r="E171" s="23" t="s">
        <v>625</v>
      </c>
      <c r="F171" s="24">
        <v>52</v>
      </c>
      <c r="G171" s="25">
        <f>SUMIF($C$16:$C$501,C171,$F$16:$F$501)</f>
      </c>
      <c r="H171" s="26">
        <f>F171/3600</f>
      </c>
      <c r="I171" s="27">
        <f>IFERROR(INDEX(Lists!$C:$C,MATCH(J171,Lists!$D:$D,0)),"")</f>
      </c>
      <c r="J171" s="29">
        <f>J169</f>
      </c>
      <c r="K171" s="1"/>
      <c r="L171" s="1"/>
      <c r="M171" s="1"/>
    </row>
    <row x14ac:dyDescent="0.25" r="172" customHeight="1" ht="18">
      <c r="A172" s="21" t="s">
        <v>590</v>
      </c>
      <c r="B172" s="22" t="s">
        <v>591</v>
      </c>
      <c r="C172" s="21" t="s">
        <v>622</v>
      </c>
      <c r="D172" s="21"/>
      <c r="E172" s="23" t="s">
        <v>623</v>
      </c>
      <c r="F172" s="24">
        <v>12</v>
      </c>
      <c r="G172" s="25">
        <f>SUMIF($C$16:$C$501,C172,$F$16:$F$501)</f>
      </c>
      <c r="H172" s="26">
        <f>F172/3600</f>
      </c>
      <c r="I172" s="27">
        <f>IFERROR(INDEX(Lists!$C:$C,MATCH(J172,Lists!$D:$D,0)),"")</f>
      </c>
      <c r="J172" s="29">
        <f>J169</f>
      </c>
      <c r="K172" s="1"/>
      <c r="L172" s="1"/>
      <c r="M172" s="1"/>
    </row>
    <row x14ac:dyDescent="0.25" r="173" customHeight="1" ht="18">
      <c r="A173" s="21" t="s">
        <v>590</v>
      </c>
      <c r="B173" s="22" t="s">
        <v>591</v>
      </c>
      <c r="C173" s="21" t="s">
        <v>622</v>
      </c>
      <c r="D173" s="21"/>
      <c r="E173" s="23" t="s">
        <v>626</v>
      </c>
      <c r="F173" s="24">
        <v>12</v>
      </c>
      <c r="G173" s="25">
        <f>SUMIF($C$16:$C$501,C173,$F$16:$F$501)</f>
      </c>
      <c r="H173" s="26">
        <f>F173/3600</f>
      </c>
      <c r="I173" s="27">
        <f>IFERROR(INDEX(Lists!$C:$C,MATCH(J173,Lists!$D:$D,0)),"")</f>
      </c>
      <c r="J173" s="29">
        <f>J169</f>
      </c>
      <c r="K173" s="1"/>
      <c r="L173" s="1"/>
      <c r="M173" s="1"/>
    </row>
    <row x14ac:dyDescent="0.25" r="174" customHeight="1" ht="18">
      <c r="A174" s="21" t="s">
        <v>590</v>
      </c>
      <c r="B174" s="22" t="s">
        <v>591</v>
      </c>
      <c r="C174" s="21" t="s">
        <v>622</v>
      </c>
      <c r="D174" s="21"/>
      <c r="E174" s="23" t="s">
        <v>627</v>
      </c>
      <c r="F174" s="24">
        <v>36</v>
      </c>
      <c r="G174" s="25">
        <f>SUMIF($C$16:$C$501,C174,$F$16:$F$501)</f>
      </c>
      <c r="H174" s="26">
        <f>F174/3600</f>
      </c>
      <c r="I174" s="27">
        <f>IFERROR(INDEX(Lists!$C:$C,MATCH(J174,Lists!$D:$D,0)),"")</f>
      </c>
      <c r="J174" s="29">
        <f>J169</f>
      </c>
      <c r="K174" s="1"/>
      <c r="L174" s="1"/>
      <c r="M174" s="1"/>
    </row>
    <row x14ac:dyDescent="0.25" r="175" customHeight="1" ht="18">
      <c r="A175" s="21" t="s">
        <v>590</v>
      </c>
      <c r="B175" s="22" t="s">
        <v>591</v>
      </c>
      <c r="C175" s="21" t="s">
        <v>628</v>
      </c>
      <c r="D175" s="21"/>
      <c r="E175" s="23" t="s">
        <v>629</v>
      </c>
      <c r="F175" s="24">
        <v>60</v>
      </c>
      <c r="G175" s="25">
        <f>SUMIF($C$16:$C$501,C175,$F$16:$F$501)</f>
      </c>
      <c r="H175" s="26">
        <f>F175/3600</f>
      </c>
      <c r="I175" s="27">
        <f>IFERROR(INDEX(Lists!$C:$C,MATCH(J175,Lists!$D:$D,0)),"")</f>
      </c>
      <c r="J175" s="28" t="s">
        <v>234</v>
      </c>
      <c r="K175" s="1"/>
      <c r="L175" s="1"/>
      <c r="M175" s="1"/>
    </row>
    <row x14ac:dyDescent="0.25" r="176" customHeight="1" ht="18">
      <c r="A176" s="21" t="s">
        <v>590</v>
      </c>
      <c r="B176" s="22" t="s">
        <v>591</v>
      </c>
      <c r="C176" s="21" t="s">
        <v>628</v>
      </c>
      <c r="D176" s="21"/>
      <c r="E176" s="23" t="s">
        <v>629</v>
      </c>
      <c r="F176" s="24">
        <v>60</v>
      </c>
      <c r="G176" s="25">
        <f>SUMIF($C$16:$C$501,C176,$F$16:$F$501)</f>
      </c>
      <c r="H176" s="26">
        <f>F176/3600</f>
      </c>
      <c r="I176" s="27">
        <f>IFERROR(INDEX(Lists!$C:$C,MATCH(J176,Lists!$D:$D,0)),"")</f>
      </c>
      <c r="J176" s="29">
        <f>J175</f>
      </c>
      <c r="K176" s="1"/>
      <c r="L176" s="1"/>
      <c r="M176" s="1"/>
    </row>
    <row x14ac:dyDescent="0.25" r="177" customHeight="1" ht="18">
      <c r="A177" s="21" t="s">
        <v>590</v>
      </c>
      <c r="B177" s="22" t="s">
        <v>591</v>
      </c>
      <c r="C177" s="21" t="s">
        <v>630</v>
      </c>
      <c r="D177" s="21"/>
      <c r="E177" s="23" t="s">
        <v>631</v>
      </c>
      <c r="F177" s="24">
        <v>16</v>
      </c>
      <c r="G177" s="25">
        <f>SUMIF($C$16:$C$501,C177,$F$16:$F$501)</f>
      </c>
      <c r="H177" s="26">
        <f>F177/3600</f>
      </c>
      <c r="I177" s="27">
        <f>IFERROR(INDEX(Lists!$C:$C,MATCH(J177,Lists!$D:$D,0)),"")</f>
      </c>
      <c r="J177" s="28" t="s">
        <v>351</v>
      </c>
      <c r="K177" s="1"/>
      <c r="L177" s="1"/>
      <c r="M177" s="1"/>
    </row>
    <row x14ac:dyDescent="0.25" r="178" customHeight="1" ht="18">
      <c r="A178" s="21" t="s">
        <v>590</v>
      </c>
      <c r="B178" s="22" t="s">
        <v>591</v>
      </c>
      <c r="C178" s="21" t="s">
        <v>630</v>
      </c>
      <c r="D178" s="21"/>
      <c r="E178" s="23" t="s">
        <v>587</v>
      </c>
      <c r="F178" s="24">
        <v>60</v>
      </c>
      <c r="G178" s="25">
        <f>SUMIF($C$16:$C$501,C178,$F$16:$F$501)</f>
      </c>
      <c r="H178" s="26">
        <f>F178/3600</f>
      </c>
      <c r="I178" s="27">
        <f>IFERROR(INDEX(Lists!$C:$C,MATCH(J178,Lists!$D:$D,0)),"")</f>
      </c>
      <c r="J178" s="29">
        <f>J177</f>
      </c>
      <c r="K178" s="1"/>
      <c r="L178" s="1"/>
      <c r="M178" s="1"/>
    </row>
    <row x14ac:dyDescent="0.25" r="179" customHeight="1" ht="18">
      <c r="A179" s="21" t="s">
        <v>590</v>
      </c>
      <c r="B179" s="22" t="s">
        <v>591</v>
      </c>
      <c r="C179" s="21" t="s">
        <v>632</v>
      </c>
      <c r="D179" s="21"/>
      <c r="E179" s="23" t="s">
        <v>617</v>
      </c>
      <c r="F179" s="24">
        <v>12</v>
      </c>
      <c r="G179" s="25">
        <f>SUMIF($C$16:$C$501,C179,$F$16:$F$501)</f>
      </c>
      <c r="H179" s="26">
        <f>F179/3600</f>
      </c>
      <c r="I179" s="27">
        <f>IFERROR(INDEX(Lists!$C:$C,MATCH(J179,Lists!$D:$D,0)),"")</f>
      </c>
      <c r="J179" s="28" t="s">
        <v>291</v>
      </c>
      <c r="K179" s="1"/>
      <c r="L179" s="1"/>
      <c r="M179" s="1"/>
    </row>
    <row x14ac:dyDescent="0.25" r="180" customHeight="1" ht="18">
      <c r="A180" s="21" t="s">
        <v>590</v>
      </c>
      <c r="B180" s="22" t="s">
        <v>591</v>
      </c>
      <c r="C180" s="21" t="s">
        <v>632</v>
      </c>
      <c r="D180" s="21"/>
      <c r="E180" s="23" t="s">
        <v>633</v>
      </c>
      <c r="F180" s="24">
        <v>12</v>
      </c>
      <c r="G180" s="25">
        <f>SUMIF($C$16:$C$501,C180,$F$16:$F$501)</f>
      </c>
      <c r="H180" s="26">
        <f>F180/3600</f>
      </c>
      <c r="I180" s="27">
        <f>IFERROR(INDEX(Lists!$C:$C,MATCH(J180,Lists!$D:$D,0)),"")</f>
      </c>
      <c r="J180" s="29">
        <f>J179</f>
      </c>
      <c r="K180" s="1"/>
      <c r="L180" s="1"/>
      <c r="M180" s="1"/>
    </row>
    <row x14ac:dyDescent="0.25" r="181" customHeight="1" ht="18">
      <c r="A181" s="21" t="s">
        <v>590</v>
      </c>
      <c r="B181" s="22" t="s">
        <v>591</v>
      </c>
      <c r="C181" s="21" t="s">
        <v>632</v>
      </c>
      <c r="D181" s="21"/>
      <c r="E181" s="23" t="s">
        <v>634</v>
      </c>
      <c r="F181" s="24">
        <v>24</v>
      </c>
      <c r="G181" s="25">
        <f>SUMIF($C$16:$C$501,C181,$F$16:$F$501)</f>
      </c>
      <c r="H181" s="26">
        <f>F181/3600</f>
      </c>
      <c r="I181" s="27">
        <f>IFERROR(INDEX(Lists!$C:$C,MATCH(J181,Lists!$D:$D,0)),"")</f>
      </c>
      <c r="J181" s="29">
        <f>J179</f>
      </c>
      <c r="K181" s="1"/>
      <c r="L181" s="1"/>
      <c r="M181" s="1"/>
    </row>
    <row x14ac:dyDescent="0.25" r="182" customHeight="1" ht="18">
      <c r="A182" s="21" t="s">
        <v>590</v>
      </c>
      <c r="B182" s="22" t="s">
        <v>591</v>
      </c>
      <c r="C182" s="21" t="s">
        <v>635</v>
      </c>
      <c r="D182" s="21"/>
      <c r="E182" s="23" t="s">
        <v>636</v>
      </c>
      <c r="F182" s="24">
        <v>14</v>
      </c>
      <c r="G182" s="25">
        <f>SUMIF($C$16:$C$501,C182,$F$16:$F$501)</f>
      </c>
      <c r="H182" s="26">
        <f>F182/3600</f>
      </c>
      <c r="I182" s="27">
        <f>IFERROR(INDEX(Lists!$C:$C,MATCH(J182,Lists!$D:$D,0)),"")</f>
      </c>
      <c r="J182" s="28" t="s">
        <v>381</v>
      </c>
      <c r="K182" s="1"/>
      <c r="L182" s="1"/>
      <c r="M182" s="1"/>
    </row>
    <row x14ac:dyDescent="0.25" r="183" customHeight="1" ht="18">
      <c r="A183" s="21" t="s">
        <v>590</v>
      </c>
      <c r="B183" s="22" t="s">
        <v>591</v>
      </c>
      <c r="C183" s="21" t="s">
        <v>635</v>
      </c>
      <c r="D183" s="21"/>
      <c r="E183" s="23" t="s">
        <v>637</v>
      </c>
      <c r="F183" s="24">
        <v>14</v>
      </c>
      <c r="G183" s="25">
        <f>SUMIF($C$16:$C$501,C183,$F$16:$F$501)</f>
      </c>
      <c r="H183" s="26">
        <f>F183/3600</f>
      </c>
      <c r="I183" s="27">
        <f>IFERROR(INDEX(Lists!$C:$C,MATCH(J183,Lists!$D:$D,0)),"")</f>
      </c>
      <c r="J183" s="29">
        <f>J182</f>
      </c>
      <c r="K183" s="1"/>
      <c r="L183" s="1"/>
      <c r="M183" s="1"/>
    </row>
    <row x14ac:dyDescent="0.25" r="184" customHeight="1" ht="18">
      <c r="A184" s="21" t="s">
        <v>590</v>
      </c>
      <c r="B184" s="22" t="s">
        <v>591</v>
      </c>
      <c r="C184" s="21" t="s">
        <v>635</v>
      </c>
      <c r="D184" s="21"/>
      <c r="E184" s="23" t="s">
        <v>638</v>
      </c>
      <c r="F184" s="24">
        <v>52</v>
      </c>
      <c r="G184" s="25">
        <f>SUMIF($C$16:$C$501,C184,$F$16:$F$501)</f>
      </c>
      <c r="H184" s="26">
        <f>F184/3600</f>
      </c>
      <c r="I184" s="27">
        <f>IFERROR(INDEX(Lists!$C:$C,MATCH(J184,Lists!$D:$D,0)),"")</f>
      </c>
      <c r="J184" s="29">
        <f>J182</f>
      </c>
      <c r="K184" s="1"/>
      <c r="L184" s="1"/>
      <c r="M184" s="1"/>
    </row>
    <row x14ac:dyDescent="0.25" r="185" customHeight="1" ht="18">
      <c r="A185" s="21" t="s">
        <v>590</v>
      </c>
      <c r="B185" s="22" t="s">
        <v>591</v>
      </c>
      <c r="C185" s="21" t="s">
        <v>639</v>
      </c>
      <c r="D185" s="21"/>
      <c r="E185" s="23" t="s">
        <v>636</v>
      </c>
      <c r="F185" s="24">
        <v>14</v>
      </c>
      <c r="G185" s="25">
        <f>SUMIF($C$16:$C$501,C185,$F$16:$F$501)</f>
      </c>
      <c r="H185" s="26">
        <f>F185/3600</f>
      </c>
      <c r="I185" s="27">
        <f>IFERROR(INDEX(Lists!$C:$C,MATCH(J185,Lists!$D:$D,0)),"")</f>
      </c>
      <c r="J185" s="28" t="s">
        <v>359</v>
      </c>
      <c r="K185" s="1"/>
      <c r="L185" s="1"/>
      <c r="M185" s="1"/>
    </row>
    <row x14ac:dyDescent="0.25" r="186" customHeight="1" ht="18">
      <c r="A186" s="21" t="s">
        <v>590</v>
      </c>
      <c r="B186" s="22" t="s">
        <v>591</v>
      </c>
      <c r="C186" s="21" t="s">
        <v>639</v>
      </c>
      <c r="D186" s="21"/>
      <c r="E186" s="23" t="s">
        <v>637</v>
      </c>
      <c r="F186" s="24">
        <v>14</v>
      </c>
      <c r="G186" s="25">
        <f>SUMIF($C$16:$C$501,C186,$F$16:$F$501)</f>
      </c>
      <c r="H186" s="26">
        <f>F186/3600</f>
      </c>
      <c r="I186" s="27">
        <f>IFERROR(INDEX(Lists!$C:$C,MATCH(J186,Lists!$D:$D,0)),"")</f>
      </c>
      <c r="J186" s="29">
        <f>J185</f>
      </c>
      <c r="K186" s="1"/>
      <c r="L186" s="1"/>
      <c r="M186" s="1"/>
    </row>
    <row x14ac:dyDescent="0.25" r="187" customHeight="1" ht="18">
      <c r="A187" s="21" t="s">
        <v>590</v>
      </c>
      <c r="B187" s="22" t="s">
        <v>591</v>
      </c>
      <c r="C187" s="21" t="s">
        <v>639</v>
      </c>
      <c r="D187" s="21"/>
      <c r="E187" s="23" t="s">
        <v>638</v>
      </c>
      <c r="F187" s="24">
        <v>52</v>
      </c>
      <c r="G187" s="25">
        <f>SUMIF($C$16:$C$501,C187,$F$16:$F$501)</f>
      </c>
      <c r="H187" s="26">
        <f>F187/3600</f>
      </c>
      <c r="I187" s="27">
        <f>IFERROR(INDEX(Lists!$C:$C,MATCH(J187,Lists!$D:$D,0)),"")</f>
      </c>
      <c r="J187" s="29">
        <f>J185</f>
      </c>
      <c r="K187" s="1"/>
      <c r="L187" s="1"/>
      <c r="M187" s="1"/>
    </row>
    <row x14ac:dyDescent="0.25" r="188" customHeight="1" ht="18">
      <c r="A188" s="21" t="s">
        <v>590</v>
      </c>
      <c r="B188" s="22" t="s">
        <v>591</v>
      </c>
      <c r="C188" s="21" t="s">
        <v>640</v>
      </c>
      <c r="D188" s="21"/>
      <c r="E188" s="23" t="s">
        <v>641</v>
      </c>
      <c r="F188" s="24">
        <v>36</v>
      </c>
      <c r="G188" s="25">
        <f>SUMIF($C$16:$C$501,C188,$F$16:$F$501)</f>
      </c>
      <c r="H188" s="26">
        <f>F188/3600</f>
      </c>
      <c r="I188" s="27">
        <f>IFERROR(INDEX(Lists!$C:$C,MATCH(J188,Lists!$D:$D,0)),"")</f>
      </c>
      <c r="J188" s="28" t="s">
        <v>176</v>
      </c>
      <c r="K188" s="1"/>
      <c r="L188" s="1"/>
      <c r="M188" s="1"/>
    </row>
    <row x14ac:dyDescent="0.25" r="189" customHeight="1" ht="18">
      <c r="A189" s="21" t="s">
        <v>590</v>
      </c>
      <c r="B189" s="22" t="s">
        <v>591</v>
      </c>
      <c r="C189" s="21" t="s">
        <v>640</v>
      </c>
      <c r="D189" s="21"/>
      <c r="E189" s="23" t="s">
        <v>587</v>
      </c>
      <c r="F189" s="24">
        <v>28</v>
      </c>
      <c r="G189" s="25">
        <f>SUMIF($C$16:$C$501,C189,$F$16:$F$501)</f>
      </c>
      <c r="H189" s="26">
        <f>F189/3600</f>
      </c>
      <c r="I189" s="27">
        <f>IFERROR(INDEX(Lists!$C:$C,MATCH(J189,Lists!$D:$D,0)),"")</f>
      </c>
      <c r="J189" s="29">
        <f>J188</f>
      </c>
      <c r="K189" s="1"/>
      <c r="L189" s="1"/>
      <c r="M189" s="1"/>
    </row>
    <row x14ac:dyDescent="0.25" r="190" customHeight="1" ht="18">
      <c r="A190" s="21" t="s">
        <v>590</v>
      </c>
      <c r="B190" s="22" t="s">
        <v>591</v>
      </c>
      <c r="C190" s="21" t="s">
        <v>642</v>
      </c>
      <c r="D190" s="21"/>
      <c r="E190" s="23" t="s">
        <v>537</v>
      </c>
      <c r="F190" s="24">
        <v>10</v>
      </c>
      <c r="G190" s="25">
        <f>SUMIF($C$16:$C$501,C190,$F$16:$F$501)</f>
      </c>
      <c r="H190" s="26">
        <f>F190/3600</f>
      </c>
      <c r="I190" s="27">
        <f>IFERROR(INDEX(Lists!$C:$C,MATCH(J190,Lists!$D:$D,0)),"")</f>
      </c>
      <c r="J190" s="28" t="s">
        <v>387</v>
      </c>
      <c r="K190" s="1"/>
      <c r="L190" s="1"/>
      <c r="M190" s="1"/>
    </row>
    <row x14ac:dyDescent="0.25" r="191" customHeight="1" ht="18">
      <c r="A191" s="21" t="s">
        <v>590</v>
      </c>
      <c r="B191" s="22" t="s">
        <v>591</v>
      </c>
      <c r="C191" s="21" t="s">
        <v>642</v>
      </c>
      <c r="D191" s="21"/>
      <c r="E191" s="23" t="s">
        <v>537</v>
      </c>
      <c r="F191" s="24">
        <v>12</v>
      </c>
      <c r="G191" s="25">
        <f>SUMIF($C$16:$C$501,C191,$F$16:$F$501)</f>
      </c>
      <c r="H191" s="26">
        <f>F191/3600</f>
      </c>
      <c r="I191" s="27">
        <f>IFERROR(INDEX(Lists!$C:$C,MATCH(J191,Lists!$D:$D,0)),"")</f>
      </c>
      <c r="J191" s="29">
        <f>J190</f>
      </c>
      <c r="K191" s="1"/>
      <c r="L191" s="1"/>
      <c r="M191" s="1"/>
    </row>
    <row x14ac:dyDescent="0.25" r="192" customHeight="1" ht="18">
      <c r="A192" s="21" t="s">
        <v>590</v>
      </c>
      <c r="B192" s="22" t="s">
        <v>591</v>
      </c>
      <c r="C192" s="21" t="s">
        <v>642</v>
      </c>
      <c r="D192" s="21"/>
      <c r="E192" s="23" t="s">
        <v>537</v>
      </c>
      <c r="F192" s="24">
        <v>12</v>
      </c>
      <c r="G192" s="25">
        <f>SUMIF($C$16:$C$501,C192,$F$16:$F$501)</f>
      </c>
      <c r="H192" s="26">
        <f>F192/3600</f>
      </c>
      <c r="I192" s="27">
        <f>IFERROR(INDEX(Lists!$C:$C,MATCH(J192,Lists!$D:$D,0)),"")</f>
      </c>
      <c r="J192" s="29">
        <f>J190</f>
      </c>
      <c r="K192" s="1"/>
      <c r="L192" s="1"/>
      <c r="M192" s="1"/>
    </row>
    <row x14ac:dyDescent="0.25" r="193" customHeight="1" ht="18">
      <c r="A193" s="21" t="s">
        <v>590</v>
      </c>
      <c r="B193" s="22" t="s">
        <v>591</v>
      </c>
      <c r="C193" s="21" t="s">
        <v>642</v>
      </c>
      <c r="D193" s="21"/>
      <c r="E193" s="23" t="s">
        <v>537</v>
      </c>
      <c r="F193" s="24">
        <v>10</v>
      </c>
      <c r="G193" s="25">
        <f>SUMIF($C$16:$C$501,C193,$F$16:$F$501)</f>
      </c>
      <c r="H193" s="26">
        <f>F193/3600</f>
      </c>
      <c r="I193" s="27">
        <f>IFERROR(INDEX(Lists!$C:$C,MATCH(J193,Lists!$D:$D,0)),"")</f>
      </c>
      <c r="J193" s="29">
        <f>J190</f>
      </c>
      <c r="K193" s="1"/>
      <c r="L193" s="1"/>
      <c r="M193" s="1"/>
    </row>
    <row x14ac:dyDescent="0.25" r="194" customHeight="1" ht="18">
      <c r="A194" s="21" t="s">
        <v>590</v>
      </c>
      <c r="B194" s="22" t="s">
        <v>591</v>
      </c>
      <c r="C194" s="21" t="s">
        <v>642</v>
      </c>
      <c r="D194" s="21"/>
      <c r="E194" s="23" t="s">
        <v>537</v>
      </c>
      <c r="F194" s="24">
        <v>12</v>
      </c>
      <c r="G194" s="25">
        <f>SUMIF($C$16:$C$501,C194,$F$16:$F$501)</f>
      </c>
      <c r="H194" s="26">
        <f>F194/3600</f>
      </c>
      <c r="I194" s="27">
        <f>IFERROR(INDEX(Lists!$C:$C,MATCH(J194,Lists!$D:$D,0)),"")</f>
      </c>
      <c r="J194" s="29">
        <f>J190</f>
      </c>
      <c r="K194" s="1"/>
      <c r="L194" s="1"/>
      <c r="M194" s="1"/>
    </row>
    <row x14ac:dyDescent="0.25" r="195" customHeight="1" ht="18">
      <c r="A195" s="21" t="s">
        <v>590</v>
      </c>
      <c r="B195" s="22" t="s">
        <v>591</v>
      </c>
      <c r="C195" s="21" t="s">
        <v>642</v>
      </c>
      <c r="D195" s="21"/>
      <c r="E195" s="23" t="s">
        <v>537</v>
      </c>
      <c r="F195" s="24">
        <v>10</v>
      </c>
      <c r="G195" s="25">
        <f>SUMIF($C$16:$C$501,C195,$F$16:$F$501)</f>
      </c>
      <c r="H195" s="26">
        <f>F195/3600</f>
      </c>
      <c r="I195" s="27">
        <f>IFERROR(INDEX(Lists!$C:$C,MATCH(J195,Lists!$D:$D,0)),"")</f>
      </c>
      <c r="J195" s="29">
        <f>J190</f>
      </c>
      <c r="K195" s="1"/>
      <c r="L195" s="1"/>
      <c r="M195" s="1"/>
    </row>
    <row x14ac:dyDescent="0.25" r="196" customHeight="1" ht="18">
      <c r="A196" s="21" t="s">
        <v>549</v>
      </c>
      <c r="B196" s="22" t="s">
        <v>591</v>
      </c>
      <c r="C196" s="21" t="s">
        <v>643</v>
      </c>
      <c r="D196" s="21"/>
      <c r="E196" s="23" t="s">
        <v>544</v>
      </c>
      <c r="F196" s="24">
        <v>10</v>
      </c>
      <c r="G196" s="25">
        <f>SUMIF($C$16:$C$501,C196,$F$16:$F$501)</f>
      </c>
      <c r="H196" s="26">
        <f>F196/3600</f>
      </c>
      <c r="I196" s="27">
        <f>IFERROR(INDEX(Lists!$C:$C,MATCH(J196,Lists!$D:$D,0)),"")</f>
      </c>
      <c r="J196" s="30"/>
      <c r="K196" s="1"/>
      <c r="L196" s="1"/>
      <c r="M196" s="1"/>
    </row>
    <row x14ac:dyDescent="0.25" r="197" customHeight="1" ht="18">
      <c r="A197" s="21" t="s">
        <v>549</v>
      </c>
      <c r="B197" s="22" t="s">
        <v>591</v>
      </c>
      <c r="C197" s="21" t="s">
        <v>643</v>
      </c>
      <c r="D197" s="21"/>
      <c r="E197" s="23" t="s">
        <v>546</v>
      </c>
      <c r="F197" s="24">
        <v>10</v>
      </c>
      <c r="G197" s="25">
        <f>SUMIF($C$16:$C$501,C197,$F$16:$F$501)</f>
      </c>
      <c r="H197" s="26">
        <f>F197/3600</f>
      </c>
      <c r="I197" s="27">
        <f>IFERROR(INDEX(Lists!$C:$C,MATCH(J197,Lists!$D:$D,0)),"")</f>
      </c>
      <c r="J197" s="29">
        <f>J196</f>
      </c>
      <c r="K197" s="1"/>
      <c r="L197" s="1"/>
      <c r="M197" s="1"/>
    </row>
    <row x14ac:dyDescent="0.25" r="198" customHeight="1" ht="18">
      <c r="A198" s="21" t="s">
        <v>549</v>
      </c>
      <c r="B198" s="22" t="s">
        <v>591</v>
      </c>
      <c r="C198" s="21" t="s">
        <v>643</v>
      </c>
      <c r="D198" s="21"/>
      <c r="E198" s="23" t="s">
        <v>547</v>
      </c>
      <c r="F198" s="24">
        <v>10</v>
      </c>
      <c r="G198" s="25">
        <f>SUMIF($C$16:$C$501,C198,$F$16:$F$501)</f>
      </c>
      <c r="H198" s="26">
        <f>F198/3600</f>
      </c>
      <c r="I198" s="27">
        <f>IFERROR(INDEX(Lists!$C:$C,MATCH(J198,Lists!$D:$D,0)),"")</f>
      </c>
      <c r="J198" s="29">
        <f>J196</f>
      </c>
      <c r="K198" s="1"/>
      <c r="L198" s="1"/>
      <c r="M198" s="1"/>
    </row>
    <row x14ac:dyDescent="0.25" r="199" customHeight="1" ht="18">
      <c r="A199" s="21" t="s">
        <v>549</v>
      </c>
      <c r="B199" s="22" t="s">
        <v>591</v>
      </c>
      <c r="C199" s="21" t="s">
        <v>643</v>
      </c>
      <c r="D199" s="21"/>
      <c r="E199" s="23" t="s">
        <v>542</v>
      </c>
      <c r="F199" s="24">
        <v>10</v>
      </c>
      <c r="G199" s="25">
        <f>SUMIF($C$16:$C$501,C199,$F$16:$F$501)</f>
      </c>
      <c r="H199" s="26">
        <f>F199/3600</f>
      </c>
      <c r="I199" s="27">
        <f>IFERROR(INDEX(Lists!$C:$C,MATCH(J199,Lists!$D:$D,0)),"")</f>
      </c>
      <c r="J199" s="29">
        <f>J196</f>
      </c>
      <c r="K199" s="1"/>
      <c r="L199" s="1"/>
      <c r="M199" s="1"/>
    </row>
    <row x14ac:dyDescent="0.25" r="200" customHeight="1" ht="18">
      <c r="A200" s="21" t="s">
        <v>590</v>
      </c>
      <c r="B200" s="22" t="s">
        <v>591</v>
      </c>
      <c r="C200" s="21" t="s">
        <v>644</v>
      </c>
      <c r="D200" s="21"/>
      <c r="E200" s="23" t="s">
        <v>544</v>
      </c>
      <c r="F200" s="24">
        <v>16</v>
      </c>
      <c r="G200" s="25">
        <f>SUMIF($C$16:$C$501,C200,$F$16:$F$501)</f>
      </c>
      <c r="H200" s="26">
        <f>F200/3600</f>
      </c>
      <c r="I200" s="27">
        <f>IFERROR(INDEX(Lists!$C:$C,MATCH(J200,Lists!$D:$D,0)),"")</f>
      </c>
      <c r="J200" s="28" t="s">
        <v>373</v>
      </c>
      <c r="K200" s="1"/>
      <c r="L200" s="1"/>
      <c r="M200" s="1"/>
    </row>
    <row x14ac:dyDescent="0.25" r="201" customHeight="1" ht="18">
      <c r="A201" s="21" t="s">
        <v>590</v>
      </c>
      <c r="B201" s="22" t="s">
        <v>591</v>
      </c>
      <c r="C201" s="21" t="s">
        <v>644</v>
      </c>
      <c r="D201" s="21"/>
      <c r="E201" s="23" t="s">
        <v>546</v>
      </c>
      <c r="F201" s="24">
        <v>16</v>
      </c>
      <c r="G201" s="25">
        <f>SUMIF($C$16:$C$501,C201,$F$16:$F$501)</f>
      </c>
      <c r="H201" s="26">
        <f>F201/3600</f>
      </c>
      <c r="I201" s="27">
        <f>IFERROR(INDEX(Lists!$C:$C,MATCH(J201,Lists!$D:$D,0)),"")</f>
      </c>
      <c r="J201" s="29">
        <f>J200</f>
      </c>
      <c r="K201" s="1"/>
      <c r="L201" s="1"/>
      <c r="M201" s="1"/>
    </row>
    <row x14ac:dyDescent="0.25" r="202" customHeight="1" ht="18">
      <c r="A202" s="21" t="s">
        <v>590</v>
      </c>
      <c r="B202" s="22" t="s">
        <v>591</v>
      </c>
      <c r="C202" s="21" t="s">
        <v>644</v>
      </c>
      <c r="D202" s="21"/>
      <c r="E202" s="23" t="s">
        <v>542</v>
      </c>
      <c r="F202" s="24">
        <v>16</v>
      </c>
      <c r="G202" s="25">
        <f>SUMIF($C$16:$C$501,C202,$F$16:$F$501)</f>
      </c>
      <c r="H202" s="26">
        <f>F202/3600</f>
      </c>
      <c r="I202" s="27">
        <f>IFERROR(INDEX(Lists!$C:$C,MATCH(J202,Lists!$D:$D,0)),"")</f>
      </c>
      <c r="J202" s="29">
        <f>J200</f>
      </c>
      <c r="K202" s="1"/>
      <c r="L202" s="1"/>
      <c r="M202" s="1"/>
    </row>
    <row x14ac:dyDescent="0.25" r="203" customHeight="1" ht="18">
      <c r="A203" s="21" t="s">
        <v>590</v>
      </c>
      <c r="B203" s="22" t="s">
        <v>591</v>
      </c>
      <c r="C203" s="21" t="s">
        <v>645</v>
      </c>
      <c r="D203" s="21"/>
      <c r="E203" s="23" t="s">
        <v>544</v>
      </c>
      <c r="F203" s="24">
        <v>38</v>
      </c>
      <c r="G203" s="25">
        <f>SUMIF($C$16:$C$501,C203,$F$16:$F$501)</f>
      </c>
      <c r="H203" s="26">
        <f>F203/3600</f>
      </c>
      <c r="I203" s="27">
        <f>IFERROR(INDEX(Lists!$C:$C,MATCH(J203,Lists!$D:$D,0)),"")</f>
      </c>
      <c r="J203" s="28" t="s">
        <v>91</v>
      </c>
      <c r="K203" s="1"/>
      <c r="L203" s="1"/>
      <c r="M203" s="1"/>
    </row>
    <row x14ac:dyDescent="0.25" r="204" customHeight="1" ht="18">
      <c r="A204" s="21" t="s">
        <v>590</v>
      </c>
      <c r="B204" s="22" t="s">
        <v>591</v>
      </c>
      <c r="C204" s="21" t="s">
        <v>646</v>
      </c>
      <c r="D204" s="21"/>
      <c r="E204" s="23" t="s">
        <v>544</v>
      </c>
      <c r="F204" s="24">
        <v>38</v>
      </c>
      <c r="G204" s="25">
        <f>SUMIF($C$16:$C$501,C204,$F$16:$F$501)</f>
      </c>
      <c r="H204" s="26">
        <f>F204/3600</f>
      </c>
      <c r="I204" s="27">
        <f>IFERROR(INDEX(Lists!$C:$C,MATCH(J204,Lists!$D:$D,0)),"")</f>
      </c>
      <c r="J204" s="28" t="s">
        <v>293</v>
      </c>
      <c r="K204" s="1"/>
      <c r="L204" s="1"/>
      <c r="M204" s="1"/>
    </row>
    <row x14ac:dyDescent="0.25" r="205" customHeight="1" ht="18">
      <c r="A205" s="21" t="s">
        <v>590</v>
      </c>
      <c r="B205" s="22" t="s">
        <v>591</v>
      </c>
      <c r="C205" s="21" t="s">
        <v>645</v>
      </c>
      <c r="D205" s="21"/>
      <c r="E205" s="23" t="s">
        <v>546</v>
      </c>
      <c r="F205" s="24">
        <v>36</v>
      </c>
      <c r="G205" s="25">
        <f>SUMIF($C$16:$C$501,C205,$F$16:$F$501)</f>
      </c>
      <c r="H205" s="26">
        <f>F205/3600</f>
      </c>
      <c r="I205" s="27">
        <f>IFERROR(INDEX(Lists!$C:$C,MATCH(J205,Lists!$D:$D,0)),"")</f>
      </c>
      <c r="J205" s="29">
        <f>J203</f>
      </c>
      <c r="K205" s="1"/>
      <c r="L205" s="1"/>
      <c r="M205" s="1"/>
    </row>
    <row x14ac:dyDescent="0.25" r="206" customHeight="1" ht="18">
      <c r="A206" s="21" t="s">
        <v>590</v>
      </c>
      <c r="B206" s="22" t="s">
        <v>591</v>
      </c>
      <c r="C206" s="21" t="s">
        <v>646</v>
      </c>
      <c r="D206" s="21"/>
      <c r="E206" s="23" t="s">
        <v>546</v>
      </c>
      <c r="F206" s="24">
        <v>36</v>
      </c>
      <c r="G206" s="25">
        <f>SUMIF($C$16:$C$501,C206,$F$16:$F$501)</f>
      </c>
      <c r="H206" s="26">
        <f>F206/3600</f>
      </c>
      <c r="I206" s="27">
        <f>IFERROR(INDEX(Lists!$C:$C,MATCH(J206,Lists!$D:$D,0)),"")</f>
      </c>
      <c r="J206" s="29">
        <f>J204</f>
      </c>
      <c r="K206" s="1"/>
      <c r="L206" s="1"/>
      <c r="M206" s="1"/>
    </row>
    <row x14ac:dyDescent="0.25" r="207" customHeight="1" ht="18">
      <c r="A207" s="21" t="s">
        <v>590</v>
      </c>
      <c r="B207" s="22" t="s">
        <v>591</v>
      </c>
      <c r="C207" s="21" t="s">
        <v>645</v>
      </c>
      <c r="D207" s="21"/>
      <c r="E207" s="23" t="s">
        <v>547</v>
      </c>
      <c r="F207" s="24">
        <v>36</v>
      </c>
      <c r="G207" s="25">
        <f>SUMIF($C$16:$C$501,C207,$F$16:$F$501)</f>
      </c>
      <c r="H207" s="26">
        <f>F207/3600</f>
      </c>
      <c r="I207" s="27">
        <f>IFERROR(INDEX(Lists!$C:$C,MATCH(J207,Lists!$D:$D,0)),"")</f>
      </c>
      <c r="J207" s="29">
        <f>J203</f>
      </c>
      <c r="K207" s="1"/>
      <c r="L207" s="1"/>
      <c r="M207" s="1"/>
    </row>
    <row x14ac:dyDescent="0.25" r="208" customHeight="1" ht="18">
      <c r="A208" s="21" t="s">
        <v>590</v>
      </c>
      <c r="B208" s="22" t="s">
        <v>591</v>
      </c>
      <c r="C208" s="21" t="s">
        <v>646</v>
      </c>
      <c r="D208" s="21"/>
      <c r="E208" s="23" t="s">
        <v>547</v>
      </c>
      <c r="F208" s="24">
        <v>36</v>
      </c>
      <c r="G208" s="25">
        <f>SUMIF($C$16:$C$501,C208,$F$16:$F$501)</f>
      </c>
      <c r="H208" s="26">
        <f>F208/3600</f>
      </c>
      <c r="I208" s="27">
        <f>IFERROR(INDEX(Lists!$C:$C,MATCH(J208,Lists!$D:$D,0)),"")</f>
      </c>
      <c r="J208" s="29">
        <f>J204</f>
      </c>
      <c r="K208" s="1"/>
      <c r="L208" s="1"/>
      <c r="M208" s="1"/>
    </row>
    <row x14ac:dyDescent="0.25" r="209" customHeight="1" ht="18">
      <c r="A209" s="21" t="s">
        <v>590</v>
      </c>
      <c r="B209" s="22" t="s">
        <v>591</v>
      </c>
      <c r="C209" s="21" t="s">
        <v>645</v>
      </c>
      <c r="D209" s="21"/>
      <c r="E209" s="23" t="s">
        <v>647</v>
      </c>
      <c r="F209" s="24">
        <v>36</v>
      </c>
      <c r="G209" s="25">
        <f>SUMIF($C$16:$C$501,C209,$F$16:$F$501)</f>
      </c>
      <c r="H209" s="26">
        <f>F209/3600</f>
      </c>
      <c r="I209" s="27">
        <f>IFERROR(INDEX(Lists!$C:$C,MATCH(J209,Lists!$D:$D,0)),"")</f>
      </c>
      <c r="J209" s="29">
        <f>J203</f>
      </c>
      <c r="K209" s="1"/>
      <c r="L209" s="1"/>
      <c r="M209" s="1"/>
    </row>
    <row x14ac:dyDescent="0.25" r="210" customHeight="1" ht="18">
      <c r="A210" s="21" t="s">
        <v>590</v>
      </c>
      <c r="B210" s="22" t="s">
        <v>591</v>
      </c>
      <c r="C210" s="21" t="s">
        <v>645</v>
      </c>
      <c r="D210" s="21"/>
      <c r="E210" s="23" t="s">
        <v>648</v>
      </c>
      <c r="F210" s="24">
        <v>38</v>
      </c>
      <c r="G210" s="25">
        <f>SUMIF($C$16:$C$501,C210,$F$16:$F$501)</f>
      </c>
      <c r="H210" s="26">
        <f>F210/3600</f>
      </c>
      <c r="I210" s="27">
        <f>IFERROR(INDEX(Lists!$C:$C,MATCH(J210,Lists!$D:$D,0)),"")</f>
      </c>
      <c r="J210" s="29">
        <f>J203</f>
      </c>
      <c r="K210" s="1"/>
      <c r="L210" s="1"/>
      <c r="M210" s="1"/>
    </row>
    <row x14ac:dyDescent="0.25" r="211" customHeight="1" ht="18">
      <c r="A211" s="21" t="s">
        <v>590</v>
      </c>
      <c r="B211" s="22" t="s">
        <v>591</v>
      </c>
      <c r="C211" s="21" t="s">
        <v>646</v>
      </c>
      <c r="D211" s="21"/>
      <c r="E211" s="23" t="s">
        <v>648</v>
      </c>
      <c r="F211" s="24">
        <v>38</v>
      </c>
      <c r="G211" s="25">
        <f>SUMIF($C$16:$C$501,C211,$F$16:$F$501)</f>
      </c>
      <c r="H211" s="26">
        <f>F211/3600</f>
      </c>
      <c r="I211" s="27">
        <f>IFERROR(INDEX(Lists!$C:$C,MATCH(J211,Lists!$D:$D,0)),"")</f>
      </c>
      <c r="J211" s="29">
        <f>J204</f>
      </c>
      <c r="K211" s="1"/>
      <c r="L211" s="1"/>
      <c r="M211" s="1"/>
    </row>
    <row x14ac:dyDescent="0.25" r="212" customHeight="1" ht="18">
      <c r="A212" s="21" t="s">
        <v>549</v>
      </c>
      <c r="B212" s="22" t="s">
        <v>591</v>
      </c>
      <c r="C212" s="21" t="s">
        <v>649</v>
      </c>
      <c r="D212" s="21"/>
      <c r="E212" s="23" t="s">
        <v>544</v>
      </c>
      <c r="F212" s="24">
        <v>18</v>
      </c>
      <c r="G212" s="25">
        <f>SUMIF($C$16:$C$501,C212,$F$16:$F$501)</f>
      </c>
      <c r="H212" s="26">
        <f>F212/3600</f>
      </c>
      <c r="I212" s="27">
        <f>IFERROR(INDEX(Lists!$C:$C,MATCH(J212,Lists!$D:$D,0)),"")</f>
      </c>
      <c r="J212" s="28" t="s">
        <v>236</v>
      </c>
      <c r="K212" s="1"/>
      <c r="L212" s="1"/>
      <c r="M212" s="1"/>
    </row>
    <row x14ac:dyDescent="0.25" r="213" customHeight="1" ht="18">
      <c r="A213" s="21" t="s">
        <v>549</v>
      </c>
      <c r="B213" s="22" t="s">
        <v>591</v>
      </c>
      <c r="C213" s="21" t="s">
        <v>649</v>
      </c>
      <c r="D213" s="21"/>
      <c r="E213" s="23" t="s">
        <v>546</v>
      </c>
      <c r="F213" s="24">
        <v>18</v>
      </c>
      <c r="G213" s="25">
        <f>SUMIF($C$16:$C$501,C213,$F$16:$F$501)</f>
      </c>
      <c r="H213" s="26">
        <f>F213/3600</f>
      </c>
      <c r="I213" s="27">
        <f>IFERROR(INDEX(Lists!$C:$C,MATCH(J213,Lists!$D:$D,0)),"")</f>
      </c>
      <c r="J213" s="29">
        <f>J212</f>
      </c>
      <c r="K213" s="1"/>
      <c r="L213" s="1"/>
      <c r="M213" s="1"/>
    </row>
    <row x14ac:dyDescent="0.25" r="214" customHeight="1" ht="18">
      <c r="A214" s="21" t="s">
        <v>549</v>
      </c>
      <c r="B214" s="22" t="s">
        <v>591</v>
      </c>
      <c r="C214" s="21" t="s">
        <v>649</v>
      </c>
      <c r="D214" s="21"/>
      <c r="E214" s="23" t="s">
        <v>547</v>
      </c>
      <c r="F214" s="24">
        <v>16</v>
      </c>
      <c r="G214" s="25">
        <f>SUMIF($C$16:$C$501,C214,$F$16:$F$501)</f>
      </c>
      <c r="H214" s="26">
        <f>F214/3600</f>
      </c>
      <c r="I214" s="27">
        <f>IFERROR(INDEX(Lists!$C:$C,MATCH(J214,Lists!$D:$D,0)),"")</f>
      </c>
      <c r="J214" s="29">
        <f>J212</f>
      </c>
      <c r="K214" s="1"/>
      <c r="L214" s="1"/>
      <c r="M214" s="1"/>
    </row>
    <row x14ac:dyDescent="0.25" r="215" customHeight="1" ht="18">
      <c r="A215" s="21" t="s">
        <v>549</v>
      </c>
      <c r="B215" s="22" t="s">
        <v>591</v>
      </c>
      <c r="C215" s="21" t="s">
        <v>649</v>
      </c>
      <c r="D215" s="21"/>
      <c r="E215" s="23" t="s">
        <v>542</v>
      </c>
      <c r="F215" s="24">
        <v>18</v>
      </c>
      <c r="G215" s="25">
        <f>SUMIF($C$16:$C$501,C215,$F$16:$F$501)</f>
      </c>
      <c r="H215" s="26">
        <f>F215/3600</f>
      </c>
      <c r="I215" s="27">
        <f>IFERROR(INDEX(Lists!$C:$C,MATCH(J215,Lists!$D:$D,0)),"")</f>
      </c>
      <c r="J215" s="29">
        <f>J212</f>
      </c>
      <c r="K215" s="1"/>
      <c r="L215" s="1"/>
      <c r="M215" s="1"/>
    </row>
    <row x14ac:dyDescent="0.25" r="216" customHeight="1" ht="18">
      <c r="A216" s="21" t="s">
        <v>650</v>
      </c>
      <c r="B216" s="22" t="s">
        <v>591</v>
      </c>
      <c r="C216" s="21" t="s">
        <v>651</v>
      </c>
      <c r="D216" s="21"/>
      <c r="E216" s="23" t="s">
        <v>652</v>
      </c>
      <c r="F216" s="24">
        <v>24</v>
      </c>
      <c r="G216" s="25">
        <f>SUMIF($C$16:$C$501,C216,$F$16:$F$501)</f>
      </c>
      <c r="H216" s="26">
        <f>F216/3600</f>
      </c>
      <c r="I216" s="27">
        <f>IFERROR(INDEX(Lists!$C:$C,MATCH(J216,Lists!$D:$D,0)),"")</f>
      </c>
      <c r="J216" s="28" t="s">
        <v>95</v>
      </c>
      <c r="K216" s="1"/>
      <c r="L216" s="1"/>
      <c r="M216" s="1"/>
    </row>
    <row x14ac:dyDescent="0.25" r="217" customHeight="1" ht="18">
      <c r="A217" s="21" t="s">
        <v>650</v>
      </c>
      <c r="B217" s="22" t="s">
        <v>591</v>
      </c>
      <c r="C217" s="21" t="s">
        <v>653</v>
      </c>
      <c r="D217" s="21"/>
      <c r="E217" s="23" t="s">
        <v>652</v>
      </c>
      <c r="F217" s="24">
        <v>24</v>
      </c>
      <c r="G217" s="25">
        <f>SUMIF($C$16:$C$501,C217,$F$16:$F$501)</f>
      </c>
      <c r="H217" s="26">
        <f>F217/3600</f>
      </c>
      <c r="I217" s="27">
        <f>IFERROR(INDEX(Lists!$C:$C,MATCH(J217,Lists!$D:$D,0)),"")</f>
      </c>
      <c r="J217" s="28" t="s">
        <v>445</v>
      </c>
      <c r="K217" s="1"/>
      <c r="L217" s="1"/>
      <c r="M217" s="1"/>
    </row>
    <row x14ac:dyDescent="0.25" r="218" customHeight="1" ht="18">
      <c r="A218" s="21" t="s">
        <v>650</v>
      </c>
      <c r="B218" s="22" t="s">
        <v>591</v>
      </c>
      <c r="C218" s="21" t="s">
        <v>651</v>
      </c>
      <c r="D218" s="21"/>
      <c r="E218" s="23" t="s">
        <v>654</v>
      </c>
      <c r="F218" s="24">
        <v>48</v>
      </c>
      <c r="G218" s="25">
        <f>SUMIF($C$16:$C$501,C218,$F$16:$F$501)</f>
      </c>
      <c r="H218" s="26">
        <f>F218/3600</f>
      </c>
      <c r="I218" s="27">
        <f>IFERROR(INDEX(Lists!$C:$C,MATCH(J218,Lists!$D:$D,0)),"")</f>
      </c>
      <c r="J218" s="29">
        <f>J216</f>
      </c>
      <c r="K218" s="1"/>
      <c r="L218" s="1"/>
      <c r="M218" s="1"/>
    </row>
    <row x14ac:dyDescent="0.25" r="219" customHeight="1" ht="18">
      <c r="A219" s="21" t="s">
        <v>650</v>
      </c>
      <c r="B219" s="22" t="s">
        <v>591</v>
      </c>
      <c r="C219" s="21" t="s">
        <v>653</v>
      </c>
      <c r="D219" s="21"/>
      <c r="E219" s="23" t="s">
        <v>654</v>
      </c>
      <c r="F219" s="24">
        <v>48</v>
      </c>
      <c r="G219" s="25">
        <f>SUMIF($C$16:$C$501,C219,$F$16:$F$501)</f>
      </c>
      <c r="H219" s="26">
        <f>F219/3600</f>
      </c>
      <c r="I219" s="27">
        <f>IFERROR(INDEX(Lists!$C:$C,MATCH(J219,Lists!$D:$D,0)),"")</f>
      </c>
      <c r="J219" s="29">
        <f>J217</f>
      </c>
      <c r="K219" s="1"/>
      <c r="L219" s="1"/>
      <c r="M219" s="1"/>
    </row>
    <row x14ac:dyDescent="0.25" r="220" customHeight="1" ht="18">
      <c r="A220" s="21" t="s">
        <v>650</v>
      </c>
      <c r="B220" s="22" t="s">
        <v>591</v>
      </c>
      <c r="C220" s="21" t="s">
        <v>651</v>
      </c>
      <c r="D220" s="21"/>
      <c r="E220" s="23" t="s">
        <v>655</v>
      </c>
      <c r="F220" s="24">
        <v>42</v>
      </c>
      <c r="G220" s="25">
        <f>SUMIF($C$16:$C$501,C220,$F$16:$F$501)</f>
      </c>
      <c r="H220" s="26">
        <f>F220/3600</f>
      </c>
      <c r="I220" s="27">
        <f>IFERROR(INDEX(Lists!$C:$C,MATCH(J220,Lists!$D:$D,0)),"")</f>
      </c>
      <c r="J220" s="29">
        <f>J216</f>
      </c>
      <c r="K220" s="1"/>
      <c r="L220" s="1"/>
      <c r="M220" s="1"/>
    </row>
    <row x14ac:dyDescent="0.25" r="221" customHeight="1" ht="18">
      <c r="A221" s="21" t="s">
        <v>650</v>
      </c>
      <c r="B221" s="22" t="s">
        <v>591</v>
      </c>
      <c r="C221" s="21" t="s">
        <v>653</v>
      </c>
      <c r="D221" s="21"/>
      <c r="E221" s="23" t="s">
        <v>655</v>
      </c>
      <c r="F221" s="24">
        <v>42</v>
      </c>
      <c r="G221" s="25">
        <f>SUMIF($C$16:$C$501,C221,$F$16:$F$501)</f>
      </c>
      <c r="H221" s="26">
        <f>F221/3600</f>
      </c>
      <c r="I221" s="27">
        <f>IFERROR(INDEX(Lists!$C:$C,MATCH(J221,Lists!$D:$D,0)),"")</f>
      </c>
      <c r="J221" s="29">
        <f>J217</f>
      </c>
      <c r="K221" s="1"/>
      <c r="L221" s="1"/>
      <c r="M221" s="1"/>
    </row>
    <row x14ac:dyDescent="0.25" r="222" customHeight="1" ht="18">
      <c r="A222" s="21" t="s">
        <v>650</v>
      </c>
      <c r="B222" s="22" t="s">
        <v>591</v>
      </c>
      <c r="C222" s="21" t="s">
        <v>651</v>
      </c>
      <c r="D222" s="21"/>
      <c r="E222" s="23" t="s">
        <v>656</v>
      </c>
      <c r="F222" s="24">
        <v>14</v>
      </c>
      <c r="G222" s="25">
        <f>SUMIF($C$16:$C$501,C222,$F$16:$F$501)</f>
      </c>
      <c r="H222" s="26">
        <f>F222/3600</f>
      </c>
      <c r="I222" s="27">
        <f>IFERROR(INDEX(Lists!$C:$C,MATCH(J222,Lists!$D:$D,0)),"")</f>
      </c>
      <c r="J222" s="29">
        <f>J216</f>
      </c>
      <c r="K222" s="1"/>
      <c r="L222" s="1"/>
      <c r="M222" s="1"/>
    </row>
    <row x14ac:dyDescent="0.25" r="223" customHeight="1" ht="18">
      <c r="A223" s="21" t="s">
        <v>650</v>
      </c>
      <c r="B223" s="22" t="s">
        <v>591</v>
      </c>
      <c r="C223" s="21" t="s">
        <v>653</v>
      </c>
      <c r="D223" s="21"/>
      <c r="E223" s="23" t="s">
        <v>656</v>
      </c>
      <c r="F223" s="24">
        <v>14</v>
      </c>
      <c r="G223" s="25">
        <f>SUMIF($C$16:$C$501,C223,$F$16:$F$501)</f>
      </c>
      <c r="H223" s="26">
        <f>F223/3600</f>
      </c>
      <c r="I223" s="27">
        <f>IFERROR(INDEX(Lists!$C:$C,MATCH(J223,Lists!$D:$D,0)),"")</f>
      </c>
      <c r="J223" s="29">
        <f>J217</f>
      </c>
      <c r="K223" s="1"/>
      <c r="L223" s="1"/>
      <c r="M223" s="1"/>
    </row>
    <row x14ac:dyDescent="0.25" r="224" customHeight="1" ht="18">
      <c r="A224" s="21" t="s">
        <v>650</v>
      </c>
      <c r="B224" s="22" t="s">
        <v>591</v>
      </c>
      <c r="C224" s="21" t="s">
        <v>657</v>
      </c>
      <c r="D224" s="21"/>
      <c r="E224" s="23" t="s">
        <v>658</v>
      </c>
      <c r="F224" s="24">
        <v>18</v>
      </c>
      <c r="G224" s="25">
        <f>SUMIF($C$16:$C$501,C224,$F$16:$F$501)</f>
      </c>
      <c r="H224" s="26">
        <f>F224/3600</f>
      </c>
      <c r="I224" s="27">
        <f>IFERROR(INDEX(Lists!$C:$C,MATCH(J224,Lists!$D:$D,0)),"")</f>
      </c>
      <c r="J224" s="30"/>
      <c r="K224" s="1"/>
      <c r="L224" s="1"/>
      <c r="M224" s="1"/>
    </row>
    <row x14ac:dyDescent="0.25" r="225" customHeight="1" ht="18">
      <c r="A225" s="21" t="s">
        <v>650</v>
      </c>
      <c r="B225" s="22" t="s">
        <v>591</v>
      </c>
      <c r="C225" s="21" t="s">
        <v>659</v>
      </c>
      <c r="D225" s="21"/>
      <c r="E225" s="23" t="s">
        <v>658</v>
      </c>
      <c r="F225" s="24">
        <v>18</v>
      </c>
      <c r="G225" s="25">
        <f>SUMIF($C$16:$C$501,C225,$F$16:$F$501)</f>
      </c>
      <c r="H225" s="26">
        <f>F225/3600</f>
      </c>
      <c r="I225" s="27">
        <f>IFERROR(INDEX(Lists!$C:$C,MATCH(J225,Lists!$D:$D,0)),"")</f>
      </c>
      <c r="J225" s="30"/>
      <c r="K225" s="1"/>
      <c r="L225" s="1"/>
      <c r="M225" s="1"/>
    </row>
    <row x14ac:dyDescent="0.25" r="226" customHeight="1" ht="18">
      <c r="A226" s="21" t="s">
        <v>650</v>
      </c>
      <c r="B226" s="22" t="s">
        <v>591</v>
      </c>
      <c r="C226" s="21" t="s">
        <v>657</v>
      </c>
      <c r="D226" s="21"/>
      <c r="E226" s="23" t="s">
        <v>660</v>
      </c>
      <c r="F226" s="24">
        <v>28</v>
      </c>
      <c r="G226" s="25">
        <f>SUMIF($C$16:$C$501,C226,$F$16:$F$501)</f>
      </c>
      <c r="H226" s="26">
        <f>F226/3600</f>
      </c>
      <c r="I226" s="27">
        <f>IFERROR(INDEX(Lists!$C:$C,MATCH(J226,Lists!$D:$D,0)),"")</f>
      </c>
      <c r="J226" s="29">
        <f>J224</f>
      </c>
      <c r="K226" s="1"/>
      <c r="L226" s="1"/>
      <c r="M226" s="1"/>
    </row>
    <row x14ac:dyDescent="0.25" r="227" customHeight="1" ht="18">
      <c r="A227" s="21" t="s">
        <v>650</v>
      </c>
      <c r="B227" s="22" t="s">
        <v>591</v>
      </c>
      <c r="C227" s="21" t="s">
        <v>659</v>
      </c>
      <c r="D227" s="21"/>
      <c r="E227" s="23" t="s">
        <v>660</v>
      </c>
      <c r="F227" s="24">
        <v>28</v>
      </c>
      <c r="G227" s="25">
        <f>SUMIF($C$16:$C$501,C227,$F$16:$F$501)</f>
      </c>
      <c r="H227" s="26">
        <f>F227/3600</f>
      </c>
      <c r="I227" s="27">
        <f>IFERROR(INDEX(Lists!$C:$C,MATCH(J227,Lists!$D:$D,0)),"")</f>
      </c>
      <c r="J227" s="29">
        <f>J225</f>
      </c>
      <c r="K227" s="1"/>
      <c r="L227" s="1"/>
      <c r="M227" s="1"/>
    </row>
    <row x14ac:dyDescent="0.25" r="228" customHeight="1" ht="18">
      <c r="A228" s="21" t="s">
        <v>650</v>
      </c>
      <c r="B228" s="22" t="s">
        <v>591</v>
      </c>
      <c r="C228" s="21" t="s">
        <v>657</v>
      </c>
      <c r="D228" s="21"/>
      <c r="E228" s="23" t="s">
        <v>661</v>
      </c>
      <c r="F228" s="24">
        <v>108</v>
      </c>
      <c r="G228" s="25">
        <f>SUMIF($C$16:$C$501,C228,$F$16:$F$501)</f>
      </c>
      <c r="H228" s="26">
        <f>F228/3600</f>
      </c>
      <c r="I228" s="27">
        <f>IFERROR(INDEX(Lists!$C:$C,MATCH(J228,Lists!$D:$D,0)),"")</f>
      </c>
      <c r="J228" s="29">
        <f>J224</f>
      </c>
      <c r="K228" s="1"/>
      <c r="L228" s="1"/>
      <c r="M228" s="1"/>
    </row>
    <row x14ac:dyDescent="0.25" r="229" customHeight="1" ht="18">
      <c r="A229" s="21" t="s">
        <v>650</v>
      </c>
      <c r="B229" s="22" t="s">
        <v>591</v>
      </c>
      <c r="C229" s="21" t="s">
        <v>659</v>
      </c>
      <c r="D229" s="21"/>
      <c r="E229" s="23" t="s">
        <v>661</v>
      </c>
      <c r="F229" s="24">
        <v>108</v>
      </c>
      <c r="G229" s="25">
        <f>SUMIF($C$16:$C$501,C229,$F$16:$F$501)</f>
      </c>
      <c r="H229" s="26">
        <f>F229/3600</f>
      </c>
      <c r="I229" s="27">
        <f>IFERROR(INDEX(Lists!$C:$C,MATCH(J229,Lists!$D:$D,0)),"")</f>
      </c>
      <c r="J229" s="29">
        <f>J225</f>
      </c>
      <c r="K229" s="1"/>
      <c r="L229" s="1"/>
      <c r="M229" s="1"/>
    </row>
    <row x14ac:dyDescent="0.25" r="230" customHeight="1" ht="18">
      <c r="A230" s="21" t="s">
        <v>662</v>
      </c>
      <c r="B230" s="22" t="s">
        <v>663</v>
      </c>
      <c r="C230" s="21" t="s">
        <v>664</v>
      </c>
      <c r="D230" s="21"/>
      <c r="E230" s="23" t="s">
        <v>665</v>
      </c>
      <c r="F230" s="24">
        <v>60</v>
      </c>
      <c r="G230" s="25">
        <f>SUMIF($C$16:$C$501,C230,$F$16:$F$501)</f>
      </c>
      <c r="H230" s="26">
        <f>F230/3600</f>
      </c>
      <c r="I230" s="27">
        <f>IFERROR(INDEX(Lists!$C:$C,MATCH(J230,Lists!$D:$D,0)),"")</f>
      </c>
      <c r="J230" s="28" t="s">
        <v>261</v>
      </c>
      <c r="K230" s="1"/>
      <c r="L230" s="1"/>
      <c r="M230" s="1"/>
    </row>
    <row x14ac:dyDescent="0.25" r="231" customHeight="1" ht="18">
      <c r="A231" s="21" t="s">
        <v>662</v>
      </c>
      <c r="B231" s="22" t="s">
        <v>663</v>
      </c>
      <c r="C231" s="21" t="s">
        <v>666</v>
      </c>
      <c r="D231" s="21"/>
      <c r="E231" s="23" t="s">
        <v>665</v>
      </c>
      <c r="F231" s="24">
        <v>60</v>
      </c>
      <c r="G231" s="25">
        <f>SUMIF($C$16:$C$501,C231,$F$16:$F$501)</f>
      </c>
      <c r="H231" s="26">
        <f>F231/3600</f>
      </c>
      <c r="I231" s="27">
        <f>IFERROR(INDEX(Lists!$C:$C,MATCH(J231,Lists!$D:$D,0)),"")</f>
      </c>
      <c r="J231" s="28" t="s">
        <v>387</v>
      </c>
      <c r="K231" s="1"/>
      <c r="L231" s="1"/>
      <c r="M231" s="1"/>
    </row>
    <row x14ac:dyDescent="0.25" r="232" customHeight="1" ht="18">
      <c r="A232" s="21" t="s">
        <v>662</v>
      </c>
      <c r="B232" s="22" t="s">
        <v>663</v>
      </c>
      <c r="C232" s="21" t="s">
        <v>664</v>
      </c>
      <c r="D232" s="21"/>
      <c r="E232" s="23" t="s">
        <v>667</v>
      </c>
      <c r="F232" s="24">
        <v>12</v>
      </c>
      <c r="G232" s="25">
        <f>SUMIF($C$16:$C$501,C232,$F$16:$F$501)</f>
      </c>
      <c r="H232" s="26">
        <f>F232/3600</f>
      </c>
      <c r="I232" s="27">
        <f>IFERROR(INDEX(Lists!$C:$C,MATCH(J232,Lists!$D:$D,0)),"")</f>
      </c>
      <c r="J232" s="29">
        <f>J230</f>
      </c>
      <c r="K232" s="1"/>
      <c r="L232" s="1"/>
      <c r="M232" s="1"/>
    </row>
    <row x14ac:dyDescent="0.25" r="233" customHeight="1" ht="18">
      <c r="A233" s="21" t="s">
        <v>662</v>
      </c>
      <c r="B233" s="22" t="s">
        <v>663</v>
      </c>
      <c r="C233" s="21" t="s">
        <v>666</v>
      </c>
      <c r="D233" s="21"/>
      <c r="E233" s="23" t="s">
        <v>667</v>
      </c>
      <c r="F233" s="24">
        <v>12</v>
      </c>
      <c r="G233" s="25">
        <f>SUMIF($C$16:$C$501,C233,$F$16:$F$501)</f>
      </c>
      <c r="H233" s="26">
        <f>F233/3600</f>
      </c>
      <c r="I233" s="27">
        <f>IFERROR(INDEX(Lists!$C:$C,MATCH(J233,Lists!$D:$D,0)),"")</f>
      </c>
      <c r="J233" s="29">
        <f>J231</f>
      </c>
      <c r="K233" s="1"/>
      <c r="L233" s="1"/>
      <c r="M233" s="1"/>
    </row>
    <row x14ac:dyDescent="0.25" r="234" customHeight="1" ht="18">
      <c r="A234" s="21" t="s">
        <v>662</v>
      </c>
      <c r="B234" s="22" t="s">
        <v>663</v>
      </c>
      <c r="C234" s="21" t="s">
        <v>664</v>
      </c>
      <c r="D234" s="21"/>
      <c r="E234" s="23" t="s">
        <v>668</v>
      </c>
      <c r="F234" s="24">
        <v>10</v>
      </c>
      <c r="G234" s="25">
        <f>SUMIF($C$16:$C$501,C234,$F$16:$F$501)</f>
      </c>
      <c r="H234" s="26">
        <f>F234/3600</f>
      </c>
      <c r="I234" s="27">
        <f>IFERROR(INDEX(Lists!$C:$C,MATCH(J234,Lists!$D:$D,0)),"")</f>
      </c>
      <c r="J234" s="29">
        <f>J230</f>
      </c>
      <c r="K234" s="1"/>
      <c r="L234" s="1"/>
      <c r="M234" s="1"/>
    </row>
    <row x14ac:dyDescent="0.25" r="235" customHeight="1" ht="18">
      <c r="A235" s="21" t="s">
        <v>662</v>
      </c>
      <c r="B235" s="22" t="s">
        <v>663</v>
      </c>
      <c r="C235" s="21" t="s">
        <v>666</v>
      </c>
      <c r="D235" s="21"/>
      <c r="E235" s="23" t="s">
        <v>668</v>
      </c>
      <c r="F235" s="24">
        <v>10</v>
      </c>
      <c r="G235" s="25">
        <f>SUMIF($C$16:$C$501,C235,$F$16:$F$501)</f>
      </c>
      <c r="H235" s="26">
        <f>F235/3600</f>
      </c>
      <c r="I235" s="27">
        <f>IFERROR(INDEX(Lists!$C:$C,MATCH(J235,Lists!$D:$D,0)),"")</f>
      </c>
      <c r="J235" s="29">
        <f>J231</f>
      </c>
      <c r="K235" s="1"/>
      <c r="L235" s="1"/>
      <c r="M235" s="1"/>
    </row>
    <row x14ac:dyDescent="0.25" r="236" customHeight="1" ht="18">
      <c r="A236" s="21" t="s">
        <v>662</v>
      </c>
      <c r="B236" s="22" t="s">
        <v>663</v>
      </c>
      <c r="C236" s="21" t="s">
        <v>669</v>
      </c>
      <c r="D236" s="21"/>
      <c r="E236" s="23" t="s">
        <v>670</v>
      </c>
      <c r="F236" s="24">
        <v>16</v>
      </c>
      <c r="G236" s="25">
        <f>SUMIF($C$16:$C$501,C236,$F$16:$F$501)</f>
      </c>
      <c r="H236" s="26">
        <f>F236/3600</f>
      </c>
      <c r="I236" s="27">
        <f>IFERROR(INDEX(Lists!$C:$C,MATCH(J236,Lists!$D:$D,0)),"")</f>
      </c>
      <c r="J236" s="28" t="s">
        <v>61</v>
      </c>
      <c r="K236" s="1"/>
      <c r="L236" s="1"/>
      <c r="M236" s="1"/>
    </row>
    <row x14ac:dyDescent="0.25" r="237" customHeight="1" ht="18">
      <c r="A237" s="21" t="s">
        <v>662</v>
      </c>
      <c r="B237" s="22" t="s">
        <v>663</v>
      </c>
      <c r="C237" s="21" t="s">
        <v>671</v>
      </c>
      <c r="D237" s="21"/>
      <c r="E237" s="23" t="s">
        <v>672</v>
      </c>
      <c r="F237" s="24">
        <v>102</v>
      </c>
      <c r="G237" s="25">
        <f>SUMIF($C$16:$C$501,C237,$F$16:$F$501)</f>
      </c>
      <c r="H237" s="26">
        <f>F237/3600</f>
      </c>
      <c r="I237" s="27">
        <f>IFERROR(INDEX(Lists!$C:$C,MATCH(J237,Lists!$D:$D,0)),"")</f>
      </c>
      <c r="J237" s="28" t="s">
        <v>287</v>
      </c>
      <c r="K237" s="1"/>
      <c r="L237" s="1"/>
      <c r="M237" s="1"/>
    </row>
    <row x14ac:dyDescent="0.25" r="238" customHeight="1" ht="18">
      <c r="A238" s="21" t="s">
        <v>662</v>
      </c>
      <c r="B238" s="22" t="s">
        <v>673</v>
      </c>
      <c r="C238" s="21" t="s">
        <v>674</v>
      </c>
      <c r="D238" s="21"/>
      <c r="E238" s="23" t="s">
        <v>675</v>
      </c>
      <c r="F238" s="24">
        <v>108</v>
      </c>
      <c r="G238" s="25">
        <f>SUMIF($C$16:$C$501,C238,$F$16:$F$501)</f>
      </c>
      <c r="H238" s="26">
        <f>F238/3600</f>
      </c>
      <c r="I238" s="27">
        <f>IFERROR(INDEX(Lists!$C:$C,MATCH(J238,Lists!$D:$D,0)),"")</f>
      </c>
      <c r="J238" s="28" t="s">
        <v>265</v>
      </c>
      <c r="K238" s="1"/>
      <c r="L238" s="1"/>
      <c r="M238" s="1"/>
    </row>
    <row x14ac:dyDescent="0.25" r="239" customHeight="1" ht="18">
      <c r="A239" s="21" t="s">
        <v>662</v>
      </c>
      <c r="B239" s="22" t="s">
        <v>673</v>
      </c>
      <c r="C239" s="21" t="s">
        <v>676</v>
      </c>
      <c r="D239" s="21"/>
      <c r="E239" s="23" t="s">
        <v>537</v>
      </c>
      <c r="F239" s="24">
        <v>24</v>
      </c>
      <c r="G239" s="25">
        <f>SUMIF($C$16:$C$501,C239,$F$16:$F$501)</f>
      </c>
      <c r="H239" s="26">
        <f>F239/3600</f>
      </c>
      <c r="I239" s="27">
        <f>IFERROR(INDEX(Lists!$C:$C,MATCH(J239,Lists!$D:$D,0)),"")</f>
      </c>
      <c r="J239" s="28" t="s">
        <v>367</v>
      </c>
      <c r="K239" s="1"/>
      <c r="L239" s="1"/>
      <c r="M239" s="1"/>
    </row>
    <row x14ac:dyDescent="0.25" r="240" customHeight="1" ht="18">
      <c r="A240" s="21" t="s">
        <v>662</v>
      </c>
      <c r="B240" s="22" t="s">
        <v>673</v>
      </c>
      <c r="C240" s="21" t="s">
        <v>676</v>
      </c>
      <c r="D240" s="21"/>
      <c r="E240" s="23" t="s">
        <v>677</v>
      </c>
      <c r="F240" s="24">
        <v>16</v>
      </c>
      <c r="G240" s="25">
        <f>SUMIF($C$16:$C$501,C240,$F$16:$F$501)</f>
      </c>
      <c r="H240" s="26">
        <f>F240/3600</f>
      </c>
      <c r="I240" s="27">
        <f>IFERROR(INDEX(Lists!$C:$C,MATCH(J240,Lists!$D:$D,0)),"")</f>
      </c>
      <c r="J240" s="29">
        <f>J239</f>
      </c>
      <c r="K240" s="1"/>
      <c r="L240" s="1"/>
      <c r="M240" s="1"/>
    </row>
    <row x14ac:dyDescent="0.25" r="241" customHeight="1" ht="18">
      <c r="A241" s="21" t="s">
        <v>662</v>
      </c>
      <c r="B241" s="22" t="s">
        <v>678</v>
      </c>
      <c r="C241" s="21" t="s">
        <v>679</v>
      </c>
      <c r="D241" s="21"/>
      <c r="E241" s="23" t="s">
        <v>680</v>
      </c>
      <c r="F241" s="24">
        <v>90</v>
      </c>
      <c r="G241" s="25">
        <f>SUMIF($C$16:$C$501,C241,$F$16:$F$501)</f>
      </c>
      <c r="H241" s="26">
        <f>F241/3600</f>
      </c>
      <c r="I241" s="27">
        <f>IFERROR(INDEX(Lists!$C:$C,MATCH(J241,Lists!$D:$D,0)),"")</f>
      </c>
      <c r="J241" s="28" t="s">
        <v>246</v>
      </c>
      <c r="K241" s="1"/>
      <c r="L241" s="1"/>
      <c r="M241" s="1"/>
    </row>
    <row x14ac:dyDescent="0.25" r="242" customHeight="1" ht="18.75">
      <c r="A242" s="1"/>
      <c r="B242" s="7"/>
      <c r="C242" s="1"/>
      <c r="D242" s="1"/>
      <c r="E242" s="1"/>
      <c r="F242" s="8"/>
      <c r="G242" s="8"/>
      <c r="H242" s="9"/>
      <c r="I242" s="1"/>
      <c r="J242" s="1"/>
      <c r="K242" s="1"/>
      <c r="L242" s="1"/>
      <c r="M242" s="1"/>
    </row>
    <row x14ac:dyDescent="0.25" r="243" customHeight="1" ht="30" customFormat="1" s="31">
      <c r="A243" s="32" t="s">
        <v>681</v>
      </c>
      <c r="B243" s="33"/>
      <c r="C243" s="32"/>
      <c r="D243" s="32"/>
      <c r="E243" s="32"/>
      <c r="F243" s="34"/>
      <c r="G243" s="34"/>
      <c r="H243" s="35"/>
      <c r="I243" s="32"/>
      <c r="J243" s="32"/>
      <c r="K243" s="36"/>
      <c r="L243" s="36"/>
      <c r="M243" s="36"/>
    </row>
  </sheetData>
  <mergeCells count="12">
    <mergeCell ref="A1:J1"/>
    <mergeCell ref="C3:J3"/>
    <mergeCell ref="D4:J4"/>
    <mergeCell ref="E5:J5"/>
    <mergeCell ref="F6:J6"/>
    <mergeCell ref="G7:J7"/>
    <mergeCell ref="H8:J8"/>
    <mergeCell ref="I9:J9"/>
    <mergeCell ref="J11:K11"/>
    <mergeCell ref="J12:L12"/>
    <mergeCell ref="J13:M13"/>
    <mergeCell ref="A243:J2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25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1"/>
      <c r="B2" s="1"/>
      <c r="C2" s="1" t="s">
        <v>4</v>
      </c>
      <c r="D2" s="1" t="s">
        <v>5</v>
      </c>
    </row>
    <row x14ac:dyDescent="0.25" r="3" customHeight="1" ht="18.75">
      <c r="A3" s="1"/>
      <c r="B3" s="1"/>
      <c r="C3" s="1" t="s">
        <v>6</v>
      </c>
      <c r="D3" s="1" t="s">
        <v>7</v>
      </c>
    </row>
    <row x14ac:dyDescent="0.25" r="4" customHeight="1" ht="18.75">
      <c r="A4" s="1"/>
      <c r="B4" s="1"/>
      <c r="C4" s="1" t="s">
        <v>8</v>
      </c>
      <c r="D4" s="1" t="s">
        <v>9</v>
      </c>
    </row>
    <row x14ac:dyDescent="0.25" r="5" customHeight="1" ht="18.75">
      <c r="A5" s="1"/>
      <c r="B5" s="1"/>
      <c r="C5" s="1" t="s">
        <v>10</v>
      </c>
      <c r="D5" s="1" t="s">
        <v>11</v>
      </c>
    </row>
    <row x14ac:dyDescent="0.25" r="6" customHeight="1" ht="18.75">
      <c r="A6" s="1"/>
      <c r="B6" s="1"/>
      <c r="C6" s="1" t="s">
        <v>12</v>
      </c>
      <c r="D6" s="1" t="s">
        <v>13</v>
      </c>
    </row>
    <row x14ac:dyDescent="0.25" r="7" customHeight="1" ht="18.75">
      <c r="A7" s="1"/>
      <c r="B7" s="1"/>
      <c r="C7" s="1" t="s">
        <v>14</v>
      </c>
      <c r="D7" s="1" t="s">
        <v>15</v>
      </c>
    </row>
    <row x14ac:dyDescent="0.25" r="8" customHeight="1" ht="18.75">
      <c r="A8" s="1"/>
      <c r="B8" s="1"/>
      <c r="C8" s="1" t="s">
        <v>16</v>
      </c>
      <c r="D8" s="1" t="s">
        <v>17</v>
      </c>
    </row>
    <row x14ac:dyDescent="0.25" r="9" customHeight="1" ht="18.75">
      <c r="A9" s="1"/>
      <c r="B9" s="1"/>
      <c r="C9" s="1" t="s">
        <v>18</v>
      </c>
      <c r="D9" s="1" t="s">
        <v>19</v>
      </c>
    </row>
    <row x14ac:dyDescent="0.25" r="10" customHeight="1" ht="18.75">
      <c r="A10" s="1"/>
      <c r="B10" s="1"/>
      <c r="C10" s="1" t="s">
        <v>20</v>
      </c>
      <c r="D10" s="1" t="s">
        <v>21</v>
      </c>
    </row>
    <row x14ac:dyDescent="0.25" r="11" customHeight="1" ht="18.75">
      <c r="A11" s="1"/>
      <c r="B11" s="1"/>
      <c r="C11" s="1" t="s">
        <v>22</v>
      </c>
      <c r="D11" s="1" t="s">
        <v>23</v>
      </c>
    </row>
    <row x14ac:dyDescent="0.25" r="12" customHeight="1" ht="18.75">
      <c r="A12" s="1"/>
      <c r="B12" s="1"/>
      <c r="C12" s="1" t="s">
        <v>24</v>
      </c>
      <c r="D12" s="1" t="s">
        <v>25</v>
      </c>
    </row>
    <row x14ac:dyDescent="0.25" r="13" customHeight="1" ht="18.75">
      <c r="A13" s="1"/>
      <c r="B13" s="1"/>
      <c r="C13" s="1" t="s">
        <v>26</v>
      </c>
      <c r="D13" s="1" t="s">
        <v>27</v>
      </c>
    </row>
    <row x14ac:dyDescent="0.25" r="14" customHeight="1" ht="18.75">
      <c r="A14" s="1"/>
      <c r="B14" s="1"/>
      <c r="C14" s="1" t="s">
        <v>28</v>
      </c>
      <c r="D14" s="1" t="s">
        <v>29</v>
      </c>
    </row>
    <row x14ac:dyDescent="0.25" r="15" customHeight="1" ht="18.75">
      <c r="A15" s="1"/>
      <c r="B15" s="1"/>
      <c r="C15" s="1" t="s">
        <v>30</v>
      </c>
      <c r="D15" s="1" t="s">
        <v>31</v>
      </c>
    </row>
    <row x14ac:dyDescent="0.25" r="16" customHeight="1" ht="18.75">
      <c r="A16" s="1"/>
      <c r="B16" s="1"/>
      <c r="C16" s="1" t="s">
        <v>32</v>
      </c>
      <c r="D16" s="1" t="s">
        <v>33</v>
      </c>
    </row>
    <row x14ac:dyDescent="0.25" r="17" customHeight="1" ht="18.75">
      <c r="A17" s="1"/>
      <c r="B17" s="1"/>
      <c r="C17" s="1" t="s">
        <v>34</v>
      </c>
      <c r="D17" s="1" t="s">
        <v>35</v>
      </c>
    </row>
    <row x14ac:dyDescent="0.25" r="18" customHeight="1" ht="18.75">
      <c r="A18" s="1"/>
      <c r="B18" s="1"/>
      <c r="C18" s="1" t="s">
        <v>36</v>
      </c>
      <c r="D18" s="1" t="s">
        <v>37</v>
      </c>
    </row>
    <row x14ac:dyDescent="0.25" r="19" customHeight="1" ht="18.75">
      <c r="A19" s="1"/>
      <c r="B19" s="1"/>
      <c r="C19" s="1" t="s">
        <v>38</v>
      </c>
      <c r="D19" s="1" t="s">
        <v>39</v>
      </c>
    </row>
    <row x14ac:dyDescent="0.25" r="20" customHeight="1" ht="18.75">
      <c r="A20" s="1"/>
      <c r="B20" s="1"/>
      <c r="C20" s="1" t="s">
        <v>40</v>
      </c>
      <c r="D20" s="1" t="s">
        <v>41</v>
      </c>
    </row>
    <row x14ac:dyDescent="0.25" r="21" customHeight="1" ht="18.75">
      <c r="A21" s="1"/>
      <c r="B21" s="1"/>
      <c r="C21" s="1" t="s">
        <v>42</v>
      </c>
      <c r="D21" s="1" t="s">
        <v>43</v>
      </c>
    </row>
    <row x14ac:dyDescent="0.25" r="22" customHeight="1" ht="18.75">
      <c r="A22" s="1"/>
      <c r="B22" s="1"/>
      <c r="C22" s="1" t="s">
        <v>44</v>
      </c>
      <c r="D22" s="1" t="s">
        <v>45</v>
      </c>
    </row>
    <row x14ac:dyDescent="0.25" r="23" customHeight="1" ht="18.75">
      <c r="A23" s="1"/>
      <c r="B23" s="1"/>
      <c r="C23" s="1" t="s">
        <v>46</v>
      </c>
      <c r="D23" s="1" t="s">
        <v>47</v>
      </c>
    </row>
    <row x14ac:dyDescent="0.25" r="24" customHeight="1" ht="18.75">
      <c r="A24" s="1"/>
      <c r="B24" s="1"/>
      <c r="C24" s="1" t="s">
        <v>48</v>
      </c>
      <c r="D24" s="1" t="s">
        <v>49</v>
      </c>
    </row>
    <row x14ac:dyDescent="0.25" r="25" customHeight="1" ht="18.75">
      <c r="A25" s="1"/>
      <c r="B25" s="1"/>
      <c r="C25" s="1" t="s">
        <v>50</v>
      </c>
      <c r="D25" s="1" t="s">
        <v>51</v>
      </c>
    </row>
    <row x14ac:dyDescent="0.25" r="26" customHeight="1" ht="18.75">
      <c r="A26" s="1"/>
      <c r="B26" s="1"/>
      <c r="C26" s="1" t="s">
        <v>52</v>
      </c>
      <c r="D26" s="1" t="s">
        <v>53</v>
      </c>
    </row>
    <row x14ac:dyDescent="0.25" r="27" customHeight="1" ht="18.75">
      <c r="A27" s="1"/>
      <c r="B27" s="1"/>
      <c r="C27" s="1" t="s">
        <v>54</v>
      </c>
      <c r="D27" s="1" t="s">
        <v>55</v>
      </c>
    </row>
    <row x14ac:dyDescent="0.25" r="28" customHeight="1" ht="18.75">
      <c r="A28" s="1"/>
      <c r="B28" s="1"/>
      <c r="C28" s="1" t="s">
        <v>56</v>
      </c>
      <c r="D28" s="1" t="s">
        <v>57</v>
      </c>
    </row>
    <row x14ac:dyDescent="0.25" r="29" customHeight="1" ht="18.75">
      <c r="A29" s="1"/>
      <c r="B29" s="1"/>
      <c r="C29" s="1" t="s">
        <v>58</v>
      </c>
      <c r="D29" s="1" t="s">
        <v>59</v>
      </c>
    </row>
    <row x14ac:dyDescent="0.25" r="30" customHeight="1" ht="18.75">
      <c r="A30" s="1"/>
      <c r="B30" s="1"/>
      <c r="C30" s="1" t="s">
        <v>60</v>
      </c>
      <c r="D30" s="1" t="s">
        <v>61</v>
      </c>
    </row>
    <row x14ac:dyDescent="0.25" r="31" customHeight="1" ht="18.75">
      <c r="A31" s="1"/>
      <c r="B31" s="1"/>
      <c r="C31" s="1" t="s">
        <v>62</v>
      </c>
      <c r="D31" s="1" t="s">
        <v>63</v>
      </c>
    </row>
    <row x14ac:dyDescent="0.25" r="32" customHeight="1" ht="18.75">
      <c r="A32" s="1"/>
      <c r="B32" s="1"/>
      <c r="C32" s="1" t="s">
        <v>64</v>
      </c>
      <c r="D32" s="1" t="s">
        <v>65</v>
      </c>
    </row>
    <row x14ac:dyDescent="0.25" r="33" customHeight="1" ht="18.75">
      <c r="A33" s="1"/>
      <c r="B33" s="1"/>
      <c r="C33" s="1" t="s">
        <v>66</v>
      </c>
      <c r="D33" s="1" t="s">
        <v>67</v>
      </c>
    </row>
    <row x14ac:dyDescent="0.25" r="34" customHeight="1" ht="18.75">
      <c r="A34" s="1"/>
      <c r="B34" s="1"/>
      <c r="C34" s="1" t="s">
        <v>68</v>
      </c>
      <c r="D34" s="1" t="s">
        <v>69</v>
      </c>
    </row>
    <row x14ac:dyDescent="0.25" r="35" customHeight="1" ht="18.75">
      <c r="A35" s="1"/>
      <c r="B35" s="1"/>
      <c r="C35" s="1" t="s">
        <v>70</v>
      </c>
      <c r="D35" s="1" t="s">
        <v>71</v>
      </c>
    </row>
    <row x14ac:dyDescent="0.25" r="36" customHeight="1" ht="18.75">
      <c r="A36" s="1"/>
      <c r="B36" s="1"/>
      <c r="C36" s="1" t="s">
        <v>72</v>
      </c>
      <c r="D36" s="1" t="s">
        <v>73</v>
      </c>
    </row>
    <row x14ac:dyDescent="0.25" r="37" customHeight="1" ht="18.75">
      <c r="A37" s="1"/>
      <c r="B37" s="1"/>
      <c r="C37" s="1" t="s">
        <v>74</v>
      </c>
      <c r="D37" s="1" t="s">
        <v>75</v>
      </c>
    </row>
    <row x14ac:dyDescent="0.25" r="38" customHeight="1" ht="18.75">
      <c r="A38" s="1"/>
      <c r="B38" s="1"/>
      <c r="C38" s="1" t="s">
        <v>76</v>
      </c>
      <c r="D38" s="1" t="s">
        <v>77</v>
      </c>
    </row>
    <row x14ac:dyDescent="0.25" r="39" customHeight="1" ht="18.75">
      <c r="A39" s="1"/>
      <c r="B39" s="1"/>
      <c r="C39" s="1" t="s">
        <v>78</v>
      </c>
      <c r="D39" s="1" t="s">
        <v>79</v>
      </c>
    </row>
    <row x14ac:dyDescent="0.25" r="40" customHeight="1" ht="18.75">
      <c r="A40" s="1"/>
      <c r="B40" s="1"/>
      <c r="C40" s="1" t="s">
        <v>80</v>
      </c>
      <c r="D40" s="1" t="s">
        <v>81</v>
      </c>
    </row>
    <row x14ac:dyDescent="0.25" r="41" customHeight="1" ht="18.75">
      <c r="A41" s="1"/>
      <c r="B41" s="1"/>
      <c r="C41" s="1" t="s">
        <v>82</v>
      </c>
      <c r="D41" s="1" t="s">
        <v>83</v>
      </c>
    </row>
    <row x14ac:dyDescent="0.25" r="42" customHeight="1" ht="18.75">
      <c r="A42" s="1"/>
      <c r="B42" s="1"/>
      <c r="C42" s="1" t="s">
        <v>84</v>
      </c>
      <c r="D42" s="1" t="s">
        <v>85</v>
      </c>
    </row>
    <row x14ac:dyDescent="0.25" r="43" customHeight="1" ht="18.75">
      <c r="A43" s="1"/>
      <c r="B43" s="1"/>
      <c r="C43" s="1" t="s">
        <v>86</v>
      </c>
      <c r="D43" s="1" t="s">
        <v>87</v>
      </c>
    </row>
    <row x14ac:dyDescent="0.25" r="44" customHeight="1" ht="18.75">
      <c r="A44" s="1"/>
      <c r="B44" s="1"/>
      <c r="C44" s="1" t="s">
        <v>88</v>
      </c>
      <c r="D44" s="1" t="s">
        <v>89</v>
      </c>
    </row>
    <row x14ac:dyDescent="0.25" r="45" customHeight="1" ht="18.75">
      <c r="A45" s="1"/>
      <c r="B45" s="1"/>
      <c r="C45" s="1" t="s">
        <v>90</v>
      </c>
      <c r="D45" s="1" t="s">
        <v>91</v>
      </c>
    </row>
    <row x14ac:dyDescent="0.25" r="46" customHeight="1" ht="18.75">
      <c r="A46" s="1"/>
      <c r="B46" s="1"/>
      <c r="C46" s="1" t="s">
        <v>92</v>
      </c>
      <c r="D46" s="1" t="s">
        <v>91</v>
      </c>
    </row>
    <row x14ac:dyDescent="0.25" r="47" customHeight="1" ht="18.75">
      <c r="A47" s="1"/>
      <c r="B47" s="1"/>
      <c r="C47" s="1" t="s">
        <v>93</v>
      </c>
      <c r="D47" s="1" t="s">
        <v>91</v>
      </c>
    </row>
    <row x14ac:dyDescent="0.25" r="48" customHeight="1" ht="18.75">
      <c r="A48" s="1"/>
      <c r="B48" s="1"/>
      <c r="C48" s="1" t="s">
        <v>94</v>
      </c>
      <c r="D48" s="1" t="s">
        <v>95</v>
      </c>
    </row>
    <row x14ac:dyDescent="0.25" r="49" customHeight="1" ht="18.75">
      <c r="A49" s="1"/>
      <c r="B49" s="1"/>
      <c r="C49" s="1" t="s">
        <v>96</v>
      </c>
      <c r="D49" s="1" t="s">
        <v>97</v>
      </c>
    </row>
    <row x14ac:dyDescent="0.25" r="50" customHeight="1" ht="18.75">
      <c r="A50" s="1"/>
      <c r="B50" s="1"/>
      <c r="C50" s="1" t="s">
        <v>98</v>
      </c>
      <c r="D50" s="1" t="s">
        <v>99</v>
      </c>
    </row>
    <row x14ac:dyDescent="0.25" r="51" customHeight="1" ht="18.75">
      <c r="A51" s="1"/>
      <c r="B51" s="1"/>
      <c r="C51" s="1" t="s">
        <v>100</v>
      </c>
      <c r="D51" s="1" t="s">
        <v>101</v>
      </c>
    </row>
    <row x14ac:dyDescent="0.25" r="52" customHeight="1" ht="18.75">
      <c r="A52" s="1"/>
      <c r="B52" s="1"/>
      <c r="C52" s="1" t="s">
        <v>102</v>
      </c>
      <c r="D52" s="1" t="s">
        <v>103</v>
      </c>
    </row>
    <row x14ac:dyDescent="0.25" r="53" customHeight="1" ht="18.75">
      <c r="A53" s="1"/>
      <c r="B53" s="1"/>
      <c r="C53" s="1" t="s">
        <v>104</v>
      </c>
      <c r="D53" s="1" t="s">
        <v>105</v>
      </c>
    </row>
    <row x14ac:dyDescent="0.25" r="54" customHeight="1" ht="18.75">
      <c r="A54" s="1"/>
      <c r="B54" s="1"/>
      <c r="C54" s="1" t="s">
        <v>106</v>
      </c>
      <c r="D54" s="1" t="s">
        <v>107</v>
      </c>
    </row>
    <row x14ac:dyDescent="0.25" r="55" customHeight="1" ht="18.75">
      <c r="A55" s="1"/>
      <c r="B55" s="1"/>
      <c r="C55" s="1" t="s">
        <v>108</v>
      </c>
      <c r="D55" s="1" t="s">
        <v>109</v>
      </c>
    </row>
    <row x14ac:dyDescent="0.25" r="56" customHeight="1" ht="18.75">
      <c r="A56" s="1"/>
      <c r="B56" s="1"/>
      <c r="C56" s="1" t="s">
        <v>110</v>
      </c>
      <c r="D56" s="1" t="s">
        <v>111</v>
      </c>
    </row>
    <row x14ac:dyDescent="0.25" r="57" customHeight="1" ht="18.75">
      <c r="A57" s="1"/>
      <c r="B57" s="1"/>
      <c r="C57" s="1" t="s">
        <v>112</v>
      </c>
      <c r="D57" s="1" t="s">
        <v>113</v>
      </c>
    </row>
    <row x14ac:dyDescent="0.25" r="58" customHeight="1" ht="18.75">
      <c r="A58" s="1"/>
      <c r="B58" s="1"/>
      <c r="C58" s="1" t="s">
        <v>114</v>
      </c>
      <c r="D58" s="1" t="s">
        <v>115</v>
      </c>
    </row>
    <row x14ac:dyDescent="0.25" r="59" customHeight="1" ht="18.75">
      <c r="A59" s="1"/>
      <c r="B59" s="1"/>
      <c r="C59" s="1" t="s">
        <v>116</v>
      </c>
      <c r="D59" s="1" t="s">
        <v>117</v>
      </c>
    </row>
    <row x14ac:dyDescent="0.25" r="60" customHeight="1" ht="18.75">
      <c r="A60" s="1"/>
      <c r="B60" s="1"/>
      <c r="C60" s="1" t="s">
        <v>118</v>
      </c>
      <c r="D60" s="1" t="s">
        <v>119</v>
      </c>
    </row>
    <row x14ac:dyDescent="0.25" r="61" customHeight="1" ht="18.75">
      <c r="A61" s="1"/>
      <c r="B61" s="1"/>
      <c r="C61" s="1" t="s">
        <v>120</v>
      </c>
      <c r="D61" s="1" t="s">
        <v>121</v>
      </c>
    </row>
    <row x14ac:dyDescent="0.25" r="62" customHeight="1" ht="18.75">
      <c r="A62" s="1"/>
      <c r="B62" s="1"/>
      <c r="C62" s="1" t="s">
        <v>122</v>
      </c>
      <c r="D62" s="1" t="s">
        <v>123</v>
      </c>
    </row>
    <row x14ac:dyDescent="0.25" r="63" customHeight="1" ht="18.75">
      <c r="A63" s="1"/>
      <c r="B63" s="1"/>
      <c r="C63" s="1" t="s">
        <v>124</v>
      </c>
      <c r="D63" s="1" t="s">
        <v>125</v>
      </c>
    </row>
    <row x14ac:dyDescent="0.25" r="64" customHeight="1" ht="18.75">
      <c r="A64" s="1"/>
      <c r="B64" s="1"/>
      <c r="C64" s="1" t="s">
        <v>126</v>
      </c>
      <c r="D64" s="1" t="s">
        <v>127</v>
      </c>
    </row>
    <row x14ac:dyDescent="0.25" r="65" customHeight="1" ht="18.75">
      <c r="A65" s="1"/>
      <c r="B65" s="1"/>
      <c r="C65" s="1" t="s">
        <v>128</v>
      </c>
      <c r="D65" s="1" t="s">
        <v>129</v>
      </c>
    </row>
    <row x14ac:dyDescent="0.25" r="66" customHeight="1" ht="18.75">
      <c r="A66" s="1"/>
      <c r="B66" s="1"/>
      <c r="C66" s="1" t="s">
        <v>130</v>
      </c>
      <c r="D66" s="1" t="s">
        <v>131</v>
      </c>
    </row>
    <row x14ac:dyDescent="0.25" r="67" customHeight="1" ht="18.75">
      <c r="A67" s="1"/>
      <c r="B67" s="1"/>
      <c r="C67" s="1" t="s">
        <v>132</v>
      </c>
      <c r="D67" s="1" t="s">
        <v>133</v>
      </c>
    </row>
    <row x14ac:dyDescent="0.25" r="68" customHeight="1" ht="18.75">
      <c r="A68" s="1"/>
      <c r="B68" s="1"/>
      <c r="C68" s="1" t="s">
        <v>134</v>
      </c>
      <c r="D68" s="1" t="s">
        <v>135</v>
      </c>
    </row>
    <row x14ac:dyDescent="0.25" r="69" customHeight="1" ht="18.75">
      <c r="A69" s="1"/>
      <c r="B69" s="1"/>
      <c r="C69" s="1" t="s">
        <v>136</v>
      </c>
      <c r="D69" s="1" t="s">
        <v>137</v>
      </c>
    </row>
    <row x14ac:dyDescent="0.25" r="70" customHeight="1" ht="18.75">
      <c r="A70" s="1"/>
      <c r="B70" s="1"/>
      <c r="C70" s="1" t="s">
        <v>138</v>
      </c>
      <c r="D70" s="1" t="s">
        <v>139</v>
      </c>
    </row>
    <row x14ac:dyDescent="0.25" r="71" customHeight="1" ht="18.75">
      <c r="A71" s="1"/>
      <c r="B71" s="1"/>
      <c r="C71" s="1" t="s">
        <v>140</v>
      </c>
      <c r="D71" s="1" t="s">
        <v>141</v>
      </c>
    </row>
    <row x14ac:dyDescent="0.25" r="72" customHeight="1" ht="18.75">
      <c r="A72" s="1"/>
      <c r="B72" s="1"/>
      <c r="C72" s="1" t="s">
        <v>142</v>
      </c>
      <c r="D72" s="1" t="s">
        <v>143</v>
      </c>
    </row>
    <row x14ac:dyDescent="0.25" r="73" customHeight="1" ht="18.75">
      <c r="A73" s="1"/>
      <c r="B73" s="1"/>
      <c r="C73" s="1" t="s">
        <v>144</v>
      </c>
      <c r="D73" s="1" t="s">
        <v>145</v>
      </c>
    </row>
    <row x14ac:dyDescent="0.25" r="74" customHeight="1" ht="18.75">
      <c r="A74" s="1"/>
      <c r="B74" s="1"/>
      <c r="C74" s="1" t="s">
        <v>146</v>
      </c>
      <c r="D74" s="1" t="s">
        <v>145</v>
      </c>
    </row>
    <row x14ac:dyDescent="0.25" r="75" customHeight="1" ht="18.75">
      <c r="A75" s="1"/>
      <c r="B75" s="1"/>
      <c r="C75" s="1" t="s">
        <v>147</v>
      </c>
      <c r="D75" s="1" t="s">
        <v>148</v>
      </c>
    </row>
    <row x14ac:dyDescent="0.25" r="76" customHeight="1" ht="18.75">
      <c r="A76" s="1"/>
      <c r="B76" s="1"/>
      <c r="C76" s="1" t="s">
        <v>149</v>
      </c>
      <c r="D76" s="1" t="s">
        <v>150</v>
      </c>
    </row>
    <row x14ac:dyDescent="0.25" r="77" customHeight="1" ht="18.75">
      <c r="A77" s="1"/>
      <c r="B77" s="1"/>
      <c r="C77" s="1" t="s">
        <v>151</v>
      </c>
      <c r="D77" s="1" t="s">
        <v>152</v>
      </c>
    </row>
    <row x14ac:dyDescent="0.25" r="78" customHeight="1" ht="18.75">
      <c r="A78" s="1"/>
      <c r="B78" s="1"/>
      <c r="C78" s="1" t="s">
        <v>153</v>
      </c>
      <c r="D78" s="1" t="s">
        <v>154</v>
      </c>
    </row>
    <row x14ac:dyDescent="0.25" r="79" customHeight="1" ht="18.75">
      <c r="A79" s="1"/>
      <c r="B79" s="1"/>
      <c r="C79" s="1" t="s">
        <v>155</v>
      </c>
      <c r="D79" s="1" t="s">
        <v>156</v>
      </c>
    </row>
    <row x14ac:dyDescent="0.25" r="80" customHeight="1" ht="18.75">
      <c r="A80" s="1"/>
      <c r="B80" s="1"/>
      <c r="C80" s="1" t="s">
        <v>157</v>
      </c>
      <c r="D80" s="1" t="s">
        <v>158</v>
      </c>
    </row>
    <row x14ac:dyDescent="0.25" r="81" customHeight="1" ht="18.75">
      <c r="A81" s="1"/>
      <c r="B81" s="1"/>
      <c r="C81" s="1" t="s">
        <v>159</v>
      </c>
      <c r="D81" s="1" t="s">
        <v>160</v>
      </c>
    </row>
    <row x14ac:dyDescent="0.25" r="82" customHeight="1" ht="18.75">
      <c r="A82" s="1"/>
      <c r="B82" s="1"/>
      <c r="C82" s="1" t="s">
        <v>161</v>
      </c>
      <c r="D82" s="1" t="s">
        <v>162</v>
      </c>
    </row>
    <row x14ac:dyDescent="0.25" r="83" customHeight="1" ht="18.75">
      <c r="A83" s="1"/>
      <c r="B83" s="1"/>
      <c r="C83" s="1" t="s">
        <v>163</v>
      </c>
      <c r="D83" s="1" t="s">
        <v>164</v>
      </c>
    </row>
    <row x14ac:dyDescent="0.25" r="84" customHeight="1" ht="18.75">
      <c r="A84" s="1"/>
      <c r="B84" s="1"/>
      <c r="C84" s="1" t="s">
        <v>165</v>
      </c>
      <c r="D84" s="1" t="s">
        <v>166</v>
      </c>
    </row>
    <row x14ac:dyDescent="0.25" r="85" customHeight="1" ht="18.75">
      <c r="A85" s="1"/>
      <c r="B85" s="1"/>
      <c r="C85" s="1" t="s">
        <v>167</v>
      </c>
      <c r="D85" s="1" t="s">
        <v>168</v>
      </c>
    </row>
    <row x14ac:dyDescent="0.25" r="86" customHeight="1" ht="18.75">
      <c r="A86" s="1"/>
      <c r="B86" s="1"/>
      <c r="C86" s="1" t="s">
        <v>169</v>
      </c>
      <c r="D86" s="1" t="s">
        <v>170</v>
      </c>
    </row>
    <row x14ac:dyDescent="0.25" r="87" customHeight="1" ht="18.75">
      <c r="A87" s="1"/>
      <c r="B87" s="1"/>
      <c r="C87" s="1" t="s">
        <v>171</v>
      </c>
      <c r="D87" s="1" t="s">
        <v>172</v>
      </c>
    </row>
    <row x14ac:dyDescent="0.25" r="88" customHeight="1" ht="18.75">
      <c r="A88" s="1"/>
      <c r="B88" s="1"/>
      <c r="C88" s="1" t="s">
        <v>173</v>
      </c>
      <c r="D88" s="1" t="s">
        <v>174</v>
      </c>
    </row>
    <row x14ac:dyDescent="0.25" r="89" customHeight="1" ht="18.75">
      <c r="A89" s="1"/>
      <c r="B89" s="1"/>
      <c r="C89" s="1" t="s">
        <v>175</v>
      </c>
      <c r="D89" s="1" t="s">
        <v>176</v>
      </c>
    </row>
    <row x14ac:dyDescent="0.25" r="90" customHeight="1" ht="18.75">
      <c r="A90" s="1"/>
      <c r="B90" s="1"/>
      <c r="C90" s="1" t="s">
        <v>177</v>
      </c>
      <c r="D90" s="1" t="s">
        <v>178</v>
      </c>
    </row>
    <row x14ac:dyDescent="0.25" r="91" customHeight="1" ht="18.75">
      <c r="A91" s="1"/>
      <c r="B91" s="1"/>
      <c r="C91" s="1" t="s">
        <v>179</v>
      </c>
      <c r="D91" s="1" t="s">
        <v>180</v>
      </c>
    </row>
    <row x14ac:dyDescent="0.25" r="92" customHeight="1" ht="18.75">
      <c r="A92" s="1"/>
      <c r="B92" s="1"/>
      <c r="C92" s="1" t="s">
        <v>181</v>
      </c>
      <c r="D92" s="1" t="s">
        <v>182</v>
      </c>
    </row>
    <row x14ac:dyDescent="0.25" r="93" customHeight="1" ht="18.75">
      <c r="A93" s="1"/>
      <c r="B93" s="1"/>
      <c r="C93" s="1" t="s">
        <v>183</v>
      </c>
      <c r="D93" s="1" t="s">
        <v>184</v>
      </c>
    </row>
    <row x14ac:dyDescent="0.25" r="94" customHeight="1" ht="18.75">
      <c r="A94" s="1"/>
      <c r="B94" s="1"/>
      <c r="C94" s="1" t="s">
        <v>185</v>
      </c>
      <c r="D94" s="1" t="s">
        <v>186</v>
      </c>
    </row>
    <row x14ac:dyDescent="0.25" r="95" customHeight="1" ht="18.75">
      <c r="A95" s="1"/>
      <c r="B95" s="1"/>
      <c r="C95" s="1" t="s">
        <v>187</v>
      </c>
      <c r="D95" s="1" t="s">
        <v>188</v>
      </c>
    </row>
    <row x14ac:dyDescent="0.25" r="96" customHeight="1" ht="18.75">
      <c r="A96" s="1"/>
      <c r="B96" s="1"/>
      <c r="C96" s="1" t="s">
        <v>189</v>
      </c>
      <c r="D96" s="1" t="s">
        <v>190</v>
      </c>
    </row>
    <row x14ac:dyDescent="0.25" r="97" customHeight="1" ht="18.75">
      <c r="A97" s="1"/>
      <c r="B97" s="1"/>
      <c r="C97" s="1" t="s">
        <v>191</v>
      </c>
      <c r="D97" s="1" t="s">
        <v>192</v>
      </c>
    </row>
    <row x14ac:dyDescent="0.25" r="98" customHeight="1" ht="18.75">
      <c r="A98" s="1"/>
      <c r="B98" s="1"/>
      <c r="C98" s="1" t="s">
        <v>193</v>
      </c>
      <c r="D98" s="1" t="s">
        <v>194</v>
      </c>
    </row>
    <row x14ac:dyDescent="0.25" r="99" customHeight="1" ht="18.75">
      <c r="A99" s="1"/>
      <c r="B99" s="1"/>
      <c r="C99" s="1" t="s">
        <v>195</v>
      </c>
      <c r="D99" s="1" t="s">
        <v>196</v>
      </c>
    </row>
    <row x14ac:dyDescent="0.25" r="100" customHeight="1" ht="18.75">
      <c r="A100" s="1"/>
      <c r="B100" s="1"/>
      <c r="C100" s="1" t="s">
        <v>197</v>
      </c>
      <c r="D100" s="1" t="s">
        <v>198</v>
      </c>
    </row>
    <row x14ac:dyDescent="0.25" r="101" customHeight="1" ht="18.75">
      <c r="A101" s="1"/>
      <c r="B101" s="1"/>
      <c r="C101" s="1" t="s">
        <v>199</v>
      </c>
      <c r="D101" s="1" t="s">
        <v>200</v>
      </c>
    </row>
    <row x14ac:dyDescent="0.25" r="102" customHeight="1" ht="18.75">
      <c r="A102" s="1"/>
      <c r="B102" s="1"/>
      <c r="C102" s="1" t="s">
        <v>201</v>
      </c>
      <c r="D102" s="1" t="s">
        <v>202</v>
      </c>
    </row>
    <row x14ac:dyDescent="0.25" r="103" customHeight="1" ht="18.75">
      <c r="A103" s="1"/>
      <c r="B103" s="1"/>
      <c r="C103" s="1" t="s">
        <v>203</v>
      </c>
      <c r="D103" s="1" t="s">
        <v>204</v>
      </c>
    </row>
    <row x14ac:dyDescent="0.25" r="104" customHeight="1" ht="18.75">
      <c r="A104" s="1"/>
      <c r="B104" s="1"/>
      <c r="C104" s="1" t="s">
        <v>205</v>
      </c>
      <c r="D104" s="1" t="s">
        <v>206</v>
      </c>
    </row>
    <row x14ac:dyDescent="0.25" r="105" customHeight="1" ht="18.75">
      <c r="A105" s="1"/>
      <c r="B105" s="1"/>
      <c r="C105" s="1" t="s">
        <v>207</v>
      </c>
      <c r="D105" s="1" t="s">
        <v>208</v>
      </c>
    </row>
    <row x14ac:dyDescent="0.25" r="106" customHeight="1" ht="18.75">
      <c r="A106" s="1"/>
      <c r="B106" s="1"/>
      <c r="C106" s="1" t="s">
        <v>209</v>
      </c>
      <c r="D106" s="1" t="s">
        <v>210</v>
      </c>
    </row>
    <row x14ac:dyDescent="0.25" r="107" customHeight="1" ht="18.75">
      <c r="A107" s="1"/>
      <c r="B107" s="1"/>
      <c r="C107" s="1" t="s">
        <v>211</v>
      </c>
      <c r="D107" s="1" t="s">
        <v>212</v>
      </c>
    </row>
    <row x14ac:dyDescent="0.25" r="108" customHeight="1" ht="18.75">
      <c r="A108" s="1"/>
      <c r="B108" s="1"/>
      <c r="C108" s="1" t="s">
        <v>213</v>
      </c>
      <c r="D108" s="1" t="s">
        <v>214</v>
      </c>
    </row>
    <row x14ac:dyDescent="0.25" r="109" customHeight="1" ht="18.75">
      <c r="A109" s="1"/>
      <c r="B109" s="1"/>
      <c r="C109" s="1" t="s">
        <v>215</v>
      </c>
      <c r="D109" s="1" t="s">
        <v>216</v>
      </c>
    </row>
    <row x14ac:dyDescent="0.25" r="110" customHeight="1" ht="18.75">
      <c r="A110" s="1"/>
      <c r="B110" s="1"/>
      <c r="C110" s="1" t="s">
        <v>217</v>
      </c>
      <c r="D110" s="1" t="s">
        <v>218</v>
      </c>
    </row>
    <row x14ac:dyDescent="0.25" r="111" customHeight="1" ht="18.75">
      <c r="A111" s="1"/>
      <c r="B111" s="1"/>
      <c r="C111" s="1" t="s">
        <v>219</v>
      </c>
      <c r="D111" s="1" t="s">
        <v>220</v>
      </c>
    </row>
    <row x14ac:dyDescent="0.25" r="112" customHeight="1" ht="18.75">
      <c r="A112" s="1"/>
      <c r="B112" s="1"/>
      <c r="C112" s="1" t="s">
        <v>221</v>
      </c>
      <c r="D112" s="1" t="s">
        <v>222</v>
      </c>
    </row>
    <row x14ac:dyDescent="0.25" r="113" customHeight="1" ht="18.75">
      <c r="A113" s="1"/>
      <c r="B113" s="1"/>
      <c r="C113" s="1" t="s">
        <v>223</v>
      </c>
      <c r="D113" s="1" t="s">
        <v>224</v>
      </c>
    </row>
    <row x14ac:dyDescent="0.25" r="114" customHeight="1" ht="18.75">
      <c r="A114" s="1"/>
      <c r="B114" s="1"/>
      <c r="C114" s="1" t="s">
        <v>225</v>
      </c>
      <c r="D114" s="1" t="s">
        <v>226</v>
      </c>
    </row>
    <row x14ac:dyDescent="0.25" r="115" customHeight="1" ht="18.75">
      <c r="A115" s="1"/>
      <c r="B115" s="1"/>
      <c r="C115" s="1" t="s">
        <v>227</v>
      </c>
      <c r="D115" s="1" t="s">
        <v>228</v>
      </c>
    </row>
    <row x14ac:dyDescent="0.25" r="116" customHeight="1" ht="18.75">
      <c r="A116" s="1"/>
      <c r="B116" s="1"/>
      <c r="C116" s="1" t="s">
        <v>229</v>
      </c>
      <c r="D116" s="1" t="s">
        <v>230</v>
      </c>
    </row>
    <row x14ac:dyDescent="0.25" r="117" customHeight="1" ht="18.75">
      <c r="A117" s="1"/>
      <c r="B117" s="1"/>
      <c r="C117" s="1" t="s">
        <v>231</v>
      </c>
      <c r="D117" s="1" t="s">
        <v>232</v>
      </c>
    </row>
    <row x14ac:dyDescent="0.25" r="118" customHeight="1" ht="18.75">
      <c r="A118" s="1"/>
      <c r="B118" s="1"/>
      <c r="C118" s="1" t="s">
        <v>233</v>
      </c>
      <c r="D118" s="1" t="s">
        <v>234</v>
      </c>
    </row>
    <row x14ac:dyDescent="0.25" r="119" customHeight="1" ht="18.75">
      <c r="A119" s="1"/>
      <c r="B119" s="1"/>
      <c r="C119" s="1" t="s">
        <v>235</v>
      </c>
      <c r="D119" s="1" t="s">
        <v>236</v>
      </c>
    </row>
    <row x14ac:dyDescent="0.25" r="120" customHeight="1" ht="18.75">
      <c r="A120" s="1"/>
      <c r="B120" s="1"/>
      <c r="C120" s="1" t="s">
        <v>237</v>
      </c>
      <c r="D120" s="1" t="s">
        <v>238</v>
      </c>
    </row>
    <row x14ac:dyDescent="0.25" r="121" customHeight="1" ht="18.75">
      <c r="A121" s="1"/>
      <c r="B121" s="1"/>
      <c r="C121" s="1" t="s">
        <v>239</v>
      </c>
      <c r="D121" s="1" t="s">
        <v>240</v>
      </c>
    </row>
    <row x14ac:dyDescent="0.25" r="122" customHeight="1" ht="18.75">
      <c r="A122" s="1"/>
      <c r="B122" s="1"/>
      <c r="C122" s="1" t="s">
        <v>241</v>
      </c>
      <c r="D122" s="1" t="s">
        <v>242</v>
      </c>
    </row>
    <row x14ac:dyDescent="0.25" r="123" customHeight="1" ht="18.75">
      <c r="A123" s="1"/>
      <c r="B123" s="1"/>
      <c r="C123" s="1" t="s">
        <v>243</v>
      </c>
      <c r="D123" s="1" t="s">
        <v>244</v>
      </c>
    </row>
    <row x14ac:dyDescent="0.25" r="124" customHeight="1" ht="18.75">
      <c r="A124" s="1"/>
      <c r="B124" s="1"/>
      <c r="C124" s="1" t="s">
        <v>245</v>
      </c>
      <c r="D124" s="1" t="s">
        <v>246</v>
      </c>
    </row>
    <row x14ac:dyDescent="0.25" r="125" customHeight="1" ht="18.75">
      <c r="A125" s="1"/>
      <c r="B125" s="1"/>
      <c r="C125" s="1" t="s">
        <v>247</v>
      </c>
      <c r="D125" s="1" t="s">
        <v>248</v>
      </c>
    </row>
    <row x14ac:dyDescent="0.25" r="126" customHeight="1" ht="18.75">
      <c r="A126" s="1"/>
      <c r="B126" s="1"/>
      <c r="C126" s="1" t="s">
        <v>249</v>
      </c>
      <c r="D126" s="1" t="s">
        <v>250</v>
      </c>
    </row>
    <row x14ac:dyDescent="0.25" r="127" customHeight="1" ht="18.75">
      <c r="A127" s="1"/>
      <c r="B127" s="1"/>
      <c r="C127" s="1" t="s">
        <v>251</v>
      </c>
      <c r="D127" s="1" t="s">
        <v>252</v>
      </c>
    </row>
    <row x14ac:dyDescent="0.25" r="128" customHeight="1" ht="18.75">
      <c r="A128" s="1"/>
      <c r="B128" s="1"/>
      <c r="C128" s="1" t="s">
        <v>253</v>
      </c>
      <c r="D128" s="1" t="s">
        <v>254</v>
      </c>
    </row>
    <row x14ac:dyDescent="0.25" r="129" customHeight="1" ht="18.75">
      <c r="A129" s="1"/>
      <c r="B129" s="1"/>
      <c r="C129" s="1" t="s">
        <v>255</v>
      </c>
      <c r="D129" s="1" t="s">
        <v>256</v>
      </c>
    </row>
    <row x14ac:dyDescent="0.25" r="130" customHeight="1" ht="18.75">
      <c r="A130" s="1"/>
      <c r="B130" s="1"/>
      <c r="C130" s="1" t="s">
        <v>257</v>
      </c>
      <c r="D130" s="1" t="s">
        <v>258</v>
      </c>
    </row>
    <row x14ac:dyDescent="0.25" r="131" customHeight="1" ht="18.75">
      <c r="A131" s="1"/>
      <c r="B131" s="1"/>
      <c r="C131" s="1" t="s">
        <v>259</v>
      </c>
      <c r="D131" s="1" t="s">
        <v>258</v>
      </c>
    </row>
    <row x14ac:dyDescent="0.25" r="132" customHeight="1" ht="18.75">
      <c r="A132" s="1"/>
      <c r="B132" s="1"/>
      <c r="C132" s="1" t="s">
        <v>260</v>
      </c>
      <c r="D132" s="1" t="s">
        <v>261</v>
      </c>
    </row>
    <row x14ac:dyDescent="0.25" r="133" customHeight="1" ht="18.75">
      <c r="A133" s="1"/>
      <c r="B133" s="1"/>
      <c r="C133" s="1" t="s">
        <v>262</v>
      </c>
      <c r="D133" s="1" t="s">
        <v>263</v>
      </c>
    </row>
    <row x14ac:dyDescent="0.25" r="134" customHeight="1" ht="18.75">
      <c r="A134" s="1"/>
      <c r="B134" s="1"/>
      <c r="C134" s="1" t="s">
        <v>264</v>
      </c>
      <c r="D134" s="1" t="s">
        <v>265</v>
      </c>
    </row>
    <row x14ac:dyDescent="0.25" r="135" customHeight="1" ht="18.75">
      <c r="A135" s="1"/>
      <c r="B135" s="1"/>
      <c r="C135" s="1" t="s">
        <v>266</v>
      </c>
      <c r="D135" s="1" t="s">
        <v>267</v>
      </c>
    </row>
    <row x14ac:dyDescent="0.25" r="136" customHeight="1" ht="18.75">
      <c r="A136" s="1"/>
      <c r="B136" s="1"/>
      <c r="C136" s="1" t="s">
        <v>268</v>
      </c>
      <c r="D136" s="1" t="s">
        <v>269</v>
      </c>
    </row>
    <row x14ac:dyDescent="0.25" r="137" customHeight="1" ht="18.75">
      <c r="A137" s="1"/>
      <c r="B137" s="1"/>
      <c r="C137" s="1" t="s">
        <v>270</v>
      </c>
      <c r="D137" s="1" t="s">
        <v>271</v>
      </c>
    </row>
    <row x14ac:dyDescent="0.25" r="138" customHeight="1" ht="18.75">
      <c r="A138" s="1"/>
      <c r="B138" s="1"/>
      <c r="C138" s="1" t="s">
        <v>272</v>
      </c>
      <c r="D138" s="1" t="s">
        <v>273</v>
      </c>
    </row>
    <row x14ac:dyDescent="0.25" r="139" customHeight="1" ht="18.75">
      <c r="A139" s="1"/>
      <c r="B139" s="1"/>
      <c r="C139" s="1" t="s">
        <v>274</v>
      </c>
      <c r="D139" s="1" t="s">
        <v>275</v>
      </c>
    </row>
    <row x14ac:dyDescent="0.25" r="140" customHeight="1" ht="18.75">
      <c r="A140" s="1"/>
      <c r="B140" s="1"/>
      <c r="C140" s="1" t="s">
        <v>276</v>
      </c>
      <c r="D140" s="1" t="s">
        <v>277</v>
      </c>
    </row>
    <row x14ac:dyDescent="0.25" r="141" customHeight="1" ht="18.75">
      <c r="A141" s="1"/>
      <c r="B141" s="1"/>
      <c r="C141" s="1" t="s">
        <v>278</v>
      </c>
      <c r="D141" s="1" t="s">
        <v>279</v>
      </c>
    </row>
    <row x14ac:dyDescent="0.25" r="142" customHeight="1" ht="18.75">
      <c r="A142" s="1"/>
      <c r="B142" s="1"/>
      <c r="C142" s="1" t="s">
        <v>280</v>
      </c>
      <c r="D142" s="1" t="s">
        <v>281</v>
      </c>
    </row>
    <row x14ac:dyDescent="0.25" r="143" customHeight="1" ht="18.75">
      <c r="A143" s="1"/>
      <c r="B143" s="1"/>
      <c r="C143" s="1" t="s">
        <v>282</v>
      </c>
      <c r="D143" s="1" t="s">
        <v>283</v>
      </c>
    </row>
    <row x14ac:dyDescent="0.25" r="144" customHeight="1" ht="18.75">
      <c r="A144" s="1"/>
      <c r="B144" s="1"/>
      <c r="C144" s="1" t="s">
        <v>284</v>
      </c>
      <c r="D144" s="1" t="s">
        <v>285</v>
      </c>
    </row>
    <row x14ac:dyDescent="0.25" r="145" customHeight="1" ht="18.75">
      <c r="A145" s="1"/>
      <c r="B145" s="1"/>
      <c r="C145" s="1" t="s">
        <v>286</v>
      </c>
      <c r="D145" s="1" t="s">
        <v>287</v>
      </c>
    </row>
    <row x14ac:dyDescent="0.25" r="146" customHeight="1" ht="18.75">
      <c r="A146" s="1"/>
      <c r="B146" s="1"/>
      <c r="C146" s="1" t="s">
        <v>288</v>
      </c>
      <c r="D146" s="1" t="s">
        <v>289</v>
      </c>
    </row>
    <row x14ac:dyDescent="0.25" r="147" customHeight="1" ht="18.75">
      <c r="A147" s="1"/>
      <c r="B147" s="1"/>
      <c r="C147" s="1" t="s">
        <v>290</v>
      </c>
      <c r="D147" s="1" t="s">
        <v>291</v>
      </c>
    </row>
    <row x14ac:dyDescent="0.25" r="148" customHeight="1" ht="18.75">
      <c r="A148" s="1"/>
      <c r="B148" s="1"/>
      <c r="C148" s="1" t="s">
        <v>292</v>
      </c>
      <c r="D148" s="1" t="s">
        <v>293</v>
      </c>
    </row>
    <row x14ac:dyDescent="0.25" r="149" customHeight="1" ht="18.75">
      <c r="A149" s="1"/>
      <c r="B149" s="1"/>
      <c r="C149" s="1" t="s">
        <v>294</v>
      </c>
      <c r="D149" s="1" t="s">
        <v>295</v>
      </c>
    </row>
    <row x14ac:dyDescent="0.25" r="150" customHeight="1" ht="18.75">
      <c r="A150" s="1"/>
      <c r="B150" s="1"/>
      <c r="C150" s="1" t="s">
        <v>296</v>
      </c>
      <c r="D150" s="1" t="s">
        <v>297</v>
      </c>
    </row>
    <row x14ac:dyDescent="0.25" r="151" customHeight="1" ht="18.75">
      <c r="A151" s="1"/>
      <c r="B151" s="1"/>
      <c r="C151" s="1" t="s">
        <v>298</v>
      </c>
      <c r="D151" s="1" t="s">
        <v>299</v>
      </c>
    </row>
    <row x14ac:dyDescent="0.25" r="152" customHeight="1" ht="18.75">
      <c r="A152" s="1"/>
      <c r="B152" s="1"/>
      <c r="C152" s="1" t="s">
        <v>300</v>
      </c>
      <c r="D152" s="1" t="s">
        <v>301</v>
      </c>
    </row>
    <row x14ac:dyDescent="0.25" r="153" customHeight="1" ht="18.75">
      <c r="A153" s="1"/>
      <c r="B153" s="1"/>
      <c r="C153" s="1" t="s">
        <v>302</v>
      </c>
      <c r="D153" s="1" t="s">
        <v>303</v>
      </c>
    </row>
    <row x14ac:dyDescent="0.25" r="154" customHeight="1" ht="18.75">
      <c r="A154" s="1"/>
      <c r="B154" s="1"/>
      <c r="C154" s="1" t="s">
        <v>304</v>
      </c>
      <c r="D154" s="1" t="s">
        <v>305</v>
      </c>
    </row>
    <row x14ac:dyDescent="0.25" r="155" customHeight="1" ht="18.75">
      <c r="A155" s="1"/>
      <c r="B155" s="1"/>
      <c r="C155" s="1" t="s">
        <v>306</v>
      </c>
      <c r="D155" s="1" t="s">
        <v>307</v>
      </c>
    </row>
    <row x14ac:dyDescent="0.25" r="156" customHeight="1" ht="18.75">
      <c r="A156" s="1"/>
      <c r="B156" s="1"/>
      <c r="C156" s="1" t="s">
        <v>308</v>
      </c>
      <c r="D156" s="1" t="s">
        <v>309</v>
      </c>
    </row>
    <row x14ac:dyDescent="0.25" r="157" customHeight="1" ht="18.75">
      <c r="A157" s="1"/>
      <c r="B157" s="1"/>
      <c r="C157" s="1" t="s">
        <v>310</v>
      </c>
      <c r="D157" s="1" t="s">
        <v>311</v>
      </c>
    </row>
    <row x14ac:dyDescent="0.25" r="158" customHeight="1" ht="18.75">
      <c r="A158" s="1"/>
      <c r="B158" s="1"/>
      <c r="C158" s="1" t="s">
        <v>312</v>
      </c>
      <c r="D158" s="1" t="s">
        <v>313</v>
      </c>
    </row>
    <row x14ac:dyDescent="0.25" r="159" customHeight="1" ht="18.75">
      <c r="A159" s="1"/>
      <c r="B159" s="1"/>
      <c r="C159" s="1" t="s">
        <v>314</v>
      </c>
      <c r="D159" s="1" t="s">
        <v>315</v>
      </c>
    </row>
    <row x14ac:dyDescent="0.25" r="160" customHeight="1" ht="18.75">
      <c r="A160" s="1"/>
      <c r="B160" s="1"/>
      <c r="C160" s="1" t="s">
        <v>316</v>
      </c>
      <c r="D160" s="1" t="s">
        <v>317</v>
      </c>
    </row>
    <row x14ac:dyDescent="0.25" r="161" customHeight="1" ht="18.75">
      <c r="A161" s="1"/>
      <c r="B161" s="1"/>
      <c r="C161" s="1" t="s">
        <v>318</v>
      </c>
      <c r="D161" s="1" t="s">
        <v>319</v>
      </c>
    </row>
    <row x14ac:dyDescent="0.25" r="162" customHeight="1" ht="18.75">
      <c r="A162" s="1"/>
      <c r="B162" s="1"/>
      <c r="C162" s="1" t="s">
        <v>320</v>
      </c>
      <c r="D162" s="1" t="s">
        <v>321</v>
      </c>
    </row>
    <row x14ac:dyDescent="0.25" r="163" customHeight="1" ht="18.75">
      <c r="A163" s="1"/>
      <c r="B163" s="1"/>
      <c r="C163" s="1" t="s">
        <v>322</v>
      </c>
      <c r="D163" s="1" t="s">
        <v>323</v>
      </c>
    </row>
    <row x14ac:dyDescent="0.25" r="164" customHeight="1" ht="18.75">
      <c r="A164" s="1"/>
      <c r="B164" s="1"/>
      <c r="C164" s="1" t="s">
        <v>324</v>
      </c>
      <c r="D164" s="1" t="s">
        <v>325</v>
      </c>
    </row>
    <row x14ac:dyDescent="0.25" r="165" customHeight="1" ht="18.75">
      <c r="A165" s="1"/>
      <c r="B165" s="1"/>
      <c r="C165" s="1" t="s">
        <v>326</v>
      </c>
      <c r="D165" s="1" t="s">
        <v>327</v>
      </c>
    </row>
    <row x14ac:dyDescent="0.25" r="166" customHeight="1" ht="18.75">
      <c r="A166" s="1"/>
      <c r="B166" s="1"/>
      <c r="C166" s="1" t="s">
        <v>328</v>
      </c>
      <c r="D166" s="1" t="s">
        <v>329</v>
      </c>
    </row>
    <row x14ac:dyDescent="0.25" r="167" customHeight="1" ht="18.75">
      <c r="A167" s="1"/>
      <c r="B167" s="1"/>
      <c r="C167" s="1" t="s">
        <v>330</v>
      </c>
      <c r="D167" s="1" t="s">
        <v>331</v>
      </c>
    </row>
    <row x14ac:dyDescent="0.25" r="168" customHeight="1" ht="18.75">
      <c r="A168" s="1"/>
      <c r="B168" s="1"/>
      <c r="C168" s="1" t="s">
        <v>332</v>
      </c>
      <c r="D168" s="1" t="s">
        <v>333</v>
      </c>
    </row>
    <row x14ac:dyDescent="0.25" r="169" customHeight="1" ht="18.75">
      <c r="A169" s="1"/>
      <c r="B169" s="1"/>
      <c r="C169" s="1" t="s">
        <v>334</v>
      </c>
      <c r="D169" s="1" t="s">
        <v>335</v>
      </c>
    </row>
    <row x14ac:dyDescent="0.25" r="170" customHeight="1" ht="18.75">
      <c r="A170" s="1"/>
      <c r="B170" s="1"/>
      <c r="C170" s="1" t="s">
        <v>336</v>
      </c>
      <c r="D170" s="1" t="s">
        <v>337</v>
      </c>
    </row>
    <row x14ac:dyDescent="0.25" r="171" customHeight="1" ht="18.75">
      <c r="A171" s="1"/>
      <c r="B171" s="1"/>
      <c r="C171" s="1" t="s">
        <v>338</v>
      </c>
      <c r="D171" s="1" t="s">
        <v>339</v>
      </c>
    </row>
    <row x14ac:dyDescent="0.25" r="172" customHeight="1" ht="18.75">
      <c r="A172" s="1"/>
      <c r="B172" s="1"/>
      <c r="C172" s="1" t="s">
        <v>340</v>
      </c>
      <c r="D172" s="1" t="s">
        <v>341</v>
      </c>
    </row>
    <row x14ac:dyDescent="0.25" r="173" customHeight="1" ht="18.75">
      <c r="A173" s="1"/>
      <c r="B173" s="1"/>
      <c r="C173" s="1" t="s">
        <v>342</v>
      </c>
      <c r="D173" s="1" t="s">
        <v>343</v>
      </c>
    </row>
    <row x14ac:dyDescent="0.25" r="174" customHeight="1" ht="18.75">
      <c r="A174" s="1"/>
      <c r="B174" s="1"/>
      <c r="C174" s="1" t="s">
        <v>344</v>
      </c>
      <c r="D174" s="1" t="s">
        <v>345</v>
      </c>
    </row>
    <row x14ac:dyDescent="0.25" r="175" customHeight="1" ht="18.75">
      <c r="A175" s="1"/>
      <c r="B175" s="1"/>
      <c r="C175" s="1" t="s">
        <v>346</v>
      </c>
      <c r="D175" s="1" t="s">
        <v>347</v>
      </c>
    </row>
    <row x14ac:dyDescent="0.25" r="176" customHeight="1" ht="18.75">
      <c r="A176" s="1"/>
      <c r="B176" s="1"/>
      <c r="C176" s="1" t="s">
        <v>348</v>
      </c>
      <c r="D176" s="1" t="s">
        <v>349</v>
      </c>
    </row>
    <row x14ac:dyDescent="0.25" r="177" customHeight="1" ht="18.75">
      <c r="A177" s="1"/>
      <c r="B177" s="1"/>
      <c r="C177" s="1" t="s">
        <v>350</v>
      </c>
      <c r="D177" s="1" t="s">
        <v>351</v>
      </c>
    </row>
    <row x14ac:dyDescent="0.25" r="178" customHeight="1" ht="18.75">
      <c r="A178" s="1"/>
      <c r="B178" s="1"/>
      <c r="C178" s="1" t="s">
        <v>352</v>
      </c>
      <c r="D178" s="1" t="s">
        <v>353</v>
      </c>
    </row>
    <row x14ac:dyDescent="0.25" r="179" customHeight="1" ht="18.75">
      <c r="A179" s="1"/>
      <c r="B179" s="1"/>
      <c r="C179" s="1" t="s">
        <v>354</v>
      </c>
      <c r="D179" s="1" t="s">
        <v>355</v>
      </c>
    </row>
    <row x14ac:dyDescent="0.25" r="180" customHeight="1" ht="18.75">
      <c r="A180" s="1"/>
      <c r="B180" s="1"/>
      <c r="C180" s="1" t="s">
        <v>356</v>
      </c>
      <c r="D180" s="1" t="s">
        <v>357</v>
      </c>
    </row>
    <row x14ac:dyDescent="0.25" r="181" customHeight="1" ht="18.75">
      <c r="A181" s="1"/>
      <c r="B181" s="1"/>
      <c r="C181" s="1" t="s">
        <v>358</v>
      </c>
      <c r="D181" s="1" t="s">
        <v>359</v>
      </c>
    </row>
    <row x14ac:dyDescent="0.25" r="182" customHeight="1" ht="18.75">
      <c r="A182" s="1"/>
      <c r="B182" s="1"/>
      <c r="C182" s="1" t="s">
        <v>360</v>
      </c>
      <c r="D182" s="1" t="s">
        <v>361</v>
      </c>
    </row>
    <row x14ac:dyDescent="0.25" r="183" customHeight="1" ht="18.75">
      <c r="A183" s="1"/>
      <c r="B183" s="1"/>
      <c r="C183" s="1" t="s">
        <v>362</v>
      </c>
      <c r="D183" s="1" t="s">
        <v>363</v>
      </c>
    </row>
    <row x14ac:dyDescent="0.25" r="184" customHeight="1" ht="18.75">
      <c r="A184" s="1"/>
      <c r="B184" s="1"/>
      <c r="C184" s="1" t="s">
        <v>364</v>
      </c>
      <c r="D184" s="1" t="s">
        <v>365</v>
      </c>
    </row>
    <row x14ac:dyDescent="0.25" r="185" customHeight="1" ht="18.75">
      <c r="A185" s="1"/>
      <c r="B185" s="1"/>
      <c r="C185" s="1" t="s">
        <v>366</v>
      </c>
      <c r="D185" s="1" t="s">
        <v>367</v>
      </c>
    </row>
    <row x14ac:dyDescent="0.25" r="186" customHeight="1" ht="18.75">
      <c r="A186" s="1"/>
      <c r="B186" s="1"/>
      <c r="C186" s="1" t="s">
        <v>368</v>
      </c>
      <c r="D186" s="1" t="s">
        <v>369</v>
      </c>
    </row>
    <row x14ac:dyDescent="0.25" r="187" customHeight="1" ht="18.75">
      <c r="A187" s="1"/>
      <c r="B187" s="1"/>
      <c r="C187" s="1" t="s">
        <v>370</v>
      </c>
      <c r="D187" s="1" t="s">
        <v>371</v>
      </c>
    </row>
    <row x14ac:dyDescent="0.25" r="188" customHeight="1" ht="18.75">
      <c r="A188" s="1"/>
      <c r="B188" s="1"/>
      <c r="C188" s="1" t="s">
        <v>372</v>
      </c>
      <c r="D188" s="1" t="s">
        <v>373</v>
      </c>
    </row>
    <row x14ac:dyDescent="0.25" r="189" customHeight="1" ht="18.75">
      <c r="A189" s="1"/>
      <c r="B189" s="1"/>
      <c r="C189" s="1" t="s">
        <v>374</v>
      </c>
      <c r="D189" s="1" t="s">
        <v>375</v>
      </c>
    </row>
    <row x14ac:dyDescent="0.25" r="190" customHeight="1" ht="18.75">
      <c r="A190" s="1"/>
      <c r="B190" s="1"/>
      <c r="C190" s="1" t="s">
        <v>376</v>
      </c>
      <c r="D190" s="1" t="s">
        <v>377</v>
      </c>
    </row>
    <row x14ac:dyDescent="0.25" r="191" customHeight="1" ht="18.75">
      <c r="A191" s="1"/>
      <c r="B191" s="1"/>
      <c r="C191" s="1" t="s">
        <v>378</v>
      </c>
      <c r="D191" s="1" t="s">
        <v>379</v>
      </c>
    </row>
    <row x14ac:dyDescent="0.25" r="192" customHeight="1" ht="18.75">
      <c r="A192" s="1"/>
      <c r="B192" s="1"/>
      <c r="C192" s="1" t="s">
        <v>380</v>
      </c>
      <c r="D192" s="1" t="s">
        <v>381</v>
      </c>
    </row>
    <row x14ac:dyDescent="0.25" r="193" customHeight="1" ht="18.75">
      <c r="A193" s="1"/>
      <c r="B193" s="1"/>
      <c r="C193" s="1" t="s">
        <v>382</v>
      </c>
      <c r="D193" s="1" t="s">
        <v>383</v>
      </c>
    </row>
    <row x14ac:dyDescent="0.25" r="194" customHeight="1" ht="18.75">
      <c r="A194" s="1"/>
      <c r="B194" s="1"/>
      <c r="C194" s="1" t="s">
        <v>384</v>
      </c>
      <c r="D194" s="1" t="s">
        <v>385</v>
      </c>
    </row>
    <row x14ac:dyDescent="0.25" r="195" customHeight="1" ht="18.75">
      <c r="A195" s="1"/>
      <c r="B195" s="1"/>
      <c r="C195" s="1" t="s">
        <v>386</v>
      </c>
      <c r="D195" s="1" t="s">
        <v>387</v>
      </c>
    </row>
    <row x14ac:dyDescent="0.25" r="196" customHeight="1" ht="18.75">
      <c r="A196" s="1"/>
      <c r="B196" s="1"/>
      <c r="C196" s="1" t="s">
        <v>388</v>
      </c>
      <c r="D196" s="1" t="s">
        <v>389</v>
      </c>
    </row>
    <row x14ac:dyDescent="0.25" r="197" customHeight="1" ht="18.75">
      <c r="A197" s="1"/>
      <c r="B197" s="1"/>
      <c r="C197" s="1" t="s">
        <v>390</v>
      </c>
      <c r="D197" s="1" t="s">
        <v>391</v>
      </c>
    </row>
    <row x14ac:dyDescent="0.25" r="198" customHeight="1" ht="18.75">
      <c r="A198" s="1"/>
      <c r="B198" s="1"/>
      <c r="C198" s="1" t="s">
        <v>392</v>
      </c>
      <c r="D198" s="1" t="s">
        <v>393</v>
      </c>
    </row>
    <row x14ac:dyDescent="0.25" r="199" customHeight="1" ht="18.75">
      <c r="A199" s="1"/>
      <c r="B199" s="1"/>
      <c r="C199" s="1" t="s">
        <v>394</v>
      </c>
      <c r="D199" s="1" t="s">
        <v>395</v>
      </c>
    </row>
    <row x14ac:dyDescent="0.25" r="200" customHeight="1" ht="18.75">
      <c r="A200" s="1"/>
      <c r="B200" s="1"/>
      <c r="C200" s="1" t="s">
        <v>396</v>
      </c>
      <c r="D200" s="1" t="s">
        <v>397</v>
      </c>
    </row>
    <row x14ac:dyDescent="0.25" r="201" customHeight="1" ht="18.75">
      <c r="A201" s="1"/>
      <c r="B201" s="1"/>
      <c r="C201" s="1" t="s">
        <v>398</v>
      </c>
      <c r="D201" s="1" t="s">
        <v>399</v>
      </c>
    </row>
    <row x14ac:dyDescent="0.25" r="202" customHeight="1" ht="18.75">
      <c r="A202" s="1"/>
      <c r="B202" s="1"/>
      <c r="C202" s="1" t="s">
        <v>400</v>
      </c>
      <c r="D202" s="1" t="s">
        <v>401</v>
      </c>
    </row>
    <row x14ac:dyDescent="0.25" r="203" customHeight="1" ht="18.75">
      <c r="A203" s="1"/>
      <c r="B203" s="1"/>
      <c r="C203" s="1" t="s">
        <v>402</v>
      </c>
      <c r="D203" s="1" t="s">
        <v>401</v>
      </c>
    </row>
    <row x14ac:dyDescent="0.25" r="204" customHeight="1" ht="18.75">
      <c r="A204" s="1"/>
      <c r="B204" s="1"/>
      <c r="C204" s="1" t="s">
        <v>403</v>
      </c>
      <c r="D204" s="1" t="s">
        <v>404</v>
      </c>
    </row>
    <row x14ac:dyDescent="0.25" r="205" customHeight="1" ht="18.75">
      <c r="A205" s="1"/>
      <c r="B205" s="1"/>
      <c r="C205" s="1" t="s">
        <v>405</v>
      </c>
      <c r="D205" s="1" t="s">
        <v>406</v>
      </c>
    </row>
    <row x14ac:dyDescent="0.25" r="206" customHeight="1" ht="18.75">
      <c r="A206" s="1"/>
      <c r="B206" s="1"/>
      <c r="C206" s="1" t="s">
        <v>407</v>
      </c>
      <c r="D206" s="1" t="s">
        <v>408</v>
      </c>
    </row>
    <row x14ac:dyDescent="0.25" r="207" customHeight="1" ht="18.75">
      <c r="A207" s="1"/>
      <c r="B207" s="1"/>
      <c r="C207" s="1" t="s">
        <v>409</v>
      </c>
      <c r="D207" s="1" t="s">
        <v>410</v>
      </c>
    </row>
    <row x14ac:dyDescent="0.25" r="208" customHeight="1" ht="18.75">
      <c r="A208" s="1"/>
      <c r="B208" s="1"/>
      <c r="C208" s="1" t="s">
        <v>411</v>
      </c>
      <c r="D208" s="1" t="s">
        <v>412</v>
      </c>
    </row>
    <row x14ac:dyDescent="0.25" r="209" customHeight="1" ht="18.75">
      <c r="A209" s="1"/>
      <c r="B209" s="1"/>
      <c r="C209" s="1" t="s">
        <v>413</v>
      </c>
      <c r="D209" s="1" t="s">
        <v>414</v>
      </c>
    </row>
    <row x14ac:dyDescent="0.25" r="210" customHeight="1" ht="18.75">
      <c r="A210" s="1"/>
      <c r="B210" s="1"/>
      <c r="C210" s="1" t="s">
        <v>415</v>
      </c>
      <c r="D210" s="1" t="s">
        <v>416</v>
      </c>
    </row>
    <row x14ac:dyDescent="0.25" r="211" customHeight="1" ht="18.75">
      <c r="A211" s="1"/>
      <c r="B211" s="1"/>
      <c r="C211" s="1" t="s">
        <v>417</v>
      </c>
      <c r="D211" s="1" t="s">
        <v>418</v>
      </c>
    </row>
    <row x14ac:dyDescent="0.25" r="212" customHeight="1" ht="18.75">
      <c r="A212" s="1"/>
      <c r="B212" s="1"/>
      <c r="C212" s="1" t="s">
        <v>419</v>
      </c>
      <c r="D212" s="1" t="s">
        <v>420</v>
      </c>
    </row>
    <row x14ac:dyDescent="0.25" r="213" customHeight="1" ht="18.75">
      <c r="A213" s="1"/>
      <c r="B213" s="1"/>
      <c r="C213" s="1" t="s">
        <v>421</v>
      </c>
      <c r="D213" s="1" t="s">
        <v>422</v>
      </c>
    </row>
    <row x14ac:dyDescent="0.25" r="214" customHeight="1" ht="18.75">
      <c r="A214" s="1"/>
      <c r="B214" s="1"/>
      <c r="C214" s="1" t="s">
        <v>423</v>
      </c>
      <c r="D214" s="1" t="s">
        <v>422</v>
      </c>
    </row>
    <row x14ac:dyDescent="0.25" r="215" customHeight="1" ht="18.75">
      <c r="A215" s="1"/>
      <c r="B215" s="1"/>
      <c r="C215" s="1" t="s">
        <v>424</v>
      </c>
      <c r="D215" s="1" t="s">
        <v>425</v>
      </c>
    </row>
    <row x14ac:dyDescent="0.25" r="216" customHeight="1" ht="18.75">
      <c r="A216" s="1"/>
      <c r="B216" s="1"/>
      <c r="C216" s="1" t="s">
        <v>426</v>
      </c>
      <c r="D216" s="1" t="s">
        <v>427</v>
      </c>
    </row>
    <row x14ac:dyDescent="0.25" r="217" customHeight="1" ht="18.75">
      <c r="A217" s="1"/>
      <c r="B217" s="1"/>
      <c r="C217" s="1" t="s">
        <v>428</v>
      </c>
      <c r="D217" s="1" t="s">
        <v>429</v>
      </c>
    </row>
    <row x14ac:dyDescent="0.25" r="218" customHeight="1" ht="18.75">
      <c r="A218" s="1"/>
      <c r="B218" s="1"/>
      <c r="C218" s="1" t="s">
        <v>430</v>
      </c>
      <c r="D218" s="1" t="s">
        <v>431</v>
      </c>
    </row>
    <row x14ac:dyDescent="0.25" r="219" customHeight="1" ht="18.75">
      <c r="A219" s="1"/>
      <c r="B219" s="1"/>
      <c r="C219" s="1" t="s">
        <v>432</v>
      </c>
      <c r="D219" s="1" t="s">
        <v>433</v>
      </c>
    </row>
    <row x14ac:dyDescent="0.25" r="220" customHeight="1" ht="18.75">
      <c r="A220" s="1"/>
      <c r="B220" s="1"/>
      <c r="C220" s="1" t="s">
        <v>434</v>
      </c>
      <c r="D220" s="1" t="s">
        <v>435</v>
      </c>
    </row>
    <row x14ac:dyDescent="0.25" r="221" customHeight="1" ht="18.75">
      <c r="A221" s="1"/>
      <c r="B221" s="1"/>
      <c r="C221" s="1" t="s">
        <v>436</v>
      </c>
      <c r="D221" s="1" t="s">
        <v>437</v>
      </c>
    </row>
    <row x14ac:dyDescent="0.25" r="222" customHeight="1" ht="18.75">
      <c r="A222" s="1"/>
      <c r="B222" s="1"/>
      <c r="C222" s="1" t="s">
        <v>438</v>
      </c>
      <c r="D222" s="1" t="s">
        <v>439</v>
      </c>
    </row>
    <row x14ac:dyDescent="0.25" r="223" customHeight="1" ht="18.75">
      <c r="A223" s="1"/>
      <c r="B223" s="1"/>
      <c r="C223" s="1" t="s">
        <v>440</v>
      </c>
      <c r="D223" s="1" t="s">
        <v>441</v>
      </c>
    </row>
    <row x14ac:dyDescent="0.25" r="224" customHeight="1" ht="18.75">
      <c r="A224" s="1"/>
      <c r="B224" s="1"/>
      <c r="C224" s="1" t="s">
        <v>442</v>
      </c>
      <c r="D224" s="1" t="s">
        <v>443</v>
      </c>
    </row>
    <row x14ac:dyDescent="0.25" r="225" customHeight="1" ht="18.75">
      <c r="A225" s="1"/>
      <c r="B225" s="1"/>
      <c r="C225" s="1" t="s">
        <v>444</v>
      </c>
      <c r="D225" s="1" t="s">
        <v>445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Line Plan</vt:lpstr>
      <vt:lpstr>Lists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2026-03-27T07:50:32.752Z</dcterms:created>
  <dcterms:modified xsi:type="dcterms:W3CDTF">2026-03-27T07:50:32.753Z</dcterms:modified>
</cp:coreProperties>
</file>