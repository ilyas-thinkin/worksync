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e Plan" state="visible" r:id="rId4"/>
    <sheet sheetId="2" name="Instructions" state="visible" r:id="rId5"/>
    <sheet sheetId="3" name="Lists" state="veryHidden" r:id="rId6"/>
  </sheets>
  <calcPr calcId="171027"/>
</workbook>
</file>

<file path=xl/sharedStrings.xml><?xml version="1.0" encoding="utf-8"?>
<sst xmlns="http://schemas.openxmlformats.org/spreadsheetml/2006/main" count="750" uniqueCount="691">
  <si>
    <t>LINE PLAN UPLOAD</t>
  </si>
  <si>
    <t>LINE CODE</t>
  </si>
  <si>
    <t>RUMIYA</t>
  </si>
  <si>
    <t>Production line code. Auto-created if not in system.</t>
  </si>
  <si>
    <t>HALL NAME</t>
  </si>
  <si>
    <t>Hall B</t>
  </si>
  <si>
    <t>Hall/area name (used as line name if auto-creating the line).</t>
  </si>
  <si>
    <t>DATE</t>
  </si>
  <si>
    <t>2026-03-27</t>
  </si>
  <si>
    <t>Work date — YYYY-MM-DD format (e.g. 2026-02-19).</t>
  </si>
  <si>
    <t>PRODUCT CODE</t>
  </si>
  <si>
    <t>4321</t>
  </si>
  <si>
    <t>Style/product code. Auto-created if new.</t>
  </si>
  <si>
    <t>PRODUCT NAME</t>
  </si>
  <si>
    <t>BILLFOLD WALLET</t>
  </si>
  <si>
    <t>Full product name.</t>
  </si>
  <si>
    <t>BUYER NAME</t>
  </si>
  <si>
    <t/>
  </si>
  <si>
    <t>Buyer / brand name for this product. Optional.</t>
  </si>
  <si>
    <t>PLAN MONTH</t>
  </si>
  <si>
    <t>Plan month for this product (e.g. 2026-04). Optional.</t>
  </si>
  <si>
    <t>TARGET UNITS</t>
  </si>
  <si>
    <t>Daily target for this line. Required.</t>
  </si>
  <si>
    <t>CO PRODUCT CODE</t>
  </si>
  <si>
    <t>Optional — changeover product code.</t>
  </si>
  <si>
    <t>CO TARGET</t>
  </si>
  <si>
    <t>Optional — changeover target units.</t>
  </si>
  <si>
    <t>LINE LEADER</t>
  </si>
  <si>
    <t>Rumiya</t>
  </si>
  <si>
    <t>Name of the line leader for this line. One leader per line.</t>
  </si>
  <si>
    <t>GROUP</t>
  </si>
  <si>
    <t>OSM</t>
  </si>
  <si>
    <t>WORKSTATION</t>
  </si>
  <si>
    <t>OPERATION CODE</t>
  </si>
  <si>
    <t>OPERATION NAME</t>
  </si>
  <si>
    <t>PROCESS TIME (s)</t>
  </si>
  <si>
    <t>CYCLE TIME (s)</t>
  </si>
  <si>
    <t>SAH</t>
  </si>
  <si>
    <t>EMP CODE (auto)</t>
  </si>
  <si>
    <t>SELECT EMPLOYEE ▼</t>
  </si>
  <si>
    <t>G1</t>
  </si>
  <si>
    <t>WS01</t>
  </si>
  <si>
    <t>OP-0001</t>
  </si>
  <si>
    <t>OP-0002</t>
  </si>
  <si>
    <t>OP-0003</t>
  </si>
  <si>
    <t>OP-0004</t>
  </si>
  <si>
    <t>WS02</t>
  </si>
  <si>
    <t>OP-0005</t>
  </si>
  <si>
    <t>OP-0006</t>
  </si>
  <si>
    <t>G2</t>
  </si>
  <si>
    <t>WS03</t>
  </si>
  <si>
    <t>OP-0007</t>
  </si>
  <si>
    <t>OP-0008</t>
  </si>
  <si>
    <t>WS04</t>
  </si>
  <si>
    <t>OP-0009</t>
  </si>
  <si>
    <t>G3</t>
  </si>
  <si>
    <t>WS05</t>
  </si>
  <si>
    <t>OP-0010</t>
  </si>
  <si>
    <t>WS06</t>
  </si>
  <si>
    <t>OP-0011</t>
  </si>
  <si>
    <t>LINE PLAN UPLOAD — HOW TO USE</t>
  </si>
  <si>
    <t>This template uploads a complete line plan in one step:</t>
  </si>
  <si>
    <t xml:space="preserve">  • Creates or updates the product and its processes</t>
  </si>
  <si>
    <t xml:space="preserve">  • Sets up the daily plan (line + date + target)</t>
  </si>
  <si>
    <t xml:space="preserve">  • Builds the workstation plan (groups processes into workstations)</t>
  </si>
  <si>
    <t xml:space="preserve">  • Assigns employees to workstations</t>
  </si>
  <si>
    <t>HEADER SECTION (Rows 3–13):</t>
  </si>
  <si>
    <t xml:space="preserve">  LINE CODE       Production line code. Auto-created if not in system.</t>
  </si>
  <si>
    <t xml:space="preserve">  HALL NAME       Used as the line name if the line is being auto-created.</t>
  </si>
  <si>
    <t xml:space="preserve">  DATE            Work date in YYYY-MM-DD format.</t>
  </si>
  <si>
    <t xml:space="preserve">  PRODUCT CODE    Style/product code. Auto-created if new.</t>
  </si>
  <si>
    <t xml:space="preserve">  PRODUCT NAME    Product display name.</t>
  </si>
  <si>
    <t xml:space="preserve">  BUYER NAME      Buyer / brand name for this product. Optional.</t>
  </si>
  <si>
    <t xml:space="preserve">  PLAN MONTH      Plan month for this product (e.g. 2026-04). Optional.</t>
  </si>
  <si>
    <t xml:space="preserve">  TARGET UNITS    Daily target for this line. Required.</t>
  </si>
  <si>
    <t xml:space="preserve">  CO PRODUCT CODE Optional. Changeover product code (if applicable).</t>
  </si>
  <si>
    <t xml:space="preserve">  CO TARGET       Optional. Target units for the changeover product.</t>
  </si>
  <si>
    <t>DATA TABLE (Row 16 onwards):</t>
  </si>
  <si>
    <t xml:space="preserve">  SEQ             Process sequence number (1, 2, 3...). Auto-numbered if blank.</t>
  </si>
  <si>
    <t xml:space="preserve">  GROUP           Optional group label (e.g. G1, G2).</t>
  </si>
  <si>
    <t xml:space="preserve">  OSM             OSM checkpoint number for this process. Leave blank if not an OSM check.</t>
  </si>
  <si>
    <t xml:space="preserve">  WORKSTATION     Workstation code (e.g. WS01). All rows with the same code share</t>
  </si>
  <si>
    <t xml:space="preserve">                  one employee assignment and are grouped together.</t>
  </si>
  <si>
    <t xml:space="preserve">  OPERATION CODE  System code (e.g. OP-0001). Leave blank to auto-generate.</t>
  </si>
  <si>
    <t xml:space="preserve">                  Operations are shared across products.</t>
  </si>
  <si>
    <t xml:space="preserve">  OPERATION NAME  Name of the process/operation. Required.</t>
  </si>
  <si>
    <t xml:space="preserve">  SAH             Standard Allowed Hours (decimal). E.g. 0.0033 = ~11.9 seconds.</t>
  </si>
  <si>
    <t xml:space="preserve">  SELECT EMPLOYEE  Click the dropdown (▼) in column J to pick an employee by name.</t>
  </si>
  <si>
    <t xml:space="preserve">                  Only fill the FIRST row of each workstation — all rows of the</t>
  </si>
  <si>
    <t xml:space="preserve">                  same workstation auto-fill instantly (light green cells).</t>
  </si>
  <si>
    <t xml:space="preserve">                  EMP CODE (col I) fills automatically — do not edit it.</t>
  </si>
  <si>
    <t>NOTES:</t>
  </si>
  <si>
    <t xml:space="preserve">  Process Time (s) = SAH × 3600</t>
  </si>
  <si>
    <t xml:space="preserve">  Takt Time is computed from Target Units and the configured working hours.</t>
  </si>
  <si>
    <t xml:space="preserve">  Workload % = (sum of process SAH×3600 in workstation) / Takt Time × 100</t>
  </si>
  <si>
    <t xml:space="preserve">  Uploading replaces the existing workstation plan for that line + date + product.</t>
  </si>
  <si>
    <t xml:space="preserve">  Employee codes must match exactly what is in the system.</t>
  </si>
  <si>
    <t>EMPLOYEE CODE</t>
  </si>
  <si>
    <t>EMPLOYEE NAME</t>
  </si>
  <si>
    <t>TOP PASTING</t>
  </si>
  <si>
    <t>LPDS95761</t>
  </si>
  <si>
    <t>A FATHIMA</t>
  </si>
  <si>
    <t>KIMLON PASTING</t>
  </si>
  <si>
    <t>LPDS95657</t>
  </si>
  <si>
    <t>A JOTHI</t>
  </si>
  <si>
    <t>ATTACHING TOP &amp; KIMLON</t>
  </si>
  <si>
    <t>LPD11959</t>
  </si>
  <si>
    <t>A MEENAKSHI</t>
  </si>
  <si>
    <t>GUSSET STITCHING -2NOS</t>
  </si>
  <si>
    <t>LPD02946</t>
  </si>
  <si>
    <t>A. ALEMELU</t>
  </si>
  <si>
    <t>GUSSET LAMPING -2NOS</t>
  </si>
  <si>
    <t>LPD07479</t>
  </si>
  <si>
    <t>A. CHANMA</t>
  </si>
  <si>
    <t>GUSSET SHAPING</t>
  </si>
  <si>
    <t>LPD10419</t>
  </si>
  <si>
    <t>A. FARHANA BEGAM</t>
  </si>
  <si>
    <t>PATTI PROMOTOR</t>
  </si>
  <si>
    <t>LPD07739</t>
  </si>
  <si>
    <t>A. JAMEELA</t>
  </si>
  <si>
    <t>PATTI PRIMER 1</t>
  </si>
  <si>
    <t>LPD00059</t>
  </si>
  <si>
    <t>A. NOORUN</t>
  </si>
  <si>
    <t>PATTI DYE</t>
  </si>
  <si>
    <t>LPD03353</t>
  </si>
  <si>
    <t>A. RAFI</t>
  </si>
  <si>
    <t>PATTI PRIMER 2</t>
  </si>
  <si>
    <t>LPD07294</t>
  </si>
  <si>
    <t>A. RAMEZA</t>
  </si>
  <si>
    <t>CLEANING</t>
  </si>
  <si>
    <t>LPD00601</t>
  </si>
  <si>
    <t>A. SADIKHA</t>
  </si>
  <si>
    <t>OP-0012</t>
  </si>
  <si>
    <t>LPD09996</t>
  </si>
  <si>
    <t>A. YASEEN BEE</t>
  </si>
  <si>
    <t>OP-0013</t>
  </si>
  <si>
    <t>LPD09047</t>
  </si>
  <si>
    <t>A. YUSUF</t>
  </si>
  <si>
    <t>OP_001</t>
  </si>
  <si>
    <t xml:space="preserve">E.I PROCESS    ( STEP &amp; STAMP PKT), (WINDOW PKT), (CC PKT) , 
( STAMP PATTI )</t>
  </si>
  <si>
    <t>LPD10751</t>
  </si>
  <si>
    <t>A. ZAKEER</t>
  </si>
  <si>
    <t>OP_002</t>
  </si>
  <si>
    <t>1st patti  &amp; step patt with  nonwoon  pasting &amp; att</t>
  </si>
  <si>
    <t>LPD10530</t>
  </si>
  <si>
    <t>ABADUDIN</t>
  </si>
  <si>
    <t>OP_003</t>
  </si>
  <si>
    <t>stamp &amp; step patti pasting &amp; atttatching</t>
  </si>
  <si>
    <t>LPDS95763</t>
  </si>
  <si>
    <t>ABDUL VAJEETH J</t>
  </si>
  <si>
    <t>OP_004</t>
  </si>
  <si>
    <t>cc pkt with cover lining pasting &amp; attatching</t>
  </si>
  <si>
    <t>LPD09926</t>
  </si>
  <si>
    <t>AKBAR</t>
  </si>
  <si>
    <t>OP_005</t>
  </si>
  <si>
    <t>beeding &amp; cc pkt attatching</t>
  </si>
  <si>
    <t>LPD12274</t>
  </si>
  <si>
    <t>AKBAR MOLLA</t>
  </si>
  <si>
    <t>OP_006</t>
  </si>
  <si>
    <t>1st patti  &amp; step patti with ams'lining close  side stitiching</t>
  </si>
  <si>
    <t>LPDS94717</t>
  </si>
  <si>
    <t>AKMAL A</t>
  </si>
  <si>
    <t>OP_007</t>
  </si>
  <si>
    <t>cc pkt with side stitching</t>
  </si>
  <si>
    <t>LPD09146</t>
  </si>
  <si>
    <t>ALAMELU</t>
  </si>
  <si>
    <t>OP_008</t>
  </si>
  <si>
    <t>1st patti &amp; stamp patti stitching</t>
  </si>
  <si>
    <t>LPD11823</t>
  </si>
  <si>
    <t>ALI AKBAR MOLYA</t>
  </si>
  <si>
    <t>OP_009</t>
  </si>
  <si>
    <t>cc pkt recutting process</t>
  </si>
  <si>
    <t>LPD10099</t>
  </si>
  <si>
    <t>AMMU</t>
  </si>
  <si>
    <t>OP_010</t>
  </si>
  <si>
    <t>Gusset leather with recutting process</t>
  </si>
  <si>
    <t>LPDS95254</t>
  </si>
  <si>
    <t>AMREEN</t>
  </si>
  <si>
    <t>OP_011</t>
  </si>
  <si>
    <t>Gusset  pvc  with recutting process</t>
  </si>
  <si>
    <t>LPD08664</t>
  </si>
  <si>
    <t>ANITHA</t>
  </si>
  <si>
    <t>OP_012</t>
  </si>
  <si>
    <t>Gusset kimlon recuting process</t>
  </si>
  <si>
    <t>LPD10617</t>
  </si>
  <si>
    <t>ANJALI</t>
  </si>
  <si>
    <t>OP_013</t>
  </si>
  <si>
    <t>Gusset leather bit recutting process</t>
  </si>
  <si>
    <t>LPDS95282</t>
  </si>
  <si>
    <t>ASEENA</t>
  </si>
  <si>
    <t>OP_014</t>
  </si>
  <si>
    <t>logo bit insert &amp; lock</t>
  </si>
  <si>
    <t>LPDS95789</t>
  </si>
  <si>
    <t>ASLAM</t>
  </si>
  <si>
    <t>OP_015</t>
  </si>
  <si>
    <t>logo grinding process with tape attatching</t>
  </si>
  <si>
    <t>LPD08506</t>
  </si>
  <si>
    <t>AYESHA</t>
  </si>
  <si>
    <t>OP_016</t>
  </si>
  <si>
    <t>Gusset leather with nonwoon pasting &amp; attatching</t>
  </si>
  <si>
    <t>LPD12275</t>
  </si>
  <si>
    <t>AYUB MOLLA</t>
  </si>
  <si>
    <t>OP_017</t>
  </si>
  <si>
    <t>kimlon leather with pasting &amp; attatching</t>
  </si>
  <si>
    <t>LPDS93008</t>
  </si>
  <si>
    <t>B LATHA</t>
  </si>
  <si>
    <t>OP_018</t>
  </si>
  <si>
    <t>leather bit pasting attatching</t>
  </si>
  <si>
    <t>LPD11365</t>
  </si>
  <si>
    <t>B. AMUDHA</t>
  </si>
  <si>
    <t>OP_019</t>
  </si>
  <si>
    <t>Gusset pvc pasting</t>
  </si>
  <si>
    <t>LPD11677</t>
  </si>
  <si>
    <t>B. LAKSHMI</t>
  </si>
  <si>
    <t>OP_020</t>
  </si>
  <si>
    <t>Gusset with nonwoon pasting</t>
  </si>
  <si>
    <t>LPD10728</t>
  </si>
  <si>
    <t>B. MUBARAK BASHA</t>
  </si>
  <si>
    <t>OP_021</t>
  </si>
  <si>
    <t>Gusset pvc &amp; nonwoon attatching</t>
  </si>
  <si>
    <t>LPD11308</t>
  </si>
  <si>
    <t>B. MUHAMMED NAWAZ</t>
  </si>
  <si>
    <t>OP_022</t>
  </si>
  <si>
    <t>Gusset  leather with shape creasing</t>
  </si>
  <si>
    <t>LPD09951</t>
  </si>
  <si>
    <t>B. SHAHEEN</t>
  </si>
  <si>
    <t>OP_023</t>
  </si>
  <si>
    <t>Gusset  leather with  creasing loop bit</t>
  </si>
  <si>
    <t>LPD10701</t>
  </si>
  <si>
    <t>BADRUNNISA</t>
  </si>
  <si>
    <t>OP_024</t>
  </si>
  <si>
    <t>Gusset leather with embossing process</t>
  </si>
  <si>
    <t>LPD12061</t>
  </si>
  <si>
    <t>BAKIBULLA MOLLA</t>
  </si>
  <si>
    <t>OP_025</t>
  </si>
  <si>
    <t>Gusset leather heating process</t>
  </si>
  <si>
    <t>LPDS93009</t>
  </si>
  <si>
    <t>BAVANI</t>
  </si>
  <si>
    <t>OP_026</t>
  </si>
  <si>
    <t>Gusset  leather  1st primer</t>
  </si>
  <si>
    <t>LPD11745</t>
  </si>
  <si>
    <t>C. KALAISELVI</t>
  </si>
  <si>
    <t>OP_027</t>
  </si>
  <si>
    <t>Gusset leather  die process</t>
  </si>
  <si>
    <t>LPDS95743</t>
  </si>
  <si>
    <t>C. THILAGAWATHI</t>
  </si>
  <si>
    <t>OP_028</t>
  </si>
  <si>
    <t>Gusset pvc heating process</t>
  </si>
  <si>
    <t>LPDS95728</t>
  </si>
  <si>
    <t>CHANDHINI NASEER</t>
  </si>
  <si>
    <t>OP_029</t>
  </si>
  <si>
    <t>Gusset  pvc with 1st primer</t>
  </si>
  <si>
    <t>LPD07590</t>
  </si>
  <si>
    <t>D. LATHA</t>
  </si>
  <si>
    <t>OP_030</t>
  </si>
  <si>
    <t>Gusset  pvc  with die process</t>
  </si>
  <si>
    <t>LPD08118</t>
  </si>
  <si>
    <t>D. SUREKA</t>
  </si>
  <si>
    <t>OP_031</t>
  </si>
  <si>
    <t>interial case heating process</t>
  </si>
  <si>
    <t>LPD09702</t>
  </si>
  <si>
    <t>DEVI</t>
  </si>
  <si>
    <t>OP_032</t>
  </si>
  <si>
    <t>interial case  with primer process</t>
  </si>
  <si>
    <t>LPD08523</t>
  </si>
  <si>
    <t>OP_033</t>
  </si>
  <si>
    <t>interial case  with  die  process</t>
  </si>
  <si>
    <t>LPDS94626</t>
  </si>
  <si>
    <t>OP_034</t>
  </si>
  <si>
    <t>interial  case  sulpa with die</t>
  </si>
  <si>
    <t>LPD10282</t>
  </si>
  <si>
    <t>DIVYA</t>
  </si>
  <si>
    <t>OP_035</t>
  </si>
  <si>
    <t>interial case embossing side lable pasting &amp; attatching</t>
  </si>
  <si>
    <t>LPDS95689</t>
  </si>
  <si>
    <t>DIVYA PRABHA</t>
  </si>
  <si>
    <t>OP_036</t>
  </si>
  <si>
    <t>gusset pvc stitching  area thread  pull</t>
  </si>
  <si>
    <t>LPD08441</t>
  </si>
  <si>
    <t>ESWARI</t>
  </si>
  <si>
    <t>OP_037</t>
  </si>
  <si>
    <t>gusset pvc side stitching</t>
  </si>
  <si>
    <t>LPD11988</t>
  </si>
  <si>
    <t>F GULZAR</t>
  </si>
  <si>
    <t>OP_038</t>
  </si>
  <si>
    <t>interial case  lable side stitching</t>
  </si>
  <si>
    <t>LPD07960</t>
  </si>
  <si>
    <t>F. ZAINATHBEE</t>
  </si>
  <si>
    <t>OP_039</t>
  </si>
  <si>
    <t>interial case front &amp; back side seam stitching</t>
  </si>
  <si>
    <t>LPDS95161</t>
  </si>
  <si>
    <t>FOUSIYA</t>
  </si>
  <si>
    <t>OP_040</t>
  </si>
  <si>
    <t>interial case side edges pasting</t>
  </si>
  <si>
    <t>LPD04519</t>
  </si>
  <si>
    <t>G. MANIMALA</t>
  </si>
  <si>
    <t>OP_041</t>
  </si>
  <si>
    <t>interial case mold used edge folding</t>
  </si>
  <si>
    <t>LPD03298</t>
  </si>
  <si>
    <t>G. PADMINI</t>
  </si>
  <si>
    <t>OP_042</t>
  </si>
  <si>
    <t>LPD01253</t>
  </si>
  <si>
    <t>G. SARASWATHI</t>
  </si>
  <si>
    <t>OP_043</t>
  </si>
  <si>
    <t>LPD10561</t>
  </si>
  <si>
    <t>G. SELVARANI</t>
  </si>
  <si>
    <t>OP_044</t>
  </si>
  <si>
    <t>LPD09683</t>
  </si>
  <si>
    <t>GIRIJA</t>
  </si>
  <si>
    <t>OP_045</t>
  </si>
  <si>
    <t>Gusset leather with D-ring pasting &amp; attatching</t>
  </si>
  <si>
    <t>LPD07628</t>
  </si>
  <si>
    <t>GNANAMMAL</t>
  </si>
  <si>
    <t>OP_046</t>
  </si>
  <si>
    <t>Gusset leather with D-ring &amp; zipper AMS stitching</t>
  </si>
  <si>
    <t>LPD10209</t>
  </si>
  <si>
    <t>HAJEERA</t>
  </si>
  <si>
    <t>OP_047</t>
  </si>
  <si>
    <t>Gusset leather with D-ring &amp; zipper opposite AMS stitching</t>
  </si>
  <si>
    <t>LPDS95749</t>
  </si>
  <si>
    <t>HAJIMA MABOOB BASHA</t>
  </si>
  <si>
    <t>OP_048</t>
  </si>
  <si>
    <t>first patti &amp; window side edges pasting</t>
  </si>
  <si>
    <t>LPD12148</t>
  </si>
  <si>
    <t>HASANUR JAMAN MOLLA</t>
  </si>
  <si>
    <t>OP_049</t>
  </si>
  <si>
    <t>first patti  with cc pkt &amp; window attatching</t>
  </si>
  <si>
    <t>LPD12233</t>
  </si>
  <si>
    <t>I RESHMA</t>
  </si>
  <si>
    <t>OP_050</t>
  </si>
  <si>
    <t>gusset leather zipper  with side edges pasting</t>
  </si>
  <si>
    <t>LPD11499</t>
  </si>
  <si>
    <t>I. RESHMA</t>
  </si>
  <si>
    <t>OP_051</t>
  </si>
  <si>
    <t>zipper stitching area thread full &amp; kimlon pasting</t>
  </si>
  <si>
    <t>LPD9801</t>
  </si>
  <si>
    <t>ILYAS</t>
  </si>
  <si>
    <t>OP_052</t>
  </si>
  <si>
    <t>kimlon &amp; zipper mold used attatching</t>
  </si>
  <si>
    <t>LPD11272</t>
  </si>
  <si>
    <t>IRFAN</t>
  </si>
  <si>
    <t>OP_053</t>
  </si>
  <si>
    <t>kimlon &amp; zipper mold used folding</t>
  </si>
  <si>
    <t>LPDS95681</t>
  </si>
  <si>
    <t>J KAVERI</t>
  </si>
  <si>
    <t>OP_054</t>
  </si>
  <si>
    <t>LPD09877</t>
  </si>
  <si>
    <t>J. SAIDA</t>
  </si>
  <si>
    <t>OP_055</t>
  </si>
  <si>
    <t>interial case  with cc pkt pasting &amp; attatching</t>
  </si>
  <si>
    <t>LPD09910</t>
  </si>
  <si>
    <t>JABINA BANU</t>
  </si>
  <si>
    <t>OP_056</t>
  </si>
  <si>
    <t>interial case  with cc pkt  step patti stitching</t>
  </si>
  <si>
    <t>LPDS94748</t>
  </si>
  <si>
    <t>JAYA KODI</t>
  </si>
  <si>
    <t>OP_057</t>
  </si>
  <si>
    <t>interial case with pasting &amp; attatching&amp; thread pull operation</t>
  </si>
  <si>
    <t>LPD10251</t>
  </si>
  <si>
    <t>JAYACHITRA</t>
  </si>
  <si>
    <t>OP_058</t>
  </si>
  <si>
    <t>interial case with window pkt pasting</t>
  </si>
  <si>
    <t>LPDS95750</t>
  </si>
  <si>
    <t>JAYALAKSHMI</t>
  </si>
  <si>
    <t>OP_059</t>
  </si>
  <si>
    <t>interial case with window pkt mold used attatching</t>
  </si>
  <si>
    <t>LPD08372</t>
  </si>
  <si>
    <t>JAYANTHI</t>
  </si>
  <si>
    <t>OP_060</t>
  </si>
  <si>
    <t>interial case with cc pkt stamp side stitching</t>
  </si>
  <si>
    <t>LPDS94648</t>
  </si>
  <si>
    <t>OP_061</t>
  </si>
  <si>
    <t>interial case with cc pkt  window stitching</t>
  </si>
  <si>
    <t>LPD11610</t>
  </si>
  <si>
    <t>JEEVA</t>
  </si>
  <si>
    <t>OP_062</t>
  </si>
  <si>
    <t>final case stage mold used pressing</t>
  </si>
  <si>
    <t>LPD10667</t>
  </si>
  <si>
    <t>JIAUR RAHMAN</t>
  </si>
  <si>
    <t>OP_063</t>
  </si>
  <si>
    <t>interial case with final case pasting &amp;  Shape process</t>
  </si>
  <si>
    <t>LPD12022</t>
  </si>
  <si>
    <t>K KHURSHEED BANU</t>
  </si>
  <si>
    <t>OP_064</t>
  </si>
  <si>
    <t>interial case with final case Attatching</t>
  </si>
  <si>
    <t>LPD08988</t>
  </si>
  <si>
    <t>K. DEEPA</t>
  </si>
  <si>
    <t>OP_065</t>
  </si>
  <si>
    <t>LPD09981</t>
  </si>
  <si>
    <t>K. ESWARI</t>
  </si>
  <si>
    <t>OP_066</t>
  </si>
  <si>
    <t>final stage window side stitching</t>
  </si>
  <si>
    <t>LPD09007</t>
  </si>
  <si>
    <t>K. FAIYAZ</t>
  </si>
  <si>
    <t>OP_067</t>
  </si>
  <si>
    <t>final stage straight  stitching</t>
  </si>
  <si>
    <t>LPD10967</t>
  </si>
  <si>
    <t>K. SHANTHI</t>
  </si>
  <si>
    <t>OP_068</t>
  </si>
  <si>
    <t>final lamping</t>
  </si>
  <si>
    <t>LPD11420</t>
  </si>
  <si>
    <t>KALPANA</t>
  </si>
  <si>
    <t>OP_069</t>
  </si>
  <si>
    <t>shapping process</t>
  </si>
  <si>
    <t>LPD11221</t>
  </si>
  <si>
    <t>KANIMOZHI</t>
  </si>
  <si>
    <t>OP_070</t>
  </si>
  <si>
    <t>cleaning process</t>
  </si>
  <si>
    <t>LPD10999</t>
  </si>
  <si>
    <t>KARISHMA</t>
  </si>
  <si>
    <t>OP_071</t>
  </si>
  <si>
    <t>Quality Analysys</t>
  </si>
  <si>
    <t>LPDS95714</t>
  </si>
  <si>
    <t>KAVITHA SURESH</t>
  </si>
  <si>
    <t>LPD11937</t>
  </si>
  <si>
    <t>KHURSID ALI MOLLA</t>
  </si>
  <si>
    <t>LPD12204</t>
  </si>
  <si>
    <t>KUMARI</t>
  </si>
  <si>
    <t>LPDS95725</t>
  </si>
  <si>
    <t>LAKSHMI JANAGIRAMAN</t>
  </si>
  <si>
    <t>LPD11669</t>
  </si>
  <si>
    <t>LEVINA</t>
  </si>
  <si>
    <t>LPDS95702</t>
  </si>
  <si>
    <t>M DILSHATH</t>
  </si>
  <si>
    <t>LPD06518</t>
  </si>
  <si>
    <t>M. ANITHA</t>
  </si>
  <si>
    <t>LPD08982</t>
  </si>
  <si>
    <t>M. APSANA</t>
  </si>
  <si>
    <t>LPD10197</t>
  </si>
  <si>
    <t>M. GIRIJA</t>
  </si>
  <si>
    <t>LPD05609</t>
  </si>
  <si>
    <t>M. GOWRI</t>
  </si>
  <si>
    <t>LPD12240</t>
  </si>
  <si>
    <t>M. HAJIRA</t>
  </si>
  <si>
    <t>LPD10183</t>
  </si>
  <si>
    <t>M. KALAIMATHI</t>
  </si>
  <si>
    <t>LPD08346</t>
  </si>
  <si>
    <t>M. KHADAR BEE</t>
  </si>
  <si>
    <t>LPD08142</t>
  </si>
  <si>
    <t>M. MUMTAJ</t>
  </si>
  <si>
    <t>LPD07870</t>
  </si>
  <si>
    <t>M. NIROSHA</t>
  </si>
  <si>
    <t>LPD11183</t>
  </si>
  <si>
    <t>M. RIZWANA</t>
  </si>
  <si>
    <t>LPD09670</t>
  </si>
  <si>
    <t>M. SIDDIQUA</t>
  </si>
  <si>
    <t>LPD09393</t>
  </si>
  <si>
    <t>M. USHA RANI</t>
  </si>
  <si>
    <t>LPD11279</t>
  </si>
  <si>
    <t>M. ZEHRA</t>
  </si>
  <si>
    <t>LPD12248</t>
  </si>
  <si>
    <t>MAFIJUL MOLLA</t>
  </si>
  <si>
    <t>LPD11204</t>
  </si>
  <si>
    <t>MAHALAKSHMI</t>
  </si>
  <si>
    <t>LPD12247</t>
  </si>
  <si>
    <t>MARUF HOSSAIN PIYADA</t>
  </si>
  <si>
    <t>LPD11314</t>
  </si>
  <si>
    <t>MD ILYAS</t>
  </si>
  <si>
    <t>LPD12221</t>
  </si>
  <si>
    <t>MD YAMIN ALI MOLLA</t>
  </si>
  <si>
    <t>LPD11278</t>
  </si>
  <si>
    <t>MD. INTAKHAB</t>
  </si>
  <si>
    <t>LPD11618</t>
  </si>
  <si>
    <t>MD. NASIM</t>
  </si>
  <si>
    <t>LPD10281</t>
  </si>
  <si>
    <t>MD. SHAMIM AHAMAD</t>
  </si>
  <si>
    <t>LPD11532</t>
  </si>
  <si>
    <t>MD. TANVEER</t>
  </si>
  <si>
    <t>LPD12238</t>
  </si>
  <si>
    <t>MEENA S</t>
  </si>
  <si>
    <t>LPD12211</t>
  </si>
  <si>
    <t>MOHAMMAD SAHEB</t>
  </si>
  <si>
    <t>LPDS95359</t>
  </si>
  <si>
    <t>MOHAMMED ZAIBAS M</t>
  </si>
  <si>
    <t>LPD07687</t>
  </si>
  <si>
    <t>MUBARAK</t>
  </si>
  <si>
    <t>LPD10255</t>
  </si>
  <si>
    <t>MUGINA</t>
  </si>
  <si>
    <t>LPD95781</t>
  </si>
  <si>
    <t>MULLAI KODI</t>
  </si>
  <si>
    <t>LPDS95788</t>
  </si>
  <si>
    <t>MUMTAZ</t>
  </si>
  <si>
    <t>LPD11453</t>
  </si>
  <si>
    <t>MUNNI</t>
  </si>
  <si>
    <t>LPD10916</t>
  </si>
  <si>
    <t>N. JAYACHITRA</t>
  </si>
  <si>
    <t>LPD05412</t>
  </si>
  <si>
    <t>N. KHALEEL AHMED</t>
  </si>
  <si>
    <t>LPDS95741</t>
  </si>
  <si>
    <t>N. SUMITHRA</t>
  </si>
  <si>
    <t>LPD11690</t>
  </si>
  <si>
    <t>NANDHINI</t>
  </si>
  <si>
    <t>LPD12203</t>
  </si>
  <si>
    <t>NASREEN S</t>
  </si>
  <si>
    <t>LPDS95252</t>
  </si>
  <si>
    <t>P VENDA</t>
  </si>
  <si>
    <t>LPD08204</t>
  </si>
  <si>
    <t>P. ANITHA</t>
  </si>
  <si>
    <t>LPD11712</t>
  </si>
  <si>
    <t>P. GAYATHRI</t>
  </si>
  <si>
    <t>LPD04824</t>
  </si>
  <si>
    <t>P. LOGANAYAGI</t>
  </si>
  <si>
    <t>LPD09944</t>
  </si>
  <si>
    <t>PARVEEN</t>
  </si>
  <si>
    <t>LPD10276</t>
  </si>
  <si>
    <t>LPDS95790</t>
  </si>
  <si>
    <t>PARWEEN</t>
  </si>
  <si>
    <t>LPD11692</t>
  </si>
  <si>
    <t>POORNIMA VIMAL</t>
  </si>
  <si>
    <t>LPD11396</t>
  </si>
  <si>
    <t>PRECILA</t>
  </si>
  <si>
    <t>LPD10889</t>
  </si>
  <si>
    <t>PUNITHA</t>
  </si>
  <si>
    <t>LPD12097</t>
  </si>
  <si>
    <t>R STELLA</t>
  </si>
  <si>
    <t>LPD09963</t>
  </si>
  <si>
    <t>R. AMBIKA</t>
  </si>
  <si>
    <t>LPDS95740</t>
  </si>
  <si>
    <t>R. AMUDHA</t>
  </si>
  <si>
    <t>LPD07789</t>
  </si>
  <si>
    <t>R. KAVITHA</t>
  </si>
  <si>
    <t>LPD10987</t>
  </si>
  <si>
    <t>R. SHEELA</t>
  </si>
  <si>
    <t>LPD05183</t>
  </si>
  <si>
    <t>R. SRI DEVI</t>
  </si>
  <si>
    <t>LPD00334</t>
  </si>
  <si>
    <t>R. VASANTHI</t>
  </si>
  <si>
    <t>LPD07485</t>
  </si>
  <si>
    <t>R. VENNILA</t>
  </si>
  <si>
    <t>LPD12254</t>
  </si>
  <si>
    <t>RABIUL MOLLA</t>
  </si>
  <si>
    <t>LPD12262</t>
  </si>
  <si>
    <t>RAHIM</t>
  </si>
  <si>
    <t>LPD10171</t>
  </si>
  <si>
    <t>RAJESWARI</t>
  </si>
  <si>
    <t>LPD10795</t>
  </si>
  <si>
    <t>RAKIB</t>
  </si>
  <si>
    <t>LPD10618</t>
  </si>
  <si>
    <t>RAMEEZA</t>
  </si>
  <si>
    <t>LPD10907</t>
  </si>
  <si>
    <t>RASOOL</t>
  </si>
  <si>
    <t>LPDS94644</t>
  </si>
  <si>
    <t>RAVICHITRA</t>
  </si>
  <si>
    <t>LPD09605</t>
  </si>
  <si>
    <t>REKHA</t>
  </si>
  <si>
    <t>LPD10035</t>
  </si>
  <si>
    <t>REVATHI</t>
  </si>
  <si>
    <t>LPDS95527</t>
  </si>
  <si>
    <t>REVATHI R</t>
  </si>
  <si>
    <t>LPD09907</t>
  </si>
  <si>
    <t>RIZWAN</t>
  </si>
  <si>
    <t>LPD11625</t>
  </si>
  <si>
    <t>RUHUL AMIN</t>
  </si>
  <si>
    <t>LPD12099</t>
  </si>
  <si>
    <t>S AMUDHA</t>
  </si>
  <si>
    <t>LPDS95729</t>
  </si>
  <si>
    <t>S MUNNI</t>
  </si>
  <si>
    <t>LPDS95753</t>
  </si>
  <si>
    <t>S THABASSUM</t>
  </si>
  <si>
    <t>LPD11482</t>
  </si>
  <si>
    <t>S. MD. SULTAN</t>
  </si>
  <si>
    <t>LPD00071</t>
  </si>
  <si>
    <t>S. NASEEMA</t>
  </si>
  <si>
    <t>LPD05920</t>
  </si>
  <si>
    <t>S. PARMESHWARI</t>
  </si>
  <si>
    <t>LPD07950</t>
  </si>
  <si>
    <t>S. RAHIMUNNISA</t>
  </si>
  <si>
    <t>LPD04803</t>
  </si>
  <si>
    <t>S. RAJASHWARI</t>
  </si>
  <si>
    <t>LPD07785</t>
  </si>
  <si>
    <t>S. RANI</t>
  </si>
  <si>
    <t>LPD08048</t>
  </si>
  <si>
    <t>S. RIYAZ</t>
  </si>
  <si>
    <t>LPD09973</t>
  </si>
  <si>
    <t>S. SIVARANJANI</t>
  </si>
  <si>
    <t>LPD08305</t>
  </si>
  <si>
    <t>S. SUDHA</t>
  </si>
  <si>
    <t>LPD11504</t>
  </si>
  <si>
    <t>S. SUGUNA</t>
  </si>
  <si>
    <t>LPD11089</t>
  </si>
  <si>
    <t>S. THAJNISA</t>
  </si>
  <si>
    <t>LPD12236</t>
  </si>
  <si>
    <t>S. UMA</t>
  </si>
  <si>
    <t>LPD07459</t>
  </si>
  <si>
    <t>S. VIJAYA</t>
  </si>
  <si>
    <t>LPD08744</t>
  </si>
  <si>
    <t>S.L. LAKSHMI</t>
  </si>
  <si>
    <t>LPD12273</t>
  </si>
  <si>
    <t>SAHID MOLLA</t>
  </si>
  <si>
    <t>LPD12237</t>
  </si>
  <si>
    <t>SALIYA BANU</t>
  </si>
  <si>
    <t>LPD11181</t>
  </si>
  <si>
    <t>SALLUBANU</t>
  </si>
  <si>
    <t>LPD10969</t>
  </si>
  <si>
    <t>SAMEENA</t>
  </si>
  <si>
    <t>LPD12241</t>
  </si>
  <si>
    <t>SANGEETHA</t>
  </si>
  <si>
    <t>LPD09689</t>
  </si>
  <si>
    <t>SARANYA</t>
  </si>
  <si>
    <t>LPD01611</t>
  </si>
  <si>
    <t>SARASWATHI</t>
  </si>
  <si>
    <t>LPD12146</t>
  </si>
  <si>
    <t>SARIFUL GAYEN</t>
  </si>
  <si>
    <t>LPD12139</t>
  </si>
  <si>
    <t>SARTHAJ</t>
  </si>
  <si>
    <t>LPD08486</t>
  </si>
  <si>
    <t>SASIKALA</t>
  </si>
  <si>
    <t>LPDS94681</t>
  </si>
  <si>
    <t>SATHIYABAMA M</t>
  </si>
  <si>
    <t>LPDS95684</t>
  </si>
  <si>
    <t>SELVI VENGATESAN</t>
  </si>
  <si>
    <t>LPD11018</t>
  </si>
  <si>
    <t>SHABANA</t>
  </si>
  <si>
    <t>LPD11153</t>
  </si>
  <si>
    <t>SHAINAN</t>
  </si>
  <si>
    <t>LPD11973</t>
  </si>
  <si>
    <t>SHAJAN R</t>
  </si>
  <si>
    <t>LPD10526</t>
  </si>
  <si>
    <t>SHAKEERA</t>
  </si>
  <si>
    <t>LPD10044</t>
  </si>
  <si>
    <t>SHAKIRA</t>
  </si>
  <si>
    <t>LPD11572</t>
  </si>
  <si>
    <t>SHALINI</t>
  </si>
  <si>
    <t>LPD10562</t>
  </si>
  <si>
    <t>SHAMIMA</t>
  </si>
  <si>
    <t>LPD10727</t>
  </si>
  <si>
    <t>SHAN BASHA</t>
  </si>
  <si>
    <t>LPD11709</t>
  </si>
  <si>
    <t>SHANKARI</t>
  </si>
  <si>
    <t>LPD08619</t>
  </si>
  <si>
    <t>SHARFUDDIN</t>
  </si>
  <si>
    <t>LPD05252</t>
  </si>
  <si>
    <t>SHEINAAZ</t>
  </si>
  <si>
    <t>LPD11463</t>
  </si>
  <si>
    <t>SHINAS</t>
  </si>
  <si>
    <t>LPD09954</t>
  </si>
  <si>
    <t>SHOBANA</t>
  </si>
  <si>
    <t>LPDS95712</t>
  </si>
  <si>
    <t>SOWMIYA</t>
  </si>
  <si>
    <t>LPD09853</t>
  </si>
  <si>
    <t>SUBAN</t>
  </si>
  <si>
    <t>LPDS95742</t>
  </si>
  <si>
    <t>SUGUNA</t>
  </si>
  <si>
    <t>LPD11187</t>
  </si>
  <si>
    <t>SUJATHA</t>
  </si>
  <si>
    <t>LPD11358</t>
  </si>
  <si>
    <t>SUMATHI</t>
  </si>
  <si>
    <t>LPD11567</t>
  </si>
  <si>
    <t>LPDS94726</t>
  </si>
  <si>
    <t>SUMATHI R</t>
  </si>
  <si>
    <t>LPD10909</t>
  </si>
  <si>
    <t>T.H. MOHAMED SAQIB</t>
  </si>
  <si>
    <t>LPD11099</t>
  </si>
  <si>
    <t>TAMIL ARASI</t>
  </si>
  <si>
    <t>LPD10455</t>
  </si>
  <si>
    <t>THAMRIN</t>
  </si>
  <si>
    <t>LPD123456</t>
  </si>
  <si>
    <t>Test Name</t>
  </si>
  <si>
    <t>LPD12239</t>
  </si>
  <si>
    <t>U. SHYLAJA</t>
  </si>
  <si>
    <t>LPD10253</t>
  </si>
  <si>
    <t>UMA</t>
  </si>
  <si>
    <t>LPDS94756</t>
  </si>
  <si>
    <t>UMA C</t>
  </si>
  <si>
    <t>LPD08891</t>
  </si>
  <si>
    <t>UMA MAHESWARI</t>
  </si>
  <si>
    <t>LPD11454</t>
  </si>
  <si>
    <t>USHA</t>
  </si>
  <si>
    <t>LPD08092</t>
  </si>
  <si>
    <t>LPD07514</t>
  </si>
  <si>
    <t>V. DHANALAKSHMI</t>
  </si>
  <si>
    <t>LPD11691</t>
  </si>
  <si>
    <t>V. JAYANTHI</t>
  </si>
  <si>
    <t>LPD11006</t>
  </si>
  <si>
    <t>V. LAKSHMI</t>
  </si>
  <si>
    <t>LPD04804</t>
  </si>
  <si>
    <t>V. MEENATCHI</t>
  </si>
  <si>
    <t>LPD07392</t>
  </si>
  <si>
    <t>V.P. MUBARAK</t>
  </si>
  <si>
    <t>LPD08268</t>
  </si>
  <si>
    <t>VASANTHI</t>
  </si>
  <si>
    <t>LPD12243</t>
  </si>
  <si>
    <t>VASIM AKARAM</t>
  </si>
  <si>
    <t>LPD05998</t>
  </si>
  <si>
    <t>VENDA</t>
  </si>
  <si>
    <t>LPD11088</t>
  </si>
  <si>
    <t>Y. ALMAS BEGUM</t>
  </si>
  <si>
    <t>LPD08685</t>
  </si>
  <si>
    <t>Z. NAYEEMUNNISA</t>
  </si>
  <si>
    <t>LPD11520</t>
  </si>
  <si>
    <t>ZAREENA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</si>
</sst>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1"/>
    </font>
    <font>
      <sz val="11"/>
    </font>
    <font>
      <i/>
      <color rgb="FF6B7280"/>
      <sz val="10"/>
    </font>
    <font>
      <b/>
      <color rgb="FF1D6F42"/>
      <sz val="11"/>
    </font>
    <font>
      <b/>
      <color rgb="FFFFFFFF"/>
      <sz val="11"/>
    </font>
    <font>
      <i/>
      <color rgb="FF374151"/>
    </font>
    <font>
      <b/>
      <sz val="13"/>
    </font>
    <font>
      <color rgb="FF374151"/>
      <sz val="11"/>
    </font>
  </fonts>
  <fills count="9">
    <fill>
      <patternFill patternType="none"/>
    </fill>
    <fill>
      <patternFill patternType="gray125"/>
    </fill>
    <fill>
      <patternFill patternType="solid">
        <fgColor rgb="FF1D6F42"/>
      </patternFill>
    </fill>
    <fill>
      <patternFill patternType="solid">
        <fgColor rgb="FFF2F2F2"/>
      </patternFill>
    </fill>
    <fill>
      <patternFill patternType="solid">
        <fgColor rgb="FFD1FAE5"/>
      </patternFill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EBEBEB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2" fontId="0" fillId="6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8" fillId="0" borderId="0" xfId="0" applyFont="1"/>
    <xf numFmtId="0" fontId="3" fillId="0" borderId="0" xfId="0" applyFont="1"/>
    <xf numFmtId="0" fontId="2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FormatPr defaultRowHeight="15" outlineLevelRow="0" outlineLevelCol="0" x14ac:dyDescent="55"/>
  <cols>
    <col min="1" max="1" width="14" customWidth="1"/>
    <col min="2" max="2" width="10" customWidth="1"/>
    <col min="3" max="4" width="16" customWidth="1"/>
    <col min="5" max="5" width="40" customWidth="1"/>
    <col min="6" max="7" width="16" customWidth="1"/>
    <col min="8" max="8" width="12" customWidth="1"/>
    <col min="9" max="9" width="20" customWidth="1"/>
    <col min="10" max="10" width="24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x14ac:dyDescent="0.25"/>
    <row r="3" spans="1:10" x14ac:dyDescent="0.25">
      <c r="A3" s="2" t="s">
        <v>1</v>
      </c>
      <c r="B3" s="3" t="s">
        <v>2</v>
      </c>
      <c r="C3" s="4" t="s">
        <v>3</v>
      </c>
      <c r="D3" s="4"/>
      <c r="E3" s="4"/>
      <c r="F3" s="4"/>
      <c r="G3" s="4"/>
      <c r="H3" s="4"/>
      <c r="I3" s="4"/>
      <c r="J3" s="4"/>
    </row>
    <row r="4" spans="1:10" x14ac:dyDescent="0.25">
      <c r="A4" s="2" t="s">
        <v>4</v>
      </c>
      <c r="B4" s="3" t="s">
        <v>5</v>
      </c>
      <c r="C4" s="4" t="s">
        <v>6</v>
      </c>
      <c r="D4" s="4"/>
      <c r="E4" s="4"/>
      <c r="F4" s="4"/>
      <c r="G4" s="4"/>
      <c r="H4" s="4"/>
      <c r="I4" s="4"/>
      <c r="J4" s="4"/>
    </row>
    <row r="5" spans="1:10" x14ac:dyDescent="0.25">
      <c r="A5" s="2" t="s">
        <v>7</v>
      </c>
      <c r="B5" s="3" t="s">
        <v>8</v>
      </c>
      <c r="C5" s="4" t="s">
        <v>9</v>
      </c>
      <c r="D5" s="4"/>
      <c r="E5" s="4"/>
      <c r="F5" s="4"/>
      <c r="G5" s="4"/>
      <c r="H5" s="4"/>
      <c r="I5" s="4"/>
      <c r="J5" s="4"/>
    </row>
    <row r="6" spans="1:10" x14ac:dyDescent="0.25">
      <c r="A6" s="2" t="s">
        <v>10</v>
      </c>
      <c r="B6" s="3" t="s">
        <v>11</v>
      </c>
      <c r="C6" s="4" t="s">
        <v>12</v>
      </c>
      <c r="D6" s="4"/>
      <c r="E6" s="4"/>
      <c r="F6" s="4"/>
      <c r="G6" s="4"/>
      <c r="H6" s="4"/>
      <c r="I6" s="4"/>
      <c r="J6" s="4"/>
    </row>
    <row r="7" spans="1:10" x14ac:dyDescent="0.25">
      <c r="A7" s="2" t="s">
        <v>13</v>
      </c>
      <c r="B7" s="3" t="s">
        <v>14</v>
      </c>
      <c r="C7" s="4" t="s">
        <v>15</v>
      </c>
      <c r="D7" s="4"/>
      <c r="E7" s="4"/>
      <c r="F7" s="4"/>
      <c r="G7" s="4"/>
      <c r="H7" s="4"/>
      <c r="I7" s="4"/>
      <c r="J7" s="4"/>
    </row>
    <row r="8" spans="1:10" x14ac:dyDescent="0.25">
      <c r="A8" s="2" t="s">
        <v>16</v>
      </c>
      <c r="B8" s="3" t="s">
        <v>17</v>
      </c>
      <c r="C8" s="4" t="s">
        <v>18</v>
      </c>
      <c r="D8" s="4"/>
      <c r="E8" s="4"/>
      <c r="F8" s="4"/>
      <c r="G8" s="4"/>
      <c r="H8" s="4"/>
      <c r="I8" s="4"/>
      <c r="J8" s="4"/>
    </row>
    <row r="9" spans="1:10" x14ac:dyDescent="0.25">
      <c r="A9" s="2" t="s">
        <v>19</v>
      </c>
      <c r="B9" s="3" t="s">
        <v>17</v>
      </c>
      <c r="C9" s="4" t="s">
        <v>20</v>
      </c>
      <c r="D9" s="4"/>
      <c r="E9" s="4"/>
      <c r="F9" s="4"/>
      <c r="G9" s="4"/>
      <c r="H9" s="4"/>
      <c r="I9" s="4"/>
      <c r="J9" s="4"/>
    </row>
    <row r="10" spans="1:10" x14ac:dyDescent="0.25">
      <c r="A10" s="2" t="s">
        <v>21</v>
      </c>
      <c r="B10" s="3">
        <v>500</v>
      </c>
      <c r="C10" s="4" t="s">
        <v>22</v>
      </c>
      <c r="D10" s="4"/>
      <c r="E10" s="4"/>
      <c r="F10" s="4"/>
      <c r="G10" s="4"/>
      <c r="H10" s="4"/>
      <c r="I10" s="4"/>
      <c r="J10" s="4"/>
    </row>
    <row r="11" spans="1:10" x14ac:dyDescent="0.25">
      <c r="A11" s="2" t="s">
        <v>23</v>
      </c>
      <c r="B11" s="3" t="s">
        <v>17</v>
      </c>
      <c r="C11" s="4" t="s">
        <v>24</v>
      </c>
      <c r="D11" s="4"/>
      <c r="E11" s="4"/>
      <c r="F11" s="4"/>
      <c r="G11" s="4"/>
      <c r="H11" s="4"/>
      <c r="I11" s="4"/>
      <c r="J11" s="4"/>
    </row>
    <row r="12" spans="1:10" x14ac:dyDescent="0.25">
      <c r="A12" s="2" t="s">
        <v>25</v>
      </c>
      <c r="B12" s="3" t="s">
        <v>17</v>
      </c>
      <c r="C12" s="4" t="s">
        <v>26</v>
      </c>
      <c r="D12" s="4"/>
      <c r="E12" s="4"/>
      <c r="F12" s="4"/>
      <c r="G12" s="4"/>
      <c r="H12" s="4"/>
      <c r="I12" s="4"/>
      <c r="J12" s="4"/>
    </row>
    <row r="13" spans="1:10" x14ac:dyDescent="0.25">
      <c r="A13" s="2" t="s">
        <v>27</v>
      </c>
      <c r="B13" s="5" t="s">
        <v>28</v>
      </c>
      <c r="C13" s="4" t="s">
        <v>29</v>
      </c>
      <c r="D13" s="4"/>
      <c r="E13" s="4"/>
      <c r="F13" s="4"/>
      <c r="G13" s="4"/>
      <c r="H13" s="4"/>
      <c r="I13" s="4"/>
      <c r="J13" s="4"/>
    </row>
    <row r="14" ht="8" customHeight="1" x14ac:dyDescent="0.25"/>
    <row r="15" ht="22" customHeight="1" spans="1:10" x14ac:dyDescent="0.2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34</v>
      </c>
      <c r="F15" s="6" t="s">
        <v>35</v>
      </c>
      <c r="G15" s="6" t="s">
        <v>36</v>
      </c>
      <c r="H15" s="6" t="s">
        <v>37</v>
      </c>
      <c r="I15" s="6" t="s">
        <v>38</v>
      </c>
      <c r="J15" s="7" t="s">
        <v>39</v>
      </c>
    </row>
    <row r="16" ht="18" customHeight="1" spans="1:10" x14ac:dyDescent="0.25">
      <c r="A16" s="8" t="s">
        <v>40</v>
      </c>
      <c r="B16" s="8" t="s">
        <v>17</v>
      </c>
      <c r="C16" s="8" t="s">
        <v>41</v>
      </c>
      <c r="D16" s="8" t="s">
        <v>42</v>
      </c>
      <c r="E16" s="9">
        <f>=IFERROR(VLOOKUP(D16,Lists!$A:$B,2,0),"")</f>
      </c>
      <c r="F16" s="10">
        <v>12</v>
      </c>
      <c r="G16" s="11">
        <f>=SUMIF($C$16:$C$501,C16,$F$16:$F$501)</f>
      </c>
      <c r="H16" s="12">
        <f>=F16/3600</f>
      </c>
      <c r="I16" s="13">
        <f>=IFERROR(INDEX(Lists!$C:$C,MATCH(J16,Lists!$D:$D,0)),"")</f>
      </c>
      <c r="J16" s="14" t="s">
        <v>17</v>
      </c>
    </row>
    <row r="17" ht="18" customHeight="1" spans="1:10" x14ac:dyDescent="0.25">
      <c r="A17" s="8" t="s">
        <v>40</v>
      </c>
      <c r="B17" s="8">
        <v>1</v>
      </c>
      <c r="C17" s="8" t="s">
        <v>41</v>
      </c>
      <c r="D17" s="8" t="s">
        <v>43</v>
      </c>
      <c r="E17" s="9">
        <f>=IFERROR(VLOOKUP(D17,Lists!$A:$B,2,0),"")</f>
      </c>
      <c r="F17" s="10">
        <v>12</v>
      </c>
      <c r="G17" s="11">
        <f>=SUMIF($C$16:$C$501,C17,$F$16:$F$501)</f>
      </c>
      <c r="H17" s="12">
        <f>=F17/3600</f>
      </c>
      <c r="I17" s="13">
        <f>=IFERROR(INDEX(Lists!$C:$C,MATCH(J17,Lists!$D:$D,0)),"")</f>
      </c>
      <c r="J17" s="15">
        <f>=IFERROR(INDEX($J$16:J16,MATCH(C17,$C$16:C16,0)),"")</f>
      </c>
    </row>
    <row r="18" ht="18" customHeight="1" spans="1:10" x14ac:dyDescent="0.25">
      <c r="A18" s="8" t="s">
        <v>40</v>
      </c>
      <c r="B18" s="8" t="s">
        <v>17</v>
      </c>
      <c r="C18" s="8" t="s">
        <v>41</v>
      </c>
      <c r="D18" s="8" t="s">
        <v>44</v>
      </c>
      <c r="E18" s="9">
        <f>=IFERROR(VLOOKUP(D18,Lists!$A:$B,2,0),"")</f>
      </c>
      <c r="F18" s="10">
        <v>30</v>
      </c>
      <c r="G18" s="11">
        <f>=SUMIF($C$16:$C$501,C18,$F$16:$F$501)</f>
      </c>
      <c r="H18" s="12">
        <f>=F18/3600</f>
      </c>
      <c r="I18" s="13">
        <f>=IFERROR(INDEX(Lists!$C:$C,MATCH(J18,Lists!$D:$D,0)),"")</f>
      </c>
      <c r="J18" s="15">
        <f>=IFERROR(INDEX($J$16:J17,MATCH(C18,$C$16:C17,0)),"")</f>
      </c>
    </row>
    <row r="19" ht="18" customHeight="1" spans="1:10" x14ac:dyDescent="0.25">
      <c r="A19" s="8" t="s">
        <v>40</v>
      </c>
      <c r="B19" s="8" t="s">
        <v>17</v>
      </c>
      <c r="C19" s="8" t="s">
        <v>41</v>
      </c>
      <c r="D19" s="8" t="s">
        <v>45</v>
      </c>
      <c r="E19" s="9">
        <f>=IFERROR(VLOOKUP(D19,Lists!$A:$B,2,0),"")</f>
      </c>
      <c r="F19" s="10">
        <v>30</v>
      </c>
      <c r="G19" s="11">
        <f>=SUMIF($C$16:$C$501,C19,$F$16:$F$501)</f>
      </c>
      <c r="H19" s="12">
        <f>=F19/3600</f>
      </c>
      <c r="I19" s="13">
        <f>=IFERROR(INDEX(Lists!$C:$C,MATCH(J19,Lists!$D:$D,0)),"")</f>
      </c>
      <c r="J19" s="15">
        <f>=IFERROR(INDEX($J$16:J18,MATCH(C19,$C$16:C18,0)),"")</f>
      </c>
    </row>
    <row r="20" ht="18" customHeight="1" spans="1:10" x14ac:dyDescent="0.25">
      <c r="A20" s="8" t="s">
        <v>40</v>
      </c>
      <c r="B20" s="8">
        <v>2</v>
      </c>
      <c r="C20" s="8" t="s">
        <v>46</v>
      </c>
      <c r="D20" s="8" t="s">
        <v>47</v>
      </c>
      <c r="E20" s="9">
        <f>=IFERROR(VLOOKUP(D20,Lists!$A:$B,2,0),"")</f>
      </c>
      <c r="F20" s="10">
        <v>20</v>
      </c>
      <c r="G20" s="11">
        <f>=SUMIF($C$16:$C$501,C20,$F$16:$F$501)</f>
      </c>
      <c r="H20" s="12">
        <f>=F20/3600</f>
      </c>
      <c r="I20" s="13">
        <f>=IFERROR(INDEX(Lists!$C:$C,MATCH(J20,Lists!$D:$D,0)),"")</f>
      </c>
      <c r="J20" s="15" t="s">
        <v>17</v>
      </c>
    </row>
    <row r="21" ht="18" customHeight="1" spans="1:10" x14ac:dyDescent="0.25">
      <c r="A21" s="8" t="s">
        <v>40</v>
      </c>
      <c r="B21" s="8" t="s">
        <v>17</v>
      </c>
      <c r="C21" s="8" t="s">
        <v>46</v>
      </c>
      <c r="D21" s="8" t="s">
        <v>48</v>
      </c>
      <c r="E21" s="9">
        <f>=IFERROR(VLOOKUP(D21,Lists!$A:$B,2,0),"")</f>
      </c>
      <c r="F21" s="10">
        <v>16</v>
      </c>
      <c r="G21" s="11">
        <f>=SUMIF($C$16:$C$501,C21,$F$16:$F$501)</f>
      </c>
      <c r="H21" s="12">
        <f>=F21/3600</f>
      </c>
      <c r="I21" s="13">
        <f>=IFERROR(INDEX(Lists!$C:$C,MATCH(J21,Lists!$D:$D,0)),"")</f>
      </c>
      <c r="J21" s="15">
        <f>=IFERROR(INDEX($J$16:J20,MATCH(C21,$C$16:C20,0)),"")</f>
      </c>
    </row>
    <row r="22" ht="18" customHeight="1" spans="1:10" x14ac:dyDescent="0.25">
      <c r="A22" s="8" t="s">
        <v>49</v>
      </c>
      <c r="B22" s="8" t="s">
        <v>17</v>
      </c>
      <c r="C22" s="8" t="s">
        <v>50</v>
      </c>
      <c r="D22" s="8" t="s">
        <v>51</v>
      </c>
      <c r="E22" s="9">
        <f>=IFERROR(VLOOKUP(D22,Lists!$A:$B,2,0),"")</f>
      </c>
      <c r="F22" s="10">
        <v>20</v>
      </c>
      <c r="G22" s="11">
        <f>=SUMIF($C$16:$C$501,C22,$F$16:$F$501)</f>
      </c>
      <c r="H22" s="12">
        <f>=F22/3600</f>
      </c>
      <c r="I22" s="13">
        <f>=IFERROR(INDEX(Lists!$C:$C,MATCH(J22,Lists!$D:$D,0)),"")</f>
      </c>
      <c r="J22" s="15" t="s">
        <v>17</v>
      </c>
    </row>
    <row r="23" ht="18" customHeight="1" spans="1:10" x14ac:dyDescent="0.25">
      <c r="A23" s="8" t="s">
        <v>49</v>
      </c>
      <c r="B23" s="8">
        <v>3</v>
      </c>
      <c r="C23" s="8" t="s">
        <v>50</v>
      </c>
      <c r="D23" s="8" t="s">
        <v>52</v>
      </c>
      <c r="E23" s="9">
        <f>=IFERROR(VLOOKUP(D23,Lists!$A:$B,2,0),"")</f>
      </c>
      <c r="F23" s="10">
        <v>10</v>
      </c>
      <c r="G23" s="11">
        <f>=SUMIF($C$16:$C$501,C23,$F$16:$F$501)</f>
      </c>
      <c r="H23" s="12">
        <f>=F23/3600</f>
      </c>
      <c r="I23" s="13">
        <f>=IFERROR(INDEX(Lists!$C:$C,MATCH(J23,Lists!$D:$D,0)),"")</f>
      </c>
      <c r="J23" s="15">
        <f>=IFERROR(INDEX($J$16:J22,MATCH(C23,$C$16:C22,0)),"")</f>
      </c>
    </row>
    <row r="24" ht="18" customHeight="1" spans="1:10" x14ac:dyDescent="0.25">
      <c r="A24" s="8" t="s">
        <v>49</v>
      </c>
      <c r="B24" s="8" t="s">
        <v>17</v>
      </c>
      <c r="C24" s="8" t="s">
        <v>53</v>
      </c>
      <c r="D24" s="8" t="s">
        <v>54</v>
      </c>
      <c r="E24" s="9">
        <f>=IFERROR(VLOOKUP(D24,Lists!$A:$B,2,0),"")</f>
      </c>
      <c r="F24" s="10">
        <v>20</v>
      </c>
      <c r="G24" s="11">
        <f>=SUMIF($C$16:$C$501,C24,$F$16:$F$501)</f>
      </c>
      <c r="H24" s="12">
        <f>=F24/3600</f>
      </c>
      <c r="I24" s="13">
        <f>=IFERROR(INDEX(Lists!$C:$C,MATCH(J24,Lists!$D:$D,0)),"")</f>
      </c>
      <c r="J24" s="15" t="s">
        <v>17</v>
      </c>
    </row>
    <row r="25" ht="18" customHeight="1" spans="1:10" x14ac:dyDescent="0.25">
      <c r="A25" s="8" t="s">
        <v>55</v>
      </c>
      <c r="B25" s="8">
        <v>4</v>
      </c>
      <c r="C25" s="8" t="s">
        <v>56</v>
      </c>
      <c r="D25" s="8" t="s">
        <v>57</v>
      </c>
      <c r="E25" s="9">
        <f>=IFERROR(VLOOKUP(D25,Lists!$A:$B,2,0),"")</f>
      </c>
      <c r="F25" s="10">
        <v>10</v>
      </c>
      <c r="G25" s="11">
        <f>=SUMIF($C$16:$C$501,C25,$F$16:$F$501)</f>
      </c>
      <c r="H25" s="12">
        <f>=F25/3600</f>
      </c>
      <c r="I25" s="13">
        <f>=IFERROR(INDEX(Lists!$C:$C,MATCH(J25,Lists!$D:$D,0)),"")</f>
      </c>
      <c r="J25" s="15" t="s">
        <v>17</v>
      </c>
    </row>
    <row r="26" ht="18" customHeight="1" spans="1:10" x14ac:dyDescent="0.25">
      <c r="A26" s="8" t="s">
        <v>55</v>
      </c>
      <c r="B26" s="8" t="s">
        <v>17</v>
      </c>
      <c r="C26" s="8" t="s">
        <v>58</v>
      </c>
      <c r="D26" s="8" t="s">
        <v>59</v>
      </c>
      <c r="E26" s="9">
        <f>=IFERROR(VLOOKUP(D26,Lists!$A:$B,2,0),"")</f>
      </c>
      <c r="F26" s="10">
        <v>15</v>
      </c>
      <c r="G26" s="11">
        <f>=SUMIF($C$16:$C$501,C26,$F$16:$F$501)</f>
      </c>
      <c r="H26" s="12">
        <f>=F26/3600</f>
      </c>
      <c r="I26" s="13">
        <f>=IFERROR(INDEX(Lists!$C:$C,MATCH(J26,Lists!$D:$D,0)),"")</f>
      </c>
      <c r="J26" s="15" t="s">
        <v>17</v>
      </c>
    </row>
    <row r="27" ht="18" customHeight="1" spans="1:10" x14ac:dyDescent="0.25">
      <c r="A27" s="8"/>
      <c r="B27" s="8"/>
      <c r="C27" s="8"/>
      <c r="D27" s="8"/>
      <c r="E27" s="9">
        <f>=IFERROR(VLOOKUP(D27,Lists!$A:$B,2,0),"")</f>
      </c>
      <c r="F27" s="10"/>
      <c r="G27" s="11">
        <f>=SUMIF($C$16:$C$501,C27,$F$16:$F$501)</f>
      </c>
      <c r="H27" s="12">
        <f>=F27/3600</f>
      </c>
      <c r="I27" s="13">
        <f>=IFERROR(INDEX(Lists!$C:$C,MATCH(J27,Lists!$D:$D,0)),"")</f>
      </c>
      <c r="J27" s="15">
        <f>=IFERROR(INDEX($J$16:J26,MATCH(C27,$C$16:C26,0)),"")</f>
      </c>
    </row>
    <row r="28" ht="18" customHeight="1" spans="1:10" x14ac:dyDescent="0.25">
      <c r="A28" s="8"/>
      <c r="B28" s="8"/>
      <c r="C28" s="8"/>
      <c r="D28" s="8"/>
      <c r="E28" s="9">
        <f>=IFERROR(VLOOKUP(D28,Lists!$A:$B,2,0),"")</f>
      </c>
      <c r="F28" s="10"/>
      <c r="G28" s="11">
        <f>=SUMIF($C$16:$C$501,C28,$F$16:$F$501)</f>
      </c>
      <c r="H28" s="12">
        <f>=F28/3600</f>
      </c>
      <c r="I28" s="13">
        <f>=IFERROR(INDEX(Lists!$C:$C,MATCH(J28,Lists!$D:$D,0)),"")</f>
      </c>
      <c r="J28" s="15">
        <f>=IFERROR(INDEX($J$16:J27,MATCH(C28,$C$16:C27,0)),"")</f>
      </c>
    </row>
    <row r="29" ht="18" customHeight="1" spans="1:10" x14ac:dyDescent="0.25">
      <c r="A29" s="8"/>
      <c r="B29" s="8"/>
      <c r="C29" s="8"/>
      <c r="D29" s="8"/>
      <c r="E29" s="9">
        <f>=IFERROR(VLOOKUP(D29,Lists!$A:$B,2,0),"")</f>
      </c>
      <c r="F29" s="10"/>
      <c r="G29" s="11">
        <f>=SUMIF($C$16:$C$501,C29,$F$16:$F$501)</f>
      </c>
      <c r="H29" s="12">
        <f>=F29/3600</f>
      </c>
      <c r="I29" s="13">
        <f>=IFERROR(INDEX(Lists!$C:$C,MATCH(J29,Lists!$D:$D,0)),"")</f>
      </c>
      <c r="J29" s="15">
        <f>=IFERROR(INDEX($J$16:J28,MATCH(C29,$C$16:C28,0)),"")</f>
      </c>
    </row>
    <row r="30" ht="18" customHeight="1" spans="1:10" x14ac:dyDescent="0.25">
      <c r="A30" s="8"/>
      <c r="B30" s="8"/>
      <c r="C30" s="8"/>
      <c r="D30" s="8"/>
      <c r="E30" s="9">
        <f>=IFERROR(VLOOKUP(D30,Lists!$A:$B,2,0),"")</f>
      </c>
      <c r="F30" s="10"/>
      <c r="G30" s="11">
        <f>=SUMIF($C$16:$C$501,C30,$F$16:$F$501)</f>
      </c>
      <c r="H30" s="12">
        <f>=F30/3600</f>
      </c>
      <c r="I30" s="13">
        <f>=IFERROR(INDEX(Lists!$C:$C,MATCH(J30,Lists!$D:$D,0)),"")</f>
      </c>
      <c r="J30" s="15">
        <f>=IFERROR(INDEX($J$16:J29,MATCH(C30,$C$16:C29,0)),"")</f>
      </c>
    </row>
    <row r="31" ht="18" customHeight="1" spans="1:10" x14ac:dyDescent="0.25">
      <c r="A31" s="8"/>
      <c r="B31" s="8"/>
      <c r="C31" s="8"/>
      <c r="D31" s="8"/>
      <c r="E31" s="9">
        <f>=IFERROR(VLOOKUP(D31,Lists!$A:$B,2,0),"")</f>
      </c>
      <c r="F31" s="10"/>
      <c r="G31" s="11">
        <f>=SUMIF($C$16:$C$501,C31,$F$16:$F$501)</f>
      </c>
      <c r="H31" s="12">
        <f>=F31/3600</f>
      </c>
      <c r="I31" s="13">
        <f>=IFERROR(INDEX(Lists!$C:$C,MATCH(J31,Lists!$D:$D,0)),"")</f>
      </c>
      <c r="J31" s="15">
        <f>=IFERROR(INDEX($J$16:J30,MATCH(C31,$C$16:C30,0)),"")</f>
      </c>
    </row>
    <row r="32" ht="18" customHeight="1" spans="1:10" x14ac:dyDescent="0.25">
      <c r="A32" s="8"/>
      <c r="B32" s="8"/>
      <c r="C32" s="8"/>
      <c r="D32" s="8"/>
      <c r="E32" s="9">
        <f>=IFERROR(VLOOKUP(D32,Lists!$A:$B,2,0),"")</f>
      </c>
      <c r="F32" s="10"/>
      <c r="G32" s="11">
        <f>=SUMIF($C$16:$C$501,C32,$F$16:$F$501)</f>
      </c>
      <c r="H32" s="12">
        <f>=F32/3600</f>
      </c>
      <c r="I32" s="13">
        <f>=IFERROR(INDEX(Lists!$C:$C,MATCH(J32,Lists!$D:$D,0)),"")</f>
      </c>
      <c r="J32" s="15">
        <f>=IFERROR(INDEX($J$16:J31,MATCH(C32,$C$16:C31,0)),"")</f>
      </c>
    </row>
    <row r="33" ht="18" customHeight="1" spans="1:10" x14ac:dyDescent="0.25">
      <c r="A33" s="8"/>
      <c r="B33" s="8"/>
      <c r="C33" s="8"/>
      <c r="D33" s="8"/>
      <c r="E33" s="9">
        <f>=IFERROR(VLOOKUP(D33,Lists!$A:$B,2,0),"")</f>
      </c>
      <c r="F33" s="10"/>
      <c r="G33" s="11">
        <f>=SUMIF($C$16:$C$501,C33,$F$16:$F$501)</f>
      </c>
      <c r="H33" s="12">
        <f>=F33/3600</f>
      </c>
      <c r="I33" s="13">
        <f>=IFERROR(INDEX(Lists!$C:$C,MATCH(J33,Lists!$D:$D,0)),"")</f>
      </c>
      <c r="J33" s="15">
        <f>=IFERROR(INDEX($J$16:J32,MATCH(C33,$C$16:C32,0)),"")</f>
      </c>
    </row>
    <row r="34" ht="18" customHeight="1" spans="1:10" x14ac:dyDescent="0.25">
      <c r="A34" s="8"/>
      <c r="B34" s="8"/>
      <c r="C34" s="8"/>
      <c r="D34" s="8"/>
      <c r="E34" s="9">
        <f>=IFERROR(VLOOKUP(D34,Lists!$A:$B,2,0),"")</f>
      </c>
      <c r="F34" s="10"/>
      <c r="G34" s="11">
        <f>=SUMIF($C$16:$C$501,C34,$F$16:$F$501)</f>
      </c>
      <c r="H34" s="12">
        <f>=F34/3600</f>
      </c>
      <c r="I34" s="13">
        <f>=IFERROR(INDEX(Lists!$C:$C,MATCH(J34,Lists!$D:$D,0)),"")</f>
      </c>
      <c r="J34" s="15">
        <f>=IFERROR(INDEX($J$16:J33,MATCH(C34,$C$16:C33,0)),"")</f>
      </c>
    </row>
    <row r="35" ht="18" customHeight="1" spans="1:10" x14ac:dyDescent="0.25">
      <c r="A35" s="8"/>
      <c r="B35" s="8"/>
      <c r="C35" s="8"/>
      <c r="D35" s="8"/>
      <c r="E35" s="9">
        <f>=IFERROR(VLOOKUP(D35,Lists!$A:$B,2,0),"")</f>
      </c>
      <c r="F35" s="10"/>
      <c r="G35" s="11">
        <f>=SUMIF($C$16:$C$501,C35,$F$16:$F$501)</f>
      </c>
      <c r="H35" s="12">
        <f>=F35/3600</f>
      </c>
      <c r="I35" s="13">
        <f>=IFERROR(INDEX(Lists!$C:$C,MATCH(J35,Lists!$D:$D,0)),"")</f>
      </c>
      <c r="J35" s="15">
        <f>=IFERROR(INDEX($J$16:J34,MATCH(C35,$C$16:C34,0)),"")</f>
      </c>
    </row>
    <row r="36" ht="18" customHeight="1" spans="1:10" x14ac:dyDescent="0.25">
      <c r="A36" s="8"/>
      <c r="B36" s="8"/>
      <c r="C36" s="8"/>
      <c r="D36" s="8"/>
      <c r="E36" s="9">
        <f>=IFERROR(VLOOKUP(D36,Lists!$A:$B,2,0),"")</f>
      </c>
      <c r="F36" s="10"/>
      <c r="G36" s="11">
        <f>=SUMIF($C$16:$C$501,C36,$F$16:$F$501)</f>
      </c>
      <c r="H36" s="12">
        <f>=F36/3600</f>
      </c>
      <c r="I36" s="13">
        <f>=IFERROR(INDEX(Lists!$C:$C,MATCH(J36,Lists!$D:$D,0)),"")</f>
      </c>
      <c r="J36" s="15">
        <f>=IFERROR(INDEX($J$16:J35,MATCH(C36,$C$16:C35,0)),"")</f>
      </c>
    </row>
    <row r="37" ht="18" customHeight="1" spans="1:10" x14ac:dyDescent="0.25">
      <c r="A37" s="8"/>
      <c r="B37" s="8"/>
      <c r="C37" s="8"/>
      <c r="D37" s="8"/>
      <c r="E37" s="9">
        <f>=IFERROR(VLOOKUP(D37,Lists!$A:$B,2,0),"")</f>
      </c>
      <c r="F37" s="10"/>
      <c r="G37" s="11">
        <f>=SUMIF($C$16:$C$501,C37,$F$16:$F$501)</f>
      </c>
      <c r="H37" s="12">
        <f>=F37/3600</f>
      </c>
      <c r="I37" s="13">
        <f>=IFERROR(INDEX(Lists!$C:$C,MATCH(J37,Lists!$D:$D,0)),"")</f>
      </c>
      <c r="J37" s="15">
        <f>=IFERROR(INDEX($J$16:J36,MATCH(C37,$C$16:C36,0)),"")</f>
      </c>
    </row>
    <row r="38" ht="18" customHeight="1" spans="1:10" x14ac:dyDescent="0.25">
      <c r="A38" s="8"/>
      <c r="B38" s="8"/>
      <c r="C38" s="8"/>
      <c r="D38" s="8"/>
      <c r="E38" s="9">
        <f>=IFERROR(VLOOKUP(D38,Lists!$A:$B,2,0),"")</f>
      </c>
      <c r="F38" s="10"/>
      <c r="G38" s="11">
        <f>=SUMIF($C$16:$C$501,C38,$F$16:$F$501)</f>
      </c>
      <c r="H38" s="12">
        <f>=F38/3600</f>
      </c>
      <c r="I38" s="13">
        <f>=IFERROR(INDEX(Lists!$C:$C,MATCH(J38,Lists!$D:$D,0)),"")</f>
      </c>
      <c r="J38" s="15">
        <f>=IFERROR(INDEX($J$16:J37,MATCH(C38,$C$16:C37,0)),"")</f>
      </c>
    </row>
    <row r="39" ht="18" customHeight="1" spans="1:10" x14ac:dyDescent="0.25">
      <c r="A39" s="8"/>
      <c r="B39" s="8"/>
      <c r="C39" s="8"/>
      <c r="D39" s="8"/>
      <c r="E39" s="9">
        <f>=IFERROR(VLOOKUP(D39,Lists!$A:$B,2,0),"")</f>
      </c>
      <c r="F39" s="10"/>
      <c r="G39" s="11">
        <f>=SUMIF($C$16:$C$501,C39,$F$16:$F$501)</f>
      </c>
      <c r="H39" s="12">
        <f>=F39/3600</f>
      </c>
      <c r="I39" s="13">
        <f>=IFERROR(INDEX(Lists!$C:$C,MATCH(J39,Lists!$D:$D,0)),"")</f>
      </c>
      <c r="J39" s="15">
        <f>=IFERROR(INDEX($J$16:J38,MATCH(C39,$C$16:C38,0)),"")</f>
      </c>
    </row>
    <row r="40" ht="18" customHeight="1" spans="1:10" x14ac:dyDescent="0.25">
      <c r="A40" s="8"/>
      <c r="B40" s="8"/>
      <c r="C40" s="8"/>
      <c r="D40" s="8"/>
      <c r="E40" s="9">
        <f>=IFERROR(VLOOKUP(D40,Lists!$A:$B,2,0),"")</f>
      </c>
      <c r="F40" s="10"/>
      <c r="G40" s="11">
        <f>=SUMIF($C$16:$C$501,C40,$F$16:$F$501)</f>
      </c>
      <c r="H40" s="12">
        <f>=F40/3600</f>
      </c>
      <c r="I40" s="13">
        <f>=IFERROR(INDEX(Lists!$C:$C,MATCH(J40,Lists!$D:$D,0)),"")</f>
      </c>
      <c r="J40" s="15">
        <f>=IFERROR(INDEX($J$16:J39,MATCH(C40,$C$16:C39,0)),"")</f>
      </c>
    </row>
    <row r="41" ht="18" customHeight="1" spans="1:10" x14ac:dyDescent="0.25">
      <c r="A41" s="8"/>
      <c r="B41" s="8"/>
      <c r="C41" s="8"/>
      <c r="D41" s="8"/>
      <c r="E41" s="9">
        <f>=IFERROR(VLOOKUP(D41,Lists!$A:$B,2,0),"")</f>
      </c>
      <c r="F41" s="10"/>
      <c r="G41" s="11">
        <f>=SUMIF($C$16:$C$501,C41,$F$16:$F$501)</f>
      </c>
      <c r="H41" s="12">
        <f>=F41/3600</f>
      </c>
      <c r="I41" s="13">
        <f>=IFERROR(INDEX(Lists!$C:$C,MATCH(J41,Lists!$D:$D,0)),"")</f>
      </c>
      <c r="J41" s="15">
        <f>=IFERROR(INDEX($J$16:J40,MATCH(C41,$C$16:C40,0)),"")</f>
      </c>
    </row>
    <row r="42" ht="18" customHeight="1" spans="1:10" x14ac:dyDescent="0.25">
      <c r="A42" s="8"/>
      <c r="B42" s="8"/>
      <c r="C42" s="8"/>
      <c r="D42" s="8"/>
      <c r="E42" s="9">
        <f>=IFERROR(VLOOKUP(D42,Lists!$A:$B,2,0),"")</f>
      </c>
      <c r="F42" s="10"/>
      <c r="G42" s="11">
        <f>=SUMIF($C$16:$C$501,C42,$F$16:$F$501)</f>
      </c>
      <c r="H42" s="12">
        <f>=F42/3600</f>
      </c>
      <c r="I42" s="13">
        <f>=IFERROR(INDEX(Lists!$C:$C,MATCH(J42,Lists!$D:$D,0)),"")</f>
      </c>
      <c r="J42" s="15">
        <f>=IFERROR(INDEX($J$16:J41,MATCH(C42,$C$16:C41,0)),"")</f>
      </c>
    </row>
    <row r="43" ht="18" customHeight="1" spans="1:10" x14ac:dyDescent="0.25">
      <c r="A43" s="8"/>
      <c r="B43" s="8"/>
      <c r="C43" s="8"/>
      <c r="D43" s="8"/>
      <c r="E43" s="9">
        <f>=IFERROR(VLOOKUP(D43,Lists!$A:$B,2,0),"")</f>
      </c>
      <c r="F43" s="10"/>
      <c r="G43" s="11">
        <f>=SUMIF($C$16:$C$501,C43,$F$16:$F$501)</f>
      </c>
      <c r="H43" s="12">
        <f>=F43/3600</f>
      </c>
      <c r="I43" s="13">
        <f>=IFERROR(INDEX(Lists!$C:$C,MATCH(J43,Lists!$D:$D,0)),"")</f>
      </c>
      <c r="J43" s="15">
        <f>=IFERROR(INDEX($J$16:J42,MATCH(C43,$C$16:C42,0)),"")</f>
      </c>
    </row>
    <row r="44" ht="18" customHeight="1" spans="1:10" x14ac:dyDescent="0.25">
      <c r="A44" s="8"/>
      <c r="B44" s="8"/>
      <c r="C44" s="8"/>
      <c r="D44" s="8"/>
      <c r="E44" s="9">
        <f>=IFERROR(VLOOKUP(D44,Lists!$A:$B,2,0),"")</f>
      </c>
      <c r="F44" s="10"/>
      <c r="G44" s="11">
        <f>=SUMIF($C$16:$C$501,C44,$F$16:$F$501)</f>
      </c>
      <c r="H44" s="12">
        <f>=F44/3600</f>
      </c>
      <c r="I44" s="13">
        <f>=IFERROR(INDEX(Lists!$C:$C,MATCH(J44,Lists!$D:$D,0)),"")</f>
      </c>
      <c r="J44" s="15">
        <f>=IFERROR(INDEX($J$16:J43,MATCH(C44,$C$16:C43,0)),"")</f>
      </c>
    </row>
    <row r="45" ht="18" customHeight="1" spans="1:10" x14ac:dyDescent="0.25">
      <c r="A45" s="8"/>
      <c r="B45" s="8"/>
      <c r="C45" s="8"/>
      <c r="D45" s="8"/>
      <c r="E45" s="9">
        <f>=IFERROR(VLOOKUP(D45,Lists!$A:$B,2,0),"")</f>
      </c>
      <c r="F45" s="10"/>
      <c r="G45" s="11">
        <f>=SUMIF($C$16:$C$501,C45,$F$16:$F$501)</f>
      </c>
      <c r="H45" s="12">
        <f>=F45/3600</f>
      </c>
      <c r="I45" s="13">
        <f>=IFERROR(INDEX(Lists!$C:$C,MATCH(J45,Lists!$D:$D,0)),"")</f>
      </c>
      <c r="J45" s="15">
        <f>=IFERROR(INDEX($J$16:J44,MATCH(C45,$C$16:C44,0)),"")</f>
      </c>
    </row>
    <row r="46" ht="18" customHeight="1" spans="1:10" x14ac:dyDescent="0.25">
      <c r="A46" s="8"/>
      <c r="B46" s="8"/>
      <c r="C46" s="8"/>
      <c r="D46" s="8"/>
      <c r="E46" s="9">
        <f>=IFERROR(VLOOKUP(D46,Lists!$A:$B,2,0),"")</f>
      </c>
      <c r="F46" s="10"/>
      <c r="G46" s="11">
        <f>=SUMIF($C$16:$C$501,C46,$F$16:$F$501)</f>
      </c>
      <c r="H46" s="12">
        <f>=F46/3600</f>
      </c>
      <c r="I46" s="13">
        <f>=IFERROR(INDEX(Lists!$C:$C,MATCH(J46,Lists!$D:$D,0)),"")</f>
      </c>
      <c r="J46" s="15">
        <f>=IFERROR(INDEX($J$16:J45,MATCH(C46,$C$16:C45,0)),"")</f>
      </c>
    </row>
    <row r="47" ht="18" customHeight="1" spans="1:10" x14ac:dyDescent="0.25">
      <c r="A47" s="8"/>
      <c r="B47" s="8"/>
      <c r="C47" s="8"/>
      <c r="D47" s="8"/>
      <c r="E47" s="9">
        <f>=IFERROR(VLOOKUP(D47,Lists!$A:$B,2,0),"")</f>
      </c>
      <c r="F47" s="10"/>
      <c r="G47" s="11">
        <f>=SUMIF($C$16:$C$501,C47,$F$16:$F$501)</f>
      </c>
      <c r="H47" s="12">
        <f>=F47/3600</f>
      </c>
      <c r="I47" s="13">
        <f>=IFERROR(INDEX(Lists!$C:$C,MATCH(J47,Lists!$D:$D,0)),"")</f>
      </c>
      <c r="J47" s="15">
        <f>=IFERROR(INDEX($J$16:J46,MATCH(C47,$C$16:C46,0)),"")</f>
      </c>
    </row>
    <row r="48" ht="18" customHeight="1" spans="1:10" x14ac:dyDescent="0.25">
      <c r="A48" s="8"/>
      <c r="B48" s="8"/>
      <c r="C48" s="8"/>
      <c r="D48" s="8"/>
      <c r="E48" s="9">
        <f>=IFERROR(VLOOKUP(D48,Lists!$A:$B,2,0),"")</f>
      </c>
      <c r="F48" s="10"/>
      <c r="G48" s="11">
        <f>=SUMIF($C$16:$C$501,C48,$F$16:$F$501)</f>
      </c>
      <c r="H48" s="12">
        <f>=F48/3600</f>
      </c>
      <c r="I48" s="13">
        <f>=IFERROR(INDEX(Lists!$C:$C,MATCH(J48,Lists!$D:$D,0)),"")</f>
      </c>
      <c r="J48" s="15">
        <f>=IFERROR(INDEX($J$16:J47,MATCH(C48,$C$16:C47,0)),"")</f>
      </c>
    </row>
    <row r="49" ht="18" customHeight="1" spans="1:10" x14ac:dyDescent="0.25">
      <c r="A49" s="8"/>
      <c r="B49" s="8"/>
      <c r="C49" s="8"/>
      <c r="D49" s="8"/>
      <c r="E49" s="9">
        <f>=IFERROR(VLOOKUP(D49,Lists!$A:$B,2,0),"")</f>
      </c>
      <c r="F49" s="10"/>
      <c r="G49" s="11">
        <f>=SUMIF($C$16:$C$501,C49,$F$16:$F$501)</f>
      </c>
      <c r="H49" s="12">
        <f>=F49/3600</f>
      </c>
      <c r="I49" s="13">
        <f>=IFERROR(INDEX(Lists!$C:$C,MATCH(J49,Lists!$D:$D,0)),"")</f>
      </c>
      <c r="J49" s="15">
        <f>=IFERROR(INDEX($J$16:J48,MATCH(C49,$C$16:C48,0)),"")</f>
      </c>
    </row>
    <row r="50" ht="18" customHeight="1" spans="1:10" x14ac:dyDescent="0.25">
      <c r="A50" s="8"/>
      <c r="B50" s="8"/>
      <c r="C50" s="8"/>
      <c r="D50" s="8"/>
      <c r="E50" s="9">
        <f>=IFERROR(VLOOKUP(D50,Lists!$A:$B,2,0),"")</f>
      </c>
      <c r="F50" s="10"/>
      <c r="G50" s="11">
        <f>=SUMIF($C$16:$C$501,C50,$F$16:$F$501)</f>
      </c>
      <c r="H50" s="12">
        <f>=F50/3600</f>
      </c>
      <c r="I50" s="13">
        <f>=IFERROR(INDEX(Lists!$C:$C,MATCH(J50,Lists!$D:$D,0)),"")</f>
      </c>
      <c r="J50" s="15">
        <f>=IFERROR(INDEX($J$16:J49,MATCH(C50,$C$16:C49,0)),"")</f>
      </c>
    </row>
    <row r="51" ht="18" customHeight="1" spans="1:10" x14ac:dyDescent="0.25">
      <c r="A51" s="8"/>
      <c r="B51" s="8"/>
      <c r="C51" s="8"/>
      <c r="D51" s="8"/>
      <c r="E51" s="9">
        <f>=IFERROR(VLOOKUP(D51,Lists!$A:$B,2,0),"")</f>
      </c>
      <c r="F51" s="10"/>
      <c r="G51" s="11">
        <f>=SUMIF($C$16:$C$501,C51,$F$16:$F$501)</f>
      </c>
      <c r="H51" s="12">
        <f>=F51/3600</f>
      </c>
      <c r="I51" s="13">
        <f>=IFERROR(INDEX(Lists!$C:$C,MATCH(J51,Lists!$D:$D,0)),"")</f>
      </c>
      <c r="J51" s="15">
        <f>=IFERROR(INDEX($J$16:J50,MATCH(C51,$C$16:C50,0)),"")</f>
      </c>
    </row>
    <row r="52" ht="18" customHeight="1" spans="1:10" x14ac:dyDescent="0.25">
      <c r="A52" s="8"/>
      <c r="B52" s="8"/>
      <c r="C52" s="8"/>
      <c r="D52" s="8"/>
      <c r="E52" s="9">
        <f>=IFERROR(VLOOKUP(D52,Lists!$A:$B,2,0),"")</f>
      </c>
      <c r="F52" s="10"/>
      <c r="G52" s="11">
        <f>=SUMIF($C$16:$C$501,C52,$F$16:$F$501)</f>
      </c>
      <c r="H52" s="12">
        <f>=F52/3600</f>
      </c>
      <c r="I52" s="13">
        <f>=IFERROR(INDEX(Lists!$C:$C,MATCH(J52,Lists!$D:$D,0)),"")</f>
      </c>
      <c r="J52" s="15">
        <f>=IFERROR(INDEX($J$16:J51,MATCH(C52,$C$16:C51,0)),"")</f>
      </c>
    </row>
    <row r="53" ht="18" customHeight="1" spans="1:10" x14ac:dyDescent="0.25">
      <c r="A53" s="8"/>
      <c r="B53" s="8"/>
      <c r="C53" s="8"/>
      <c r="D53" s="8"/>
      <c r="E53" s="9">
        <f>=IFERROR(VLOOKUP(D53,Lists!$A:$B,2,0),"")</f>
      </c>
      <c r="F53" s="10"/>
      <c r="G53" s="11">
        <f>=SUMIF($C$16:$C$501,C53,$F$16:$F$501)</f>
      </c>
      <c r="H53" s="12">
        <f>=F53/3600</f>
      </c>
      <c r="I53" s="13">
        <f>=IFERROR(INDEX(Lists!$C:$C,MATCH(J53,Lists!$D:$D,0)),"")</f>
      </c>
      <c r="J53" s="15">
        <f>=IFERROR(INDEX($J$16:J52,MATCH(C53,$C$16:C52,0)),"")</f>
      </c>
    </row>
    <row r="54" ht="18" customHeight="1" spans="1:10" x14ac:dyDescent="0.25">
      <c r="A54" s="8"/>
      <c r="B54" s="8"/>
      <c r="C54" s="8"/>
      <c r="D54" s="8"/>
      <c r="E54" s="9">
        <f>=IFERROR(VLOOKUP(D54,Lists!$A:$B,2,0),"")</f>
      </c>
      <c r="F54" s="10"/>
      <c r="G54" s="11">
        <f>=SUMIF($C$16:$C$501,C54,$F$16:$F$501)</f>
      </c>
      <c r="H54" s="12">
        <f>=F54/3600</f>
      </c>
      <c r="I54" s="13">
        <f>=IFERROR(INDEX(Lists!$C:$C,MATCH(J54,Lists!$D:$D,0)),"")</f>
      </c>
      <c r="J54" s="15">
        <f>=IFERROR(INDEX($J$16:J53,MATCH(C54,$C$16:C53,0)),"")</f>
      </c>
    </row>
    <row r="55" ht="18" customHeight="1" spans="1:10" x14ac:dyDescent="0.25">
      <c r="A55" s="8"/>
      <c r="B55" s="8"/>
      <c r="C55" s="8"/>
      <c r="D55" s="8"/>
      <c r="E55" s="9">
        <f>=IFERROR(VLOOKUP(D55,Lists!$A:$B,2,0),"")</f>
      </c>
      <c r="F55" s="10"/>
      <c r="G55" s="11">
        <f>=SUMIF($C$16:$C$501,C55,$F$16:$F$501)</f>
      </c>
      <c r="H55" s="12">
        <f>=F55/3600</f>
      </c>
      <c r="I55" s="13">
        <f>=IFERROR(INDEX(Lists!$C:$C,MATCH(J55,Lists!$D:$D,0)),"")</f>
      </c>
      <c r="J55" s="15">
        <f>=IFERROR(INDEX($J$16:J54,MATCH(C55,$C$16:C54,0)),"")</f>
      </c>
    </row>
    <row r="56" ht="18" customHeight="1" spans="1:10" x14ac:dyDescent="0.25">
      <c r="A56" s="8"/>
      <c r="B56" s="8"/>
      <c r="C56" s="8"/>
      <c r="D56" s="8"/>
      <c r="E56" s="9">
        <f>=IFERROR(VLOOKUP(D56,Lists!$A:$B,2,0),"")</f>
      </c>
      <c r="F56" s="10"/>
      <c r="G56" s="11">
        <f>=SUMIF($C$16:$C$501,C56,$F$16:$F$501)</f>
      </c>
      <c r="H56" s="12">
        <f>=F56/3600</f>
      </c>
      <c r="I56" s="13">
        <f>=IFERROR(INDEX(Lists!$C:$C,MATCH(J56,Lists!$D:$D,0)),"")</f>
      </c>
      <c r="J56" s="15">
        <f>=IFERROR(INDEX($J$16:J55,MATCH(C56,$C$16:C55,0)),"")</f>
      </c>
    </row>
    <row r="57" ht="18" customHeight="1" spans="1:10" x14ac:dyDescent="0.25">
      <c r="A57" s="8"/>
      <c r="B57" s="8"/>
      <c r="C57" s="8"/>
      <c r="D57" s="8"/>
      <c r="E57" s="9">
        <f>=IFERROR(VLOOKUP(D57,Lists!$A:$B,2,0),"")</f>
      </c>
      <c r="F57" s="10"/>
      <c r="G57" s="11">
        <f>=SUMIF($C$16:$C$501,C57,$F$16:$F$501)</f>
      </c>
      <c r="H57" s="12">
        <f>=F57/3600</f>
      </c>
      <c r="I57" s="13">
        <f>=IFERROR(INDEX(Lists!$C:$C,MATCH(J57,Lists!$D:$D,0)),"")</f>
      </c>
      <c r="J57" s="15">
        <f>=IFERROR(INDEX($J$16:J56,MATCH(C57,$C$16:C56,0)),"")</f>
      </c>
    </row>
    <row r="58" ht="18" customHeight="1" spans="1:10" x14ac:dyDescent="0.25">
      <c r="A58" s="8"/>
      <c r="B58" s="8"/>
      <c r="C58" s="8"/>
      <c r="D58" s="8"/>
      <c r="E58" s="9">
        <f>=IFERROR(VLOOKUP(D58,Lists!$A:$B,2,0),"")</f>
      </c>
      <c r="F58" s="10"/>
      <c r="G58" s="11">
        <f>=SUMIF($C$16:$C$501,C58,$F$16:$F$501)</f>
      </c>
      <c r="H58" s="12">
        <f>=F58/3600</f>
      </c>
      <c r="I58" s="13">
        <f>=IFERROR(INDEX(Lists!$C:$C,MATCH(J58,Lists!$D:$D,0)),"")</f>
      </c>
      <c r="J58" s="15">
        <f>=IFERROR(INDEX($J$16:J57,MATCH(C58,$C$16:C57,0)),"")</f>
      </c>
    </row>
    <row r="59" ht="18" customHeight="1" spans="1:10" x14ac:dyDescent="0.25">
      <c r="A59" s="8"/>
      <c r="B59" s="8"/>
      <c r="C59" s="8"/>
      <c r="D59" s="8"/>
      <c r="E59" s="9">
        <f>=IFERROR(VLOOKUP(D59,Lists!$A:$B,2,0),"")</f>
      </c>
      <c r="F59" s="10"/>
      <c r="G59" s="11">
        <f>=SUMIF($C$16:$C$501,C59,$F$16:$F$501)</f>
      </c>
      <c r="H59" s="12">
        <f>=F59/3600</f>
      </c>
      <c r="I59" s="13">
        <f>=IFERROR(INDEX(Lists!$C:$C,MATCH(J59,Lists!$D:$D,0)),"")</f>
      </c>
      <c r="J59" s="15">
        <f>=IFERROR(INDEX($J$16:J58,MATCH(C59,$C$16:C58,0)),"")</f>
      </c>
    </row>
    <row r="60" ht="18" customHeight="1" spans="1:10" x14ac:dyDescent="0.25">
      <c r="A60" s="8"/>
      <c r="B60" s="8"/>
      <c r="C60" s="8"/>
      <c r="D60" s="8"/>
      <c r="E60" s="9">
        <f>=IFERROR(VLOOKUP(D60,Lists!$A:$B,2,0),"")</f>
      </c>
      <c r="F60" s="10"/>
      <c r="G60" s="11">
        <f>=SUMIF($C$16:$C$501,C60,$F$16:$F$501)</f>
      </c>
      <c r="H60" s="12">
        <f>=F60/3600</f>
      </c>
      <c r="I60" s="13">
        <f>=IFERROR(INDEX(Lists!$C:$C,MATCH(J60,Lists!$D:$D,0)),"")</f>
      </c>
      <c r="J60" s="15">
        <f>=IFERROR(INDEX($J$16:J59,MATCH(C60,$C$16:C59,0)),"")</f>
      </c>
    </row>
    <row r="61" ht="18" customHeight="1" spans="1:10" x14ac:dyDescent="0.25">
      <c r="A61" s="8"/>
      <c r="B61" s="8"/>
      <c r="C61" s="8"/>
      <c r="D61" s="8"/>
      <c r="E61" s="9">
        <f>=IFERROR(VLOOKUP(D61,Lists!$A:$B,2,0),"")</f>
      </c>
      <c r="F61" s="10"/>
      <c r="G61" s="11">
        <f>=SUMIF($C$16:$C$501,C61,$F$16:$F$501)</f>
      </c>
      <c r="H61" s="12">
        <f>=F61/3600</f>
      </c>
      <c r="I61" s="13">
        <f>=IFERROR(INDEX(Lists!$C:$C,MATCH(J61,Lists!$D:$D,0)),"")</f>
      </c>
      <c r="J61" s="15">
        <f>=IFERROR(INDEX($J$16:J60,MATCH(C61,$C$16:C60,0)),"")</f>
      </c>
    </row>
    <row r="62" ht="18" customHeight="1" spans="1:10" x14ac:dyDescent="0.25">
      <c r="A62" s="8"/>
      <c r="B62" s="8"/>
      <c r="C62" s="8"/>
      <c r="D62" s="8"/>
      <c r="E62" s="9">
        <f>=IFERROR(VLOOKUP(D62,Lists!$A:$B,2,0),"")</f>
      </c>
      <c r="F62" s="10"/>
      <c r="G62" s="11">
        <f>=SUMIF($C$16:$C$501,C62,$F$16:$F$501)</f>
      </c>
      <c r="H62" s="12">
        <f>=F62/3600</f>
      </c>
      <c r="I62" s="13">
        <f>=IFERROR(INDEX(Lists!$C:$C,MATCH(J62,Lists!$D:$D,0)),"")</f>
      </c>
      <c r="J62" s="15">
        <f>=IFERROR(INDEX($J$16:J61,MATCH(C62,$C$16:C61,0)),"")</f>
      </c>
    </row>
    <row r="63" ht="18" customHeight="1" spans="1:10" x14ac:dyDescent="0.25">
      <c r="A63" s="8"/>
      <c r="B63" s="8"/>
      <c r="C63" s="8"/>
      <c r="D63" s="8"/>
      <c r="E63" s="9">
        <f>=IFERROR(VLOOKUP(D63,Lists!$A:$B,2,0),"")</f>
      </c>
      <c r="F63" s="10"/>
      <c r="G63" s="11">
        <f>=SUMIF($C$16:$C$501,C63,$F$16:$F$501)</f>
      </c>
      <c r="H63" s="12">
        <f>=F63/3600</f>
      </c>
      <c r="I63" s="13">
        <f>=IFERROR(INDEX(Lists!$C:$C,MATCH(J63,Lists!$D:$D,0)),"")</f>
      </c>
      <c r="J63" s="15">
        <f>=IFERROR(INDEX($J$16:J62,MATCH(C63,$C$16:C62,0)),"")</f>
      </c>
    </row>
    <row r="64" ht="18" customHeight="1" spans="1:10" x14ac:dyDescent="0.25">
      <c r="A64" s="8"/>
      <c r="B64" s="8"/>
      <c r="C64" s="8"/>
      <c r="D64" s="8"/>
      <c r="E64" s="9">
        <f>=IFERROR(VLOOKUP(D64,Lists!$A:$B,2,0),"")</f>
      </c>
      <c r="F64" s="10"/>
      <c r="G64" s="11">
        <f>=SUMIF($C$16:$C$501,C64,$F$16:$F$501)</f>
      </c>
      <c r="H64" s="12">
        <f>=F64/3600</f>
      </c>
      <c r="I64" s="13">
        <f>=IFERROR(INDEX(Lists!$C:$C,MATCH(J64,Lists!$D:$D,0)),"")</f>
      </c>
      <c r="J64" s="15">
        <f>=IFERROR(INDEX($J$16:J63,MATCH(C64,$C$16:C63,0)),"")</f>
      </c>
    </row>
    <row r="65" ht="18" customHeight="1" spans="1:10" x14ac:dyDescent="0.25">
      <c r="A65" s="8"/>
      <c r="B65" s="8"/>
      <c r="C65" s="8"/>
      <c r="D65" s="8"/>
      <c r="E65" s="9">
        <f>=IFERROR(VLOOKUP(D65,Lists!$A:$B,2,0),"")</f>
      </c>
      <c r="F65" s="10"/>
      <c r="G65" s="11">
        <f>=SUMIF($C$16:$C$501,C65,$F$16:$F$501)</f>
      </c>
      <c r="H65" s="12">
        <f>=F65/3600</f>
      </c>
      <c r="I65" s="13">
        <f>=IFERROR(INDEX(Lists!$C:$C,MATCH(J65,Lists!$D:$D,0)),"")</f>
      </c>
      <c r="J65" s="15">
        <f>=IFERROR(INDEX($J$16:J64,MATCH(C65,$C$16:C64,0)),"")</f>
      </c>
    </row>
    <row r="66" ht="18" customHeight="1" spans="1:10" x14ac:dyDescent="0.25">
      <c r="A66" s="8"/>
      <c r="B66" s="8"/>
      <c r="C66" s="8"/>
      <c r="D66" s="8"/>
      <c r="E66" s="9">
        <f>=IFERROR(VLOOKUP(D66,Lists!$A:$B,2,0),"")</f>
      </c>
      <c r="F66" s="10"/>
      <c r="G66" s="11">
        <f>=SUMIF($C$16:$C$501,C66,$F$16:$F$501)</f>
      </c>
      <c r="H66" s="12">
        <f>=F66/3600</f>
      </c>
      <c r="I66" s="13">
        <f>=IFERROR(INDEX(Lists!$C:$C,MATCH(J66,Lists!$D:$D,0)),"")</f>
      </c>
      <c r="J66" s="15">
        <f>=IFERROR(INDEX($J$16:J65,MATCH(C66,$C$16:C65,0)),"")</f>
      </c>
    </row>
    <row r="67" ht="18" customHeight="1" spans="1:10" x14ac:dyDescent="0.25">
      <c r="A67" s="8"/>
      <c r="B67" s="8"/>
      <c r="C67" s="8"/>
      <c r="D67" s="8"/>
      <c r="E67" s="9">
        <f>=IFERROR(VLOOKUP(D67,Lists!$A:$B,2,0),"")</f>
      </c>
      <c r="F67" s="10"/>
      <c r="G67" s="11">
        <f>=SUMIF($C$16:$C$501,C67,$F$16:$F$501)</f>
      </c>
      <c r="H67" s="12">
        <f>=F67/3600</f>
      </c>
      <c r="I67" s="13">
        <f>=IFERROR(INDEX(Lists!$C:$C,MATCH(J67,Lists!$D:$D,0)),"")</f>
      </c>
      <c r="J67" s="15">
        <f>=IFERROR(INDEX($J$16:J66,MATCH(C67,$C$16:C66,0)),"")</f>
      </c>
    </row>
    <row r="68" ht="18" customHeight="1" spans="1:10" x14ac:dyDescent="0.25">
      <c r="A68" s="8"/>
      <c r="B68" s="8"/>
      <c r="C68" s="8"/>
      <c r="D68" s="8"/>
      <c r="E68" s="9">
        <f>=IFERROR(VLOOKUP(D68,Lists!$A:$B,2,0),"")</f>
      </c>
      <c r="F68" s="10"/>
      <c r="G68" s="11">
        <f>=SUMIF($C$16:$C$501,C68,$F$16:$F$501)</f>
      </c>
      <c r="H68" s="12">
        <f>=F68/3600</f>
      </c>
      <c r="I68" s="13">
        <f>=IFERROR(INDEX(Lists!$C:$C,MATCH(J68,Lists!$D:$D,0)),"")</f>
      </c>
      <c r="J68" s="15">
        <f>=IFERROR(INDEX($J$16:J67,MATCH(C68,$C$16:C67,0)),"")</f>
      </c>
    </row>
    <row r="69" ht="18" customHeight="1" spans="1:10" x14ac:dyDescent="0.25">
      <c r="A69" s="8"/>
      <c r="B69" s="8"/>
      <c r="C69" s="8"/>
      <c r="D69" s="8"/>
      <c r="E69" s="9">
        <f>=IFERROR(VLOOKUP(D69,Lists!$A:$B,2,0),"")</f>
      </c>
      <c r="F69" s="10"/>
      <c r="G69" s="11">
        <f>=SUMIF($C$16:$C$501,C69,$F$16:$F$501)</f>
      </c>
      <c r="H69" s="12">
        <f>=F69/3600</f>
      </c>
      <c r="I69" s="13">
        <f>=IFERROR(INDEX(Lists!$C:$C,MATCH(J69,Lists!$D:$D,0)),"")</f>
      </c>
      <c r="J69" s="15">
        <f>=IFERROR(INDEX($J$16:J68,MATCH(C69,$C$16:C68,0)),"")</f>
      </c>
    </row>
    <row r="70" ht="18" customHeight="1" spans="1:10" x14ac:dyDescent="0.25">
      <c r="A70" s="8"/>
      <c r="B70" s="8"/>
      <c r="C70" s="8"/>
      <c r="D70" s="8"/>
      <c r="E70" s="9">
        <f>=IFERROR(VLOOKUP(D70,Lists!$A:$B,2,0),"")</f>
      </c>
      <c r="F70" s="10"/>
      <c r="G70" s="11">
        <f>=SUMIF($C$16:$C$501,C70,$F$16:$F$501)</f>
      </c>
      <c r="H70" s="12">
        <f>=F70/3600</f>
      </c>
      <c r="I70" s="13">
        <f>=IFERROR(INDEX(Lists!$C:$C,MATCH(J70,Lists!$D:$D,0)),"")</f>
      </c>
      <c r="J70" s="15">
        <f>=IFERROR(INDEX($J$16:J69,MATCH(C70,$C$16:C69,0)),"")</f>
      </c>
    </row>
    <row r="71" ht="18" customHeight="1" spans="1:10" x14ac:dyDescent="0.25">
      <c r="A71" s="8"/>
      <c r="B71" s="8"/>
      <c r="C71" s="8"/>
      <c r="D71" s="8"/>
      <c r="E71" s="9">
        <f>=IFERROR(VLOOKUP(D71,Lists!$A:$B,2,0),"")</f>
      </c>
      <c r="F71" s="10"/>
      <c r="G71" s="11">
        <f>=SUMIF($C$16:$C$501,C71,$F$16:$F$501)</f>
      </c>
      <c r="H71" s="12">
        <f>=F71/3600</f>
      </c>
      <c r="I71" s="13">
        <f>=IFERROR(INDEX(Lists!$C:$C,MATCH(J71,Lists!$D:$D,0)),"")</f>
      </c>
      <c r="J71" s="15">
        <f>=IFERROR(INDEX($J$16:J70,MATCH(C71,$C$16:C70,0)),"")</f>
      </c>
    </row>
    <row r="72" ht="18" customHeight="1" spans="1:10" x14ac:dyDescent="0.25">
      <c r="A72" s="8"/>
      <c r="B72" s="8"/>
      <c r="C72" s="8"/>
      <c r="D72" s="8"/>
      <c r="E72" s="9">
        <f>=IFERROR(VLOOKUP(D72,Lists!$A:$B,2,0),"")</f>
      </c>
      <c r="F72" s="10"/>
      <c r="G72" s="11">
        <f>=SUMIF($C$16:$C$501,C72,$F$16:$F$501)</f>
      </c>
      <c r="H72" s="12">
        <f>=F72/3600</f>
      </c>
      <c r="I72" s="13">
        <f>=IFERROR(INDEX(Lists!$C:$C,MATCH(J72,Lists!$D:$D,0)),"")</f>
      </c>
      <c r="J72" s="15">
        <f>=IFERROR(INDEX($J$16:J71,MATCH(C72,$C$16:C71,0)),"")</f>
      </c>
    </row>
    <row r="73" ht="18" customHeight="1" spans="1:10" x14ac:dyDescent="0.25">
      <c r="A73" s="8"/>
      <c r="B73" s="8"/>
      <c r="C73" s="8"/>
      <c r="D73" s="8"/>
      <c r="E73" s="9">
        <f>=IFERROR(VLOOKUP(D73,Lists!$A:$B,2,0),"")</f>
      </c>
      <c r="F73" s="10"/>
      <c r="G73" s="11">
        <f>=SUMIF($C$16:$C$501,C73,$F$16:$F$501)</f>
      </c>
      <c r="H73" s="12">
        <f>=F73/3600</f>
      </c>
      <c r="I73" s="13">
        <f>=IFERROR(INDEX(Lists!$C:$C,MATCH(J73,Lists!$D:$D,0)),"")</f>
      </c>
      <c r="J73" s="15">
        <f>=IFERROR(INDEX($J$16:J72,MATCH(C73,$C$16:C72,0)),"")</f>
      </c>
    </row>
    <row r="74" ht="18" customHeight="1" spans="1:10" x14ac:dyDescent="0.25">
      <c r="A74" s="8"/>
      <c r="B74" s="8"/>
      <c r="C74" s="8"/>
      <c r="D74" s="8"/>
      <c r="E74" s="9">
        <f>=IFERROR(VLOOKUP(D74,Lists!$A:$B,2,0),"")</f>
      </c>
      <c r="F74" s="10"/>
      <c r="G74" s="11">
        <f>=SUMIF($C$16:$C$501,C74,$F$16:$F$501)</f>
      </c>
      <c r="H74" s="12">
        <f>=F74/3600</f>
      </c>
      <c r="I74" s="13">
        <f>=IFERROR(INDEX(Lists!$C:$C,MATCH(J74,Lists!$D:$D,0)),"")</f>
      </c>
      <c r="J74" s="15">
        <f>=IFERROR(INDEX($J$16:J73,MATCH(C74,$C$16:C73,0)),"")</f>
      </c>
    </row>
    <row r="75" ht="18" customHeight="1" spans="1:10" x14ac:dyDescent="0.25">
      <c r="A75" s="8"/>
      <c r="B75" s="8"/>
      <c r="C75" s="8"/>
      <c r="D75" s="8"/>
      <c r="E75" s="9">
        <f>=IFERROR(VLOOKUP(D75,Lists!$A:$B,2,0),"")</f>
      </c>
      <c r="F75" s="10"/>
      <c r="G75" s="11">
        <f>=SUMIF($C$16:$C$501,C75,$F$16:$F$501)</f>
      </c>
      <c r="H75" s="12">
        <f>=F75/3600</f>
      </c>
      <c r="I75" s="13">
        <f>=IFERROR(INDEX(Lists!$C:$C,MATCH(J75,Lists!$D:$D,0)),"")</f>
      </c>
      <c r="J75" s="15">
        <f>=IFERROR(INDEX($J$16:J74,MATCH(C75,$C$16:C74,0)),"")</f>
      </c>
    </row>
    <row r="76" ht="18" customHeight="1" spans="1:10" x14ac:dyDescent="0.25">
      <c r="A76" s="8"/>
      <c r="B76" s="8"/>
      <c r="C76" s="8"/>
      <c r="D76" s="8"/>
      <c r="E76" s="9">
        <f>=IFERROR(VLOOKUP(D76,Lists!$A:$B,2,0),"")</f>
      </c>
      <c r="F76" s="10"/>
      <c r="G76" s="11">
        <f>=SUMIF($C$16:$C$501,C76,$F$16:$F$501)</f>
      </c>
      <c r="H76" s="12">
        <f>=F76/3600</f>
      </c>
      <c r="I76" s="13">
        <f>=IFERROR(INDEX(Lists!$C:$C,MATCH(J76,Lists!$D:$D,0)),"")</f>
      </c>
      <c r="J76" s="15">
        <f>=IFERROR(INDEX($J$16:J75,MATCH(C76,$C$16:C75,0)),"")</f>
      </c>
    </row>
    <row r="77" ht="18" customHeight="1" spans="1:10" x14ac:dyDescent="0.25">
      <c r="A77" s="8"/>
      <c r="B77" s="8"/>
      <c r="C77" s="8"/>
      <c r="D77" s="8"/>
      <c r="E77" s="9">
        <f>=IFERROR(VLOOKUP(D77,Lists!$A:$B,2,0),"")</f>
      </c>
      <c r="F77" s="10"/>
      <c r="G77" s="11">
        <f>=SUMIF($C$16:$C$501,C77,$F$16:$F$501)</f>
      </c>
      <c r="H77" s="12">
        <f>=F77/3600</f>
      </c>
      <c r="I77" s="13">
        <f>=IFERROR(INDEX(Lists!$C:$C,MATCH(J77,Lists!$D:$D,0)),"")</f>
      </c>
      <c r="J77" s="15">
        <f>=IFERROR(INDEX($J$16:J76,MATCH(C77,$C$16:C76,0)),"")</f>
      </c>
    </row>
    <row r="78" ht="18" customHeight="1" spans="1:10" x14ac:dyDescent="0.25">
      <c r="A78" s="8"/>
      <c r="B78" s="8"/>
      <c r="C78" s="8"/>
      <c r="D78" s="8"/>
      <c r="E78" s="9">
        <f>=IFERROR(VLOOKUP(D78,Lists!$A:$B,2,0),"")</f>
      </c>
      <c r="F78" s="10"/>
      <c r="G78" s="11">
        <f>=SUMIF($C$16:$C$501,C78,$F$16:$F$501)</f>
      </c>
      <c r="H78" s="12">
        <f>=F78/3600</f>
      </c>
      <c r="I78" s="13">
        <f>=IFERROR(INDEX(Lists!$C:$C,MATCH(J78,Lists!$D:$D,0)),"")</f>
      </c>
      <c r="J78" s="15">
        <f>=IFERROR(INDEX($J$16:J77,MATCH(C78,$C$16:C77,0)),"")</f>
      </c>
    </row>
    <row r="79" ht="18" customHeight="1" spans="1:10" x14ac:dyDescent="0.25">
      <c r="A79" s="8"/>
      <c r="B79" s="8"/>
      <c r="C79" s="8"/>
      <c r="D79" s="8"/>
      <c r="E79" s="9">
        <f>=IFERROR(VLOOKUP(D79,Lists!$A:$B,2,0),"")</f>
      </c>
      <c r="F79" s="10"/>
      <c r="G79" s="11">
        <f>=SUMIF($C$16:$C$501,C79,$F$16:$F$501)</f>
      </c>
      <c r="H79" s="12">
        <f>=F79/3600</f>
      </c>
      <c r="I79" s="13">
        <f>=IFERROR(INDEX(Lists!$C:$C,MATCH(J79,Lists!$D:$D,0)),"")</f>
      </c>
      <c r="J79" s="15">
        <f>=IFERROR(INDEX($J$16:J78,MATCH(C79,$C$16:C78,0)),"")</f>
      </c>
    </row>
    <row r="80" ht="18" customHeight="1" spans="1:10" x14ac:dyDescent="0.25">
      <c r="A80" s="8"/>
      <c r="B80" s="8"/>
      <c r="C80" s="8"/>
      <c r="D80" s="8"/>
      <c r="E80" s="9">
        <f>=IFERROR(VLOOKUP(D80,Lists!$A:$B,2,0),"")</f>
      </c>
      <c r="F80" s="10"/>
      <c r="G80" s="11">
        <f>=SUMIF($C$16:$C$501,C80,$F$16:$F$501)</f>
      </c>
      <c r="H80" s="12">
        <f>=F80/3600</f>
      </c>
      <c r="I80" s="13">
        <f>=IFERROR(INDEX(Lists!$C:$C,MATCH(J80,Lists!$D:$D,0)),"")</f>
      </c>
      <c r="J80" s="15">
        <f>=IFERROR(INDEX($J$16:J79,MATCH(C80,$C$16:C79,0)),"")</f>
      </c>
    </row>
    <row r="81" ht="18" customHeight="1" spans="1:10" x14ac:dyDescent="0.25">
      <c r="A81" s="8"/>
      <c r="B81" s="8"/>
      <c r="C81" s="8"/>
      <c r="D81" s="8"/>
      <c r="E81" s="9">
        <f>=IFERROR(VLOOKUP(D81,Lists!$A:$B,2,0),"")</f>
      </c>
      <c r="F81" s="10"/>
      <c r="G81" s="11">
        <f>=SUMIF($C$16:$C$501,C81,$F$16:$F$501)</f>
      </c>
      <c r="H81" s="12">
        <f>=F81/3600</f>
      </c>
      <c r="I81" s="13">
        <f>=IFERROR(INDEX(Lists!$C:$C,MATCH(J81,Lists!$D:$D,0)),"")</f>
      </c>
      <c r="J81" s="15">
        <f>=IFERROR(INDEX($J$16:J80,MATCH(C81,$C$16:C80,0)),"")</f>
      </c>
    </row>
    <row r="82" ht="18" customHeight="1" spans="1:10" x14ac:dyDescent="0.25">
      <c r="A82" s="8"/>
      <c r="B82" s="8"/>
      <c r="C82" s="8"/>
      <c r="D82" s="8"/>
      <c r="E82" s="9">
        <f>=IFERROR(VLOOKUP(D82,Lists!$A:$B,2,0),"")</f>
      </c>
      <c r="F82" s="10"/>
      <c r="G82" s="11">
        <f>=SUMIF($C$16:$C$501,C82,$F$16:$F$501)</f>
      </c>
      <c r="H82" s="12">
        <f>=F82/3600</f>
      </c>
      <c r="I82" s="13">
        <f>=IFERROR(INDEX(Lists!$C:$C,MATCH(J82,Lists!$D:$D,0)),"")</f>
      </c>
      <c r="J82" s="15">
        <f>=IFERROR(INDEX($J$16:J81,MATCH(C82,$C$16:C81,0)),"")</f>
      </c>
    </row>
    <row r="83" ht="18" customHeight="1" spans="1:10" x14ac:dyDescent="0.25">
      <c r="A83" s="8"/>
      <c r="B83" s="8"/>
      <c r="C83" s="8"/>
      <c r="D83" s="8"/>
      <c r="E83" s="9">
        <f>=IFERROR(VLOOKUP(D83,Lists!$A:$B,2,0),"")</f>
      </c>
      <c r="F83" s="10"/>
      <c r="G83" s="11">
        <f>=SUMIF($C$16:$C$501,C83,$F$16:$F$501)</f>
      </c>
      <c r="H83" s="12">
        <f>=F83/3600</f>
      </c>
      <c r="I83" s="13">
        <f>=IFERROR(INDEX(Lists!$C:$C,MATCH(J83,Lists!$D:$D,0)),"")</f>
      </c>
      <c r="J83" s="15">
        <f>=IFERROR(INDEX($J$16:J82,MATCH(C83,$C$16:C82,0)),"")</f>
      </c>
    </row>
    <row r="84" ht="18" customHeight="1" spans="1:10" x14ac:dyDescent="0.25">
      <c r="A84" s="8"/>
      <c r="B84" s="8"/>
      <c r="C84" s="8"/>
      <c r="D84" s="8"/>
      <c r="E84" s="9">
        <f>=IFERROR(VLOOKUP(D84,Lists!$A:$B,2,0),"")</f>
      </c>
      <c r="F84" s="10"/>
      <c r="G84" s="11">
        <f>=SUMIF($C$16:$C$501,C84,$F$16:$F$501)</f>
      </c>
      <c r="H84" s="12">
        <f>=F84/3600</f>
      </c>
      <c r="I84" s="13">
        <f>=IFERROR(INDEX(Lists!$C:$C,MATCH(J84,Lists!$D:$D,0)),"")</f>
      </c>
      <c r="J84" s="15">
        <f>=IFERROR(INDEX($J$16:J83,MATCH(C84,$C$16:C83,0)),"")</f>
      </c>
    </row>
    <row r="85" ht="18" customHeight="1" spans="1:10" x14ac:dyDescent="0.25">
      <c r="A85" s="8"/>
      <c r="B85" s="8"/>
      <c r="C85" s="8"/>
      <c r="D85" s="8"/>
      <c r="E85" s="9">
        <f>=IFERROR(VLOOKUP(D85,Lists!$A:$B,2,0),"")</f>
      </c>
      <c r="F85" s="10"/>
      <c r="G85" s="11">
        <f>=SUMIF($C$16:$C$501,C85,$F$16:$F$501)</f>
      </c>
      <c r="H85" s="12">
        <f>=F85/3600</f>
      </c>
      <c r="I85" s="13">
        <f>=IFERROR(INDEX(Lists!$C:$C,MATCH(J85,Lists!$D:$D,0)),"")</f>
      </c>
      <c r="J85" s="15">
        <f>=IFERROR(INDEX($J$16:J84,MATCH(C85,$C$16:C84,0)),"")</f>
      </c>
    </row>
    <row r="86" ht="18" customHeight="1" spans="1:10" x14ac:dyDescent="0.25">
      <c r="A86" s="8"/>
      <c r="B86" s="8"/>
      <c r="C86" s="8"/>
      <c r="D86" s="8"/>
      <c r="E86" s="9">
        <f>=IFERROR(VLOOKUP(D86,Lists!$A:$B,2,0),"")</f>
      </c>
      <c r="F86" s="10"/>
      <c r="G86" s="11">
        <f>=SUMIF($C$16:$C$501,C86,$F$16:$F$501)</f>
      </c>
      <c r="H86" s="12">
        <f>=F86/3600</f>
      </c>
      <c r="I86" s="13">
        <f>=IFERROR(INDEX(Lists!$C:$C,MATCH(J86,Lists!$D:$D,0)),"")</f>
      </c>
      <c r="J86" s="15">
        <f>=IFERROR(INDEX($J$16:J85,MATCH(C86,$C$16:C85,0)),"")</f>
      </c>
    </row>
    <row r="87" ht="18" customHeight="1" spans="1:10" x14ac:dyDescent="0.25">
      <c r="A87" s="8"/>
      <c r="B87" s="8"/>
      <c r="C87" s="8"/>
      <c r="D87" s="8"/>
      <c r="E87" s="9">
        <f>=IFERROR(VLOOKUP(D87,Lists!$A:$B,2,0),"")</f>
      </c>
      <c r="F87" s="10"/>
      <c r="G87" s="11">
        <f>=SUMIF($C$16:$C$501,C87,$F$16:$F$501)</f>
      </c>
      <c r="H87" s="12">
        <f>=F87/3600</f>
      </c>
      <c r="I87" s="13">
        <f>=IFERROR(INDEX(Lists!$C:$C,MATCH(J87,Lists!$D:$D,0)),"")</f>
      </c>
      <c r="J87" s="15">
        <f>=IFERROR(INDEX($J$16:J86,MATCH(C87,$C$16:C86,0)),"")</f>
      </c>
    </row>
    <row r="88" ht="18" customHeight="1" spans="1:10" x14ac:dyDescent="0.25">
      <c r="A88" s="8"/>
      <c r="B88" s="8"/>
      <c r="C88" s="8"/>
      <c r="D88" s="8"/>
      <c r="E88" s="9">
        <f>=IFERROR(VLOOKUP(D88,Lists!$A:$B,2,0),"")</f>
      </c>
      <c r="F88" s="10"/>
      <c r="G88" s="11">
        <f>=SUMIF($C$16:$C$501,C88,$F$16:$F$501)</f>
      </c>
      <c r="H88" s="12">
        <f>=F88/3600</f>
      </c>
      <c r="I88" s="13">
        <f>=IFERROR(INDEX(Lists!$C:$C,MATCH(J88,Lists!$D:$D,0)),"")</f>
      </c>
      <c r="J88" s="15">
        <f>=IFERROR(INDEX($J$16:J87,MATCH(C88,$C$16:C87,0)),"")</f>
      </c>
    </row>
    <row r="89" ht="18" customHeight="1" spans="1:10" x14ac:dyDescent="0.25">
      <c r="A89" s="8"/>
      <c r="B89" s="8"/>
      <c r="C89" s="8"/>
      <c r="D89" s="8"/>
      <c r="E89" s="9">
        <f>=IFERROR(VLOOKUP(D89,Lists!$A:$B,2,0),"")</f>
      </c>
      <c r="F89" s="10"/>
      <c r="G89" s="11">
        <f>=SUMIF($C$16:$C$501,C89,$F$16:$F$501)</f>
      </c>
      <c r="H89" s="12">
        <f>=F89/3600</f>
      </c>
      <c r="I89" s="13">
        <f>=IFERROR(INDEX(Lists!$C:$C,MATCH(J89,Lists!$D:$D,0)),"")</f>
      </c>
      <c r="J89" s="15">
        <f>=IFERROR(INDEX($J$16:J88,MATCH(C89,$C$16:C88,0)),"")</f>
      </c>
    </row>
    <row r="90" ht="18" customHeight="1" spans="1:10" x14ac:dyDescent="0.25">
      <c r="A90" s="8"/>
      <c r="B90" s="8"/>
      <c r="C90" s="8"/>
      <c r="D90" s="8"/>
      <c r="E90" s="9">
        <f>=IFERROR(VLOOKUP(D90,Lists!$A:$B,2,0),"")</f>
      </c>
      <c r="F90" s="10"/>
      <c r="G90" s="11">
        <f>=SUMIF($C$16:$C$501,C90,$F$16:$F$501)</f>
      </c>
      <c r="H90" s="12">
        <f>=F90/3600</f>
      </c>
      <c r="I90" s="13">
        <f>=IFERROR(INDEX(Lists!$C:$C,MATCH(J90,Lists!$D:$D,0)),"")</f>
      </c>
      <c r="J90" s="15">
        <f>=IFERROR(INDEX($J$16:J89,MATCH(C90,$C$16:C89,0)),"")</f>
      </c>
    </row>
    <row r="91" ht="18" customHeight="1" spans="1:10" x14ac:dyDescent="0.25">
      <c r="A91" s="8"/>
      <c r="B91" s="8"/>
      <c r="C91" s="8"/>
      <c r="D91" s="8"/>
      <c r="E91" s="9">
        <f>=IFERROR(VLOOKUP(D91,Lists!$A:$B,2,0),"")</f>
      </c>
      <c r="F91" s="10"/>
      <c r="G91" s="11">
        <f>=SUMIF($C$16:$C$501,C91,$F$16:$F$501)</f>
      </c>
      <c r="H91" s="12">
        <f>=F91/3600</f>
      </c>
      <c r="I91" s="13">
        <f>=IFERROR(INDEX(Lists!$C:$C,MATCH(J91,Lists!$D:$D,0)),"")</f>
      </c>
      <c r="J91" s="15">
        <f>=IFERROR(INDEX($J$16:J90,MATCH(C91,$C$16:C90,0)),"")</f>
      </c>
    </row>
    <row r="92" ht="18" customHeight="1" spans="1:10" x14ac:dyDescent="0.25">
      <c r="A92" s="8"/>
      <c r="B92" s="8"/>
      <c r="C92" s="8"/>
      <c r="D92" s="8"/>
      <c r="E92" s="9">
        <f>=IFERROR(VLOOKUP(D92,Lists!$A:$B,2,0),"")</f>
      </c>
      <c r="F92" s="10"/>
      <c r="G92" s="11">
        <f>=SUMIF($C$16:$C$501,C92,$F$16:$F$501)</f>
      </c>
      <c r="H92" s="12">
        <f>=F92/3600</f>
      </c>
      <c r="I92" s="13">
        <f>=IFERROR(INDEX(Lists!$C:$C,MATCH(J92,Lists!$D:$D,0)),"")</f>
      </c>
      <c r="J92" s="15">
        <f>=IFERROR(INDEX($J$16:J91,MATCH(C92,$C$16:C91,0)),"")</f>
      </c>
    </row>
    <row r="93" ht="18" customHeight="1" spans="1:10" x14ac:dyDescent="0.25">
      <c r="A93" s="8"/>
      <c r="B93" s="8"/>
      <c r="C93" s="8"/>
      <c r="D93" s="8"/>
      <c r="E93" s="9">
        <f>=IFERROR(VLOOKUP(D93,Lists!$A:$B,2,0),"")</f>
      </c>
      <c r="F93" s="10"/>
      <c r="G93" s="11">
        <f>=SUMIF($C$16:$C$501,C93,$F$16:$F$501)</f>
      </c>
      <c r="H93" s="12">
        <f>=F93/3600</f>
      </c>
      <c r="I93" s="13">
        <f>=IFERROR(INDEX(Lists!$C:$C,MATCH(J93,Lists!$D:$D,0)),"")</f>
      </c>
      <c r="J93" s="15">
        <f>=IFERROR(INDEX($J$16:J92,MATCH(C93,$C$16:C92,0)),"")</f>
      </c>
    </row>
    <row r="94" ht="18" customHeight="1" spans="1:10" x14ac:dyDescent="0.25">
      <c r="A94" s="8"/>
      <c r="B94" s="8"/>
      <c r="C94" s="8"/>
      <c r="D94" s="8"/>
      <c r="E94" s="9">
        <f>=IFERROR(VLOOKUP(D94,Lists!$A:$B,2,0),"")</f>
      </c>
      <c r="F94" s="10"/>
      <c r="G94" s="11">
        <f>=SUMIF($C$16:$C$501,C94,$F$16:$F$501)</f>
      </c>
      <c r="H94" s="12">
        <f>=F94/3600</f>
      </c>
      <c r="I94" s="13">
        <f>=IFERROR(INDEX(Lists!$C:$C,MATCH(J94,Lists!$D:$D,0)),"")</f>
      </c>
      <c r="J94" s="15">
        <f>=IFERROR(INDEX($J$16:J93,MATCH(C94,$C$16:C93,0)),"")</f>
      </c>
    </row>
    <row r="95" ht="18" customHeight="1" spans="1:10" x14ac:dyDescent="0.25">
      <c r="A95" s="8"/>
      <c r="B95" s="8"/>
      <c r="C95" s="8"/>
      <c r="D95" s="8"/>
      <c r="E95" s="9">
        <f>=IFERROR(VLOOKUP(D95,Lists!$A:$B,2,0),"")</f>
      </c>
      <c r="F95" s="10"/>
      <c r="G95" s="11">
        <f>=SUMIF($C$16:$C$501,C95,$F$16:$F$501)</f>
      </c>
      <c r="H95" s="12">
        <f>=F95/3600</f>
      </c>
      <c r="I95" s="13">
        <f>=IFERROR(INDEX(Lists!$C:$C,MATCH(J95,Lists!$D:$D,0)),"")</f>
      </c>
      <c r="J95" s="15">
        <f>=IFERROR(INDEX($J$16:J94,MATCH(C95,$C$16:C94,0)),"")</f>
      </c>
    </row>
    <row r="96" ht="18" customHeight="1" spans="1:10" x14ac:dyDescent="0.25">
      <c r="A96" s="8"/>
      <c r="B96" s="8"/>
      <c r="C96" s="8"/>
      <c r="D96" s="8"/>
      <c r="E96" s="9">
        <f>=IFERROR(VLOOKUP(D96,Lists!$A:$B,2,0),"")</f>
      </c>
      <c r="F96" s="10"/>
      <c r="G96" s="11">
        <f>=SUMIF($C$16:$C$501,C96,$F$16:$F$501)</f>
      </c>
      <c r="H96" s="12">
        <f>=F96/3600</f>
      </c>
      <c r="I96" s="13">
        <f>=IFERROR(INDEX(Lists!$C:$C,MATCH(J96,Lists!$D:$D,0)),"")</f>
      </c>
      <c r="J96" s="15">
        <f>=IFERROR(INDEX($J$16:J95,MATCH(C96,$C$16:C95,0)),"")</f>
      </c>
    </row>
    <row r="97" ht="18" customHeight="1" spans="1:10" x14ac:dyDescent="0.25">
      <c r="A97" s="8"/>
      <c r="B97" s="8"/>
      <c r="C97" s="8"/>
      <c r="D97" s="8"/>
      <c r="E97" s="9">
        <f>=IFERROR(VLOOKUP(D97,Lists!$A:$B,2,0),"")</f>
      </c>
      <c r="F97" s="10"/>
      <c r="G97" s="11">
        <f>=SUMIF($C$16:$C$501,C97,$F$16:$F$501)</f>
      </c>
      <c r="H97" s="12">
        <f>=F97/3600</f>
      </c>
      <c r="I97" s="13">
        <f>=IFERROR(INDEX(Lists!$C:$C,MATCH(J97,Lists!$D:$D,0)),"")</f>
      </c>
      <c r="J97" s="15">
        <f>=IFERROR(INDEX($J$16:J96,MATCH(C97,$C$16:C96,0)),"")</f>
      </c>
    </row>
    <row r="98" ht="18" customHeight="1" spans="1:10" x14ac:dyDescent="0.25">
      <c r="A98" s="8"/>
      <c r="B98" s="8"/>
      <c r="C98" s="8"/>
      <c r="D98" s="8"/>
      <c r="E98" s="9">
        <f>=IFERROR(VLOOKUP(D98,Lists!$A:$B,2,0),"")</f>
      </c>
      <c r="F98" s="10"/>
      <c r="G98" s="11">
        <f>=SUMIF($C$16:$C$501,C98,$F$16:$F$501)</f>
      </c>
      <c r="H98" s="12">
        <f>=F98/3600</f>
      </c>
      <c r="I98" s="13">
        <f>=IFERROR(INDEX(Lists!$C:$C,MATCH(J98,Lists!$D:$D,0)),"")</f>
      </c>
      <c r="J98" s="15">
        <f>=IFERROR(INDEX($J$16:J97,MATCH(C98,$C$16:C97,0)),"")</f>
      </c>
    </row>
    <row r="99" ht="18" customHeight="1" spans="1:10" x14ac:dyDescent="0.25">
      <c r="A99" s="8"/>
      <c r="B99" s="8"/>
      <c r="C99" s="8"/>
      <c r="D99" s="8"/>
      <c r="E99" s="9">
        <f>=IFERROR(VLOOKUP(D99,Lists!$A:$B,2,0),"")</f>
      </c>
      <c r="F99" s="10"/>
      <c r="G99" s="11">
        <f>=SUMIF($C$16:$C$501,C99,$F$16:$F$501)</f>
      </c>
      <c r="H99" s="12">
        <f>=F99/3600</f>
      </c>
      <c r="I99" s="13">
        <f>=IFERROR(INDEX(Lists!$C:$C,MATCH(J99,Lists!$D:$D,0)),"")</f>
      </c>
      <c r="J99" s="15">
        <f>=IFERROR(INDEX($J$16:J98,MATCH(C99,$C$16:C98,0)),"")</f>
      </c>
    </row>
    <row r="100" ht="18" customHeight="1" spans="1:10" x14ac:dyDescent="0.25">
      <c r="A100" s="8"/>
      <c r="B100" s="8"/>
      <c r="C100" s="8"/>
      <c r="D100" s="8"/>
      <c r="E100" s="9">
        <f>=IFERROR(VLOOKUP(D100,Lists!$A:$B,2,0),"")</f>
      </c>
      <c r="F100" s="10"/>
      <c r="G100" s="11">
        <f>=SUMIF($C$16:$C$501,C100,$F$16:$F$501)</f>
      </c>
      <c r="H100" s="12">
        <f>=F100/3600</f>
      </c>
      <c r="I100" s="13">
        <f>=IFERROR(INDEX(Lists!$C:$C,MATCH(J100,Lists!$D:$D,0)),"")</f>
      </c>
      <c r="J100" s="15">
        <f>=IFERROR(INDEX($J$16:J99,MATCH(C100,$C$16:C99,0)),"")</f>
      </c>
    </row>
    <row r="101" ht="18" customHeight="1" spans="1:10" x14ac:dyDescent="0.25">
      <c r="A101" s="8"/>
      <c r="B101" s="8"/>
      <c r="C101" s="8"/>
      <c r="D101" s="8"/>
      <c r="E101" s="9">
        <f>=IFERROR(VLOOKUP(D101,Lists!$A:$B,2,0),"")</f>
      </c>
      <c r="F101" s="10"/>
      <c r="G101" s="11">
        <f>=SUMIF($C$16:$C$501,C101,$F$16:$F$501)</f>
      </c>
      <c r="H101" s="12">
        <f>=F101/3600</f>
      </c>
      <c r="I101" s="13">
        <f>=IFERROR(INDEX(Lists!$C:$C,MATCH(J101,Lists!$D:$D,0)),"")</f>
      </c>
      <c r="J101" s="15">
        <f>=IFERROR(INDEX($J$16:J100,MATCH(C101,$C$16:C100,0)),"")</f>
      </c>
    </row>
    <row r="102" ht="18" customHeight="1" spans="1:10" x14ac:dyDescent="0.25">
      <c r="A102" s="8"/>
      <c r="B102" s="8"/>
      <c r="C102" s="8"/>
      <c r="D102" s="8"/>
      <c r="E102" s="9">
        <f>=IFERROR(VLOOKUP(D102,Lists!$A:$B,2,0),"")</f>
      </c>
      <c r="F102" s="10"/>
      <c r="G102" s="11">
        <f>=SUMIF($C$16:$C$501,C102,$F$16:$F$501)</f>
      </c>
      <c r="H102" s="12">
        <f>=F102/3600</f>
      </c>
      <c r="I102" s="13">
        <f>=IFERROR(INDEX(Lists!$C:$C,MATCH(J102,Lists!$D:$D,0)),"")</f>
      </c>
      <c r="J102" s="15">
        <f>=IFERROR(INDEX($J$16:J101,MATCH(C102,$C$16:C101,0)),"")</f>
      </c>
    </row>
    <row r="103" ht="18" customHeight="1" spans="1:10" x14ac:dyDescent="0.25">
      <c r="A103" s="8"/>
      <c r="B103" s="8"/>
      <c r="C103" s="8"/>
      <c r="D103" s="8"/>
      <c r="E103" s="9">
        <f>=IFERROR(VLOOKUP(D103,Lists!$A:$B,2,0),"")</f>
      </c>
      <c r="F103" s="10"/>
      <c r="G103" s="11">
        <f>=SUMIF($C$16:$C$501,C103,$F$16:$F$501)</f>
      </c>
      <c r="H103" s="12">
        <f>=F103/3600</f>
      </c>
      <c r="I103" s="13">
        <f>=IFERROR(INDEX(Lists!$C:$C,MATCH(J103,Lists!$D:$D,0)),"")</f>
      </c>
      <c r="J103" s="15">
        <f>=IFERROR(INDEX($J$16:J102,MATCH(C103,$C$16:C102,0)),"")</f>
      </c>
    </row>
    <row r="104" ht="18" customHeight="1" spans="1:10" x14ac:dyDescent="0.25">
      <c r="A104" s="8"/>
      <c r="B104" s="8"/>
      <c r="C104" s="8"/>
      <c r="D104" s="8"/>
      <c r="E104" s="9">
        <f>=IFERROR(VLOOKUP(D104,Lists!$A:$B,2,0),"")</f>
      </c>
      <c r="F104" s="10"/>
      <c r="G104" s="11">
        <f>=SUMIF($C$16:$C$501,C104,$F$16:$F$501)</f>
      </c>
      <c r="H104" s="12">
        <f>=F104/3600</f>
      </c>
      <c r="I104" s="13">
        <f>=IFERROR(INDEX(Lists!$C:$C,MATCH(J104,Lists!$D:$D,0)),"")</f>
      </c>
      <c r="J104" s="15">
        <f>=IFERROR(INDEX($J$16:J103,MATCH(C104,$C$16:C103,0)),"")</f>
      </c>
    </row>
    <row r="105" ht="18" customHeight="1" spans="1:10" x14ac:dyDescent="0.25">
      <c r="A105" s="8"/>
      <c r="B105" s="8"/>
      <c r="C105" s="8"/>
      <c r="D105" s="8"/>
      <c r="E105" s="9">
        <f>=IFERROR(VLOOKUP(D105,Lists!$A:$B,2,0),"")</f>
      </c>
      <c r="F105" s="10"/>
      <c r="G105" s="11">
        <f>=SUMIF($C$16:$C$501,C105,$F$16:$F$501)</f>
      </c>
      <c r="H105" s="12">
        <f>=F105/3600</f>
      </c>
      <c r="I105" s="13">
        <f>=IFERROR(INDEX(Lists!$C:$C,MATCH(J105,Lists!$D:$D,0)),"")</f>
      </c>
      <c r="J105" s="15">
        <f>=IFERROR(INDEX($J$16:J104,MATCH(C105,$C$16:C104,0)),"")</f>
      </c>
    </row>
    <row r="106" ht="18" customHeight="1" spans="1:10" x14ac:dyDescent="0.25">
      <c r="A106" s="8"/>
      <c r="B106" s="8"/>
      <c r="C106" s="8"/>
      <c r="D106" s="8"/>
      <c r="E106" s="9">
        <f>=IFERROR(VLOOKUP(D106,Lists!$A:$B,2,0),"")</f>
      </c>
      <c r="F106" s="10"/>
      <c r="G106" s="11">
        <f>=SUMIF($C$16:$C$501,C106,$F$16:$F$501)</f>
      </c>
      <c r="H106" s="12">
        <f>=F106/3600</f>
      </c>
      <c r="I106" s="13">
        <f>=IFERROR(INDEX(Lists!$C:$C,MATCH(J106,Lists!$D:$D,0)),"")</f>
      </c>
      <c r="J106" s="15">
        <f>=IFERROR(INDEX($J$16:J105,MATCH(C106,$C$16:C105,0)),"")</f>
      </c>
    </row>
    <row r="107" ht="18" customHeight="1" spans="1:10" x14ac:dyDescent="0.25">
      <c r="A107" s="8"/>
      <c r="B107" s="8"/>
      <c r="C107" s="8"/>
      <c r="D107" s="8"/>
      <c r="E107" s="9">
        <f>=IFERROR(VLOOKUP(D107,Lists!$A:$B,2,0),"")</f>
      </c>
      <c r="F107" s="10"/>
      <c r="G107" s="11">
        <f>=SUMIF($C$16:$C$501,C107,$F$16:$F$501)</f>
      </c>
      <c r="H107" s="12">
        <f>=F107/3600</f>
      </c>
      <c r="I107" s="13">
        <f>=IFERROR(INDEX(Lists!$C:$C,MATCH(J107,Lists!$D:$D,0)),"")</f>
      </c>
      <c r="J107" s="15">
        <f>=IFERROR(INDEX($J$16:J106,MATCH(C107,$C$16:C106,0)),"")</f>
      </c>
    </row>
    <row r="108" ht="18" customHeight="1" spans="1:10" x14ac:dyDescent="0.25">
      <c r="A108" s="8"/>
      <c r="B108" s="8"/>
      <c r="C108" s="8"/>
      <c r="D108" s="8"/>
      <c r="E108" s="9">
        <f>=IFERROR(VLOOKUP(D108,Lists!$A:$B,2,0),"")</f>
      </c>
      <c r="F108" s="10"/>
      <c r="G108" s="11">
        <f>=SUMIF($C$16:$C$501,C108,$F$16:$F$501)</f>
      </c>
      <c r="H108" s="12">
        <f>=F108/3600</f>
      </c>
      <c r="I108" s="13">
        <f>=IFERROR(INDEX(Lists!$C:$C,MATCH(J108,Lists!$D:$D,0)),"")</f>
      </c>
      <c r="J108" s="15">
        <f>=IFERROR(INDEX($J$16:J107,MATCH(C108,$C$16:C107,0)),"")</f>
      </c>
    </row>
    <row r="109" ht="18" customHeight="1" spans="1:10" x14ac:dyDescent="0.25">
      <c r="A109" s="8"/>
      <c r="B109" s="8"/>
      <c r="C109" s="8"/>
      <c r="D109" s="8"/>
      <c r="E109" s="9">
        <f>=IFERROR(VLOOKUP(D109,Lists!$A:$B,2,0),"")</f>
      </c>
      <c r="F109" s="10"/>
      <c r="G109" s="11">
        <f>=SUMIF($C$16:$C$501,C109,$F$16:$F$501)</f>
      </c>
      <c r="H109" s="12">
        <f>=F109/3600</f>
      </c>
      <c r="I109" s="13">
        <f>=IFERROR(INDEX(Lists!$C:$C,MATCH(J109,Lists!$D:$D,0)),"")</f>
      </c>
      <c r="J109" s="15">
        <f>=IFERROR(INDEX($J$16:J108,MATCH(C109,$C$16:C108,0)),"")</f>
      </c>
    </row>
    <row r="110" ht="18" customHeight="1" spans="1:10" x14ac:dyDescent="0.25">
      <c r="A110" s="8"/>
      <c r="B110" s="8"/>
      <c r="C110" s="8"/>
      <c r="D110" s="8"/>
      <c r="E110" s="9">
        <f>=IFERROR(VLOOKUP(D110,Lists!$A:$B,2,0),"")</f>
      </c>
      <c r="F110" s="10"/>
      <c r="G110" s="11">
        <f>=SUMIF($C$16:$C$501,C110,$F$16:$F$501)</f>
      </c>
      <c r="H110" s="12">
        <f>=F110/3600</f>
      </c>
      <c r="I110" s="13">
        <f>=IFERROR(INDEX(Lists!$C:$C,MATCH(J110,Lists!$D:$D,0)),"")</f>
      </c>
      <c r="J110" s="15">
        <f>=IFERROR(INDEX($J$16:J109,MATCH(C110,$C$16:C109,0)),"")</f>
      </c>
    </row>
    <row r="111" ht="18" customHeight="1" spans="1:10" x14ac:dyDescent="0.25">
      <c r="A111" s="8"/>
      <c r="B111" s="8"/>
      <c r="C111" s="8"/>
      <c r="D111" s="8"/>
      <c r="E111" s="9">
        <f>=IFERROR(VLOOKUP(D111,Lists!$A:$B,2,0),"")</f>
      </c>
      <c r="F111" s="10"/>
      <c r="G111" s="11">
        <f>=SUMIF($C$16:$C$501,C111,$F$16:$F$501)</f>
      </c>
      <c r="H111" s="12">
        <f>=F111/3600</f>
      </c>
      <c r="I111" s="13">
        <f>=IFERROR(INDEX(Lists!$C:$C,MATCH(J111,Lists!$D:$D,0)),"")</f>
      </c>
      <c r="J111" s="15">
        <f>=IFERROR(INDEX($J$16:J110,MATCH(C111,$C$16:C110,0)),"")</f>
      </c>
    </row>
    <row r="112" ht="18" customHeight="1" spans="1:10" x14ac:dyDescent="0.25">
      <c r="A112" s="8"/>
      <c r="B112" s="8"/>
      <c r="C112" s="8"/>
      <c r="D112" s="8"/>
      <c r="E112" s="9">
        <f>=IFERROR(VLOOKUP(D112,Lists!$A:$B,2,0),"")</f>
      </c>
      <c r="F112" s="10"/>
      <c r="G112" s="11">
        <f>=SUMIF($C$16:$C$501,C112,$F$16:$F$501)</f>
      </c>
      <c r="H112" s="12">
        <f>=F112/3600</f>
      </c>
      <c r="I112" s="13">
        <f>=IFERROR(INDEX(Lists!$C:$C,MATCH(J112,Lists!$D:$D,0)),"")</f>
      </c>
      <c r="J112" s="15">
        <f>=IFERROR(INDEX($J$16:J111,MATCH(C112,$C$16:C111,0)),"")</f>
      </c>
    </row>
    <row r="113" ht="18" customHeight="1" spans="1:10" x14ac:dyDescent="0.25">
      <c r="A113" s="8"/>
      <c r="B113" s="8"/>
      <c r="C113" s="8"/>
      <c r="D113" s="8"/>
      <c r="E113" s="9">
        <f>=IFERROR(VLOOKUP(D113,Lists!$A:$B,2,0),"")</f>
      </c>
      <c r="F113" s="10"/>
      <c r="G113" s="11">
        <f>=SUMIF($C$16:$C$501,C113,$F$16:$F$501)</f>
      </c>
      <c r="H113" s="12">
        <f>=F113/3600</f>
      </c>
      <c r="I113" s="13">
        <f>=IFERROR(INDEX(Lists!$C:$C,MATCH(J113,Lists!$D:$D,0)),"")</f>
      </c>
      <c r="J113" s="15">
        <f>=IFERROR(INDEX($J$16:J112,MATCH(C113,$C$16:C112,0)),"")</f>
      </c>
    </row>
    <row r="114" ht="18" customHeight="1" spans="1:10" x14ac:dyDescent="0.25">
      <c r="A114" s="8"/>
      <c r="B114" s="8"/>
      <c r="C114" s="8"/>
      <c r="D114" s="8"/>
      <c r="E114" s="9">
        <f>=IFERROR(VLOOKUP(D114,Lists!$A:$B,2,0),"")</f>
      </c>
      <c r="F114" s="10"/>
      <c r="G114" s="11">
        <f>=SUMIF($C$16:$C$501,C114,$F$16:$F$501)</f>
      </c>
      <c r="H114" s="12">
        <f>=F114/3600</f>
      </c>
      <c r="I114" s="13">
        <f>=IFERROR(INDEX(Lists!$C:$C,MATCH(J114,Lists!$D:$D,0)),"")</f>
      </c>
      <c r="J114" s="15">
        <f>=IFERROR(INDEX($J$16:J113,MATCH(C114,$C$16:C113,0)),"")</f>
      </c>
    </row>
    <row r="115" ht="18" customHeight="1" spans="1:10" x14ac:dyDescent="0.25">
      <c r="A115" s="8"/>
      <c r="B115" s="8"/>
      <c r="C115" s="8"/>
      <c r="D115" s="8"/>
      <c r="E115" s="9">
        <f>=IFERROR(VLOOKUP(D115,Lists!$A:$B,2,0),"")</f>
      </c>
      <c r="F115" s="10"/>
      <c r="G115" s="11">
        <f>=SUMIF($C$16:$C$501,C115,$F$16:$F$501)</f>
      </c>
      <c r="H115" s="12">
        <f>=F115/3600</f>
      </c>
      <c r="I115" s="13">
        <f>=IFERROR(INDEX(Lists!$C:$C,MATCH(J115,Lists!$D:$D,0)),"")</f>
      </c>
      <c r="J115" s="15">
        <f>=IFERROR(INDEX($J$16:J114,MATCH(C115,$C$16:C114,0)),"")</f>
      </c>
    </row>
    <row r="116" ht="18" customHeight="1" spans="1:10" x14ac:dyDescent="0.25">
      <c r="A116" s="8"/>
      <c r="B116" s="8"/>
      <c r="C116" s="8"/>
      <c r="D116" s="8"/>
      <c r="E116" s="9">
        <f>=IFERROR(VLOOKUP(D116,Lists!$A:$B,2,0),"")</f>
      </c>
      <c r="F116" s="10"/>
      <c r="G116" s="11">
        <f>=SUMIF($C$16:$C$501,C116,$F$16:$F$501)</f>
      </c>
      <c r="H116" s="12">
        <f>=F116/3600</f>
      </c>
      <c r="I116" s="13">
        <f>=IFERROR(INDEX(Lists!$C:$C,MATCH(J116,Lists!$D:$D,0)),"")</f>
      </c>
      <c r="J116" s="15">
        <f>=IFERROR(INDEX($J$16:J115,MATCH(C116,$C$16:C115,0)),"")</f>
      </c>
    </row>
    <row r="117" ht="18" customHeight="1" spans="1:10" x14ac:dyDescent="0.25">
      <c r="A117" s="8"/>
      <c r="B117" s="8"/>
      <c r="C117" s="8"/>
      <c r="D117" s="8"/>
      <c r="E117" s="9">
        <f>=IFERROR(VLOOKUP(D117,Lists!$A:$B,2,0),"")</f>
      </c>
      <c r="F117" s="10"/>
      <c r="G117" s="11">
        <f>=SUMIF($C$16:$C$501,C117,$F$16:$F$501)</f>
      </c>
      <c r="H117" s="12">
        <f>=F117/3600</f>
      </c>
      <c r="I117" s="13">
        <f>=IFERROR(INDEX(Lists!$C:$C,MATCH(J117,Lists!$D:$D,0)),"")</f>
      </c>
      <c r="J117" s="15">
        <f>=IFERROR(INDEX($J$16:J116,MATCH(C117,$C$16:C116,0)),"")</f>
      </c>
    </row>
    <row r="118" ht="18" customHeight="1" spans="1:10" x14ac:dyDescent="0.25">
      <c r="A118" s="8"/>
      <c r="B118" s="8"/>
      <c r="C118" s="8"/>
      <c r="D118" s="8"/>
      <c r="E118" s="9">
        <f>=IFERROR(VLOOKUP(D118,Lists!$A:$B,2,0),"")</f>
      </c>
      <c r="F118" s="10"/>
      <c r="G118" s="11">
        <f>=SUMIF($C$16:$C$501,C118,$F$16:$F$501)</f>
      </c>
      <c r="H118" s="12">
        <f>=F118/3600</f>
      </c>
      <c r="I118" s="13">
        <f>=IFERROR(INDEX(Lists!$C:$C,MATCH(J118,Lists!$D:$D,0)),"")</f>
      </c>
      <c r="J118" s="15">
        <f>=IFERROR(INDEX($J$16:J117,MATCH(C118,$C$16:C117,0)),"")</f>
      </c>
    </row>
    <row r="119" ht="18" customHeight="1" spans="1:10" x14ac:dyDescent="0.25">
      <c r="A119" s="8"/>
      <c r="B119" s="8"/>
      <c r="C119" s="8"/>
      <c r="D119" s="8"/>
      <c r="E119" s="9">
        <f>=IFERROR(VLOOKUP(D119,Lists!$A:$B,2,0),"")</f>
      </c>
      <c r="F119" s="10"/>
      <c r="G119" s="11">
        <f>=SUMIF($C$16:$C$501,C119,$F$16:$F$501)</f>
      </c>
      <c r="H119" s="12">
        <f>=F119/3600</f>
      </c>
      <c r="I119" s="13">
        <f>=IFERROR(INDEX(Lists!$C:$C,MATCH(J119,Lists!$D:$D,0)),"")</f>
      </c>
      <c r="J119" s="15">
        <f>=IFERROR(INDEX($J$16:J118,MATCH(C119,$C$16:C118,0)),"")</f>
      </c>
    </row>
    <row r="120" ht="18" customHeight="1" spans="1:10" x14ac:dyDescent="0.25">
      <c r="A120" s="8"/>
      <c r="B120" s="8"/>
      <c r="C120" s="8"/>
      <c r="D120" s="8"/>
      <c r="E120" s="9">
        <f>=IFERROR(VLOOKUP(D120,Lists!$A:$B,2,0),"")</f>
      </c>
      <c r="F120" s="10"/>
      <c r="G120" s="11">
        <f>=SUMIF($C$16:$C$501,C120,$F$16:$F$501)</f>
      </c>
      <c r="H120" s="12">
        <f>=F120/3600</f>
      </c>
      <c r="I120" s="13">
        <f>=IFERROR(INDEX(Lists!$C:$C,MATCH(J120,Lists!$D:$D,0)),"")</f>
      </c>
      <c r="J120" s="15">
        <f>=IFERROR(INDEX($J$16:J119,MATCH(C120,$C$16:C119,0)),"")</f>
      </c>
    </row>
    <row r="121" ht="18" customHeight="1" spans="1:10" x14ac:dyDescent="0.25">
      <c r="A121" s="8"/>
      <c r="B121" s="8"/>
      <c r="C121" s="8"/>
      <c r="D121" s="8"/>
      <c r="E121" s="9">
        <f>=IFERROR(VLOOKUP(D121,Lists!$A:$B,2,0),"")</f>
      </c>
      <c r="F121" s="10"/>
      <c r="G121" s="11">
        <f>=SUMIF($C$16:$C$501,C121,$F$16:$F$501)</f>
      </c>
      <c r="H121" s="12">
        <f>=F121/3600</f>
      </c>
      <c r="I121" s="13">
        <f>=IFERROR(INDEX(Lists!$C:$C,MATCH(J121,Lists!$D:$D,0)),"")</f>
      </c>
      <c r="J121" s="15">
        <f>=IFERROR(INDEX($J$16:J120,MATCH(C121,$C$16:C120,0)),"")</f>
      </c>
    </row>
    <row r="122" ht="18" customHeight="1" spans="1:10" x14ac:dyDescent="0.25">
      <c r="A122" s="8"/>
      <c r="B122" s="8"/>
      <c r="C122" s="8"/>
      <c r="D122" s="8"/>
      <c r="E122" s="9">
        <f>=IFERROR(VLOOKUP(D122,Lists!$A:$B,2,0),"")</f>
      </c>
      <c r="F122" s="10"/>
      <c r="G122" s="11">
        <f>=SUMIF($C$16:$C$501,C122,$F$16:$F$501)</f>
      </c>
      <c r="H122" s="12">
        <f>=F122/3600</f>
      </c>
      <c r="I122" s="13">
        <f>=IFERROR(INDEX(Lists!$C:$C,MATCH(J122,Lists!$D:$D,0)),"")</f>
      </c>
      <c r="J122" s="15">
        <f>=IFERROR(INDEX($J$16:J121,MATCH(C122,$C$16:C121,0)),"")</f>
      </c>
    </row>
    <row r="123" ht="18" customHeight="1" spans="1:10" x14ac:dyDescent="0.25">
      <c r="A123" s="8"/>
      <c r="B123" s="8"/>
      <c r="C123" s="8"/>
      <c r="D123" s="8"/>
      <c r="E123" s="9">
        <f>=IFERROR(VLOOKUP(D123,Lists!$A:$B,2,0),"")</f>
      </c>
      <c r="F123" s="10"/>
      <c r="G123" s="11">
        <f>=SUMIF($C$16:$C$501,C123,$F$16:$F$501)</f>
      </c>
      <c r="H123" s="12">
        <f>=F123/3600</f>
      </c>
      <c r="I123" s="13">
        <f>=IFERROR(INDEX(Lists!$C:$C,MATCH(J123,Lists!$D:$D,0)),"")</f>
      </c>
      <c r="J123" s="15">
        <f>=IFERROR(INDEX($J$16:J122,MATCH(C123,$C$16:C122,0)),"")</f>
      </c>
    </row>
    <row r="124" ht="18" customHeight="1" spans="1:10" x14ac:dyDescent="0.25">
      <c r="A124" s="8"/>
      <c r="B124" s="8"/>
      <c r="C124" s="8"/>
      <c r="D124" s="8"/>
      <c r="E124" s="9">
        <f>=IFERROR(VLOOKUP(D124,Lists!$A:$B,2,0),"")</f>
      </c>
      <c r="F124" s="10"/>
      <c r="G124" s="11">
        <f>=SUMIF($C$16:$C$501,C124,$F$16:$F$501)</f>
      </c>
      <c r="H124" s="12">
        <f>=F124/3600</f>
      </c>
      <c r="I124" s="13">
        <f>=IFERROR(INDEX(Lists!$C:$C,MATCH(J124,Lists!$D:$D,0)),"")</f>
      </c>
      <c r="J124" s="15">
        <f>=IFERROR(INDEX($J$16:J123,MATCH(C124,$C$16:C123,0)),"")</f>
      </c>
    </row>
    <row r="125" ht="18" customHeight="1" spans="1:10" x14ac:dyDescent="0.25">
      <c r="A125" s="8"/>
      <c r="B125" s="8"/>
      <c r="C125" s="8"/>
      <c r="D125" s="8"/>
      <c r="E125" s="9">
        <f>=IFERROR(VLOOKUP(D125,Lists!$A:$B,2,0),"")</f>
      </c>
      <c r="F125" s="10"/>
      <c r="G125" s="11">
        <f>=SUMIF($C$16:$C$501,C125,$F$16:$F$501)</f>
      </c>
      <c r="H125" s="12">
        <f>=F125/3600</f>
      </c>
      <c r="I125" s="13">
        <f>=IFERROR(INDEX(Lists!$C:$C,MATCH(J125,Lists!$D:$D,0)),"")</f>
      </c>
      <c r="J125" s="15">
        <f>=IFERROR(INDEX($J$16:J124,MATCH(C125,$C$16:C124,0)),"")</f>
      </c>
    </row>
    <row r="126" ht="18" customHeight="1" spans="1:10" x14ac:dyDescent="0.25">
      <c r="A126" s="8"/>
      <c r="B126" s="8"/>
      <c r="C126" s="8"/>
      <c r="D126" s="8"/>
      <c r="E126" s="9">
        <f>=IFERROR(VLOOKUP(D126,Lists!$A:$B,2,0),"")</f>
      </c>
      <c r="F126" s="10"/>
      <c r="G126" s="11">
        <f>=SUMIF($C$16:$C$501,C126,$F$16:$F$501)</f>
      </c>
      <c r="H126" s="12">
        <f>=F126/3600</f>
      </c>
      <c r="I126" s="13">
        <f>=IFERROR(INDEX(Lists!$C:$C,MATCH(J126,Lists!$D:$D,0)),"")</f>
      </c>
      <c r="J126" s="15">
        <f>=IFERROR(INDEX($J$16:J125,MATCH(C126,$C$16:C125,0)),"")</f>
      </c>
    </row>
    <row r="127" ht="18" customHeight="1" spans="1:10" x14ac:dyDescent="0.25">
      <c r="A127" s="8"/>
      <c r="B127" s="8"/>
      <c r="C127" s="8"/>
      <c r="D127" s="8"/>
      <c r="E127" s="9">
        <f>=IFERROR(VLOOKUP(D127,Lists!$A:$B,2,0),"")</f>
      </c>
      <c r="F127" s="10"/>
      <c r="G127" s="11">
        <f>=SUMIF($C$16:$C$501,C127,$F$16:$F$501)</f>
      </c>
      <c r="H127" s="12">
        <f>=F127/3600</f>
      </c>
      <c r="I127" s="13">
        <f>=IFERROR(INDEX(Lists!$C:$C,MATCH(J127,Lists!$D:$D,0)),"")</f>
      </c>
      <c r="J127" s="15">
        <f>=IFERROR(INDEX($J$16:J126,MATCH(C127,$C$16:C126,0)),"")</f>
      </c>
    </row>
    <row r="128" ht="18" customHeight="1" spans="1:10" x14ac:dyDescent="0.25">
      <c r="A128" s="8"/>
      <c r="B128" s="8"/>
      <c r="C128" s="8"/>
      <c r="D128" s="8"/>
      <c r="E128" s="9">
        <f>=IFERROR(VLOOKUP(D128,Lists!$A:$B,2,0),"")</f>
      </c>
      <c r="F128" s="10"/>
      <c r="G128" s="11">
        <f>=SUMIF($C$16:$C$501,C128,$F$16:$F$501)</f>
      </c>
      <c r="H128" s="12">
        <f>=F128/3600</f>
      </c>
      <c r="I128" s="13">
        <f>=IFERROR(INDEX(Lists!$C:$C,MATCH(J128,Lists!$D:$D,0)),"")</f>
      </c>
      <c r="J128" s="15">
        <f>=IFERROR(INDEX($J$16:J127,MATCH(C128,$C$16:C127,0)),"")</f>
      </c>
    </row>
    <row r="129" ht="18" customHeight="1" spans="1:10" x14ac:dyDescent="0.25">
      <c r="A129" s="8"/>
      <c r="B129" s="8"/>
      <c r="C129" s="8"/>
      <c r="D129" s="8"/>
      <c r="E129" s="9">
        <f>=IFERROR(VLOOKUP(D129,Lists!$A:$B,2,0),"")</f>
      </c>
      <c r="F129" s="10"/>
      <c r="G129" s="11">
        <f>=SUMIF($C$16:$C$501,C129,$F$16:$F$501)</f>
      </c>
      <c r="H129" s="12">
        <f>=F129/3600</f>
      </c>
      <c r="I129" s="13">
        <f>=IFERROR(INDEX(Lists!$C:$C,MATCH(J129,Lists!$D:$D,0)),"")</f>
      </c>
      <c r="J129" s="15">
        <f>=IFERROR(INDEX($J$16:J128,MATCH(C129,$C$16:C128,0)),"")</f>
      </c>
    </row>
    <row r="130" ht="18" customHeight="1" spans="1:10" x14ac:dyDescent="0.25">
      <c r="A130" s="8"/>
      <c r="B130" s="8"/>
      <c r="C130" s="8"/>
      <c r="D130" s="8"/>
      <c r="E130" s="9">
        <f>=IFERROR(VLOOKUP(D130,Lists!$A:$B,2,0),"")</f>
      </c>
      <c r="F130" s="10"/>
      <c r="G130" s="11">
        <f>=SUMIF($C$16:$C$501,C130,$F$16:$F$501)</f>
      </c>
      <c r="H130" s="12">
        <f>=F130/3600</f>
      </c>
      <c r="I130" s="13">
        <f>=IFERROR(INDEX(Lists!$C:$C,MATCH(J130,Lists!$D:$D,0)),"")</f>
      </c>
      <c r="J130" s="15">
        <f>=IFERROR(INDEX($J$16:J129,MATCH(C130,$C$16:C129,0)),"")</f>
      </c>
    </row>
    <row r="131" ht="18" customHeight="1" spans="1:10" x14ac:dyDescent="0.25">
      <c r="A131" s="8"/>
      <c r="B131" s="8"/>
      <c r="C131" s="8"/>
      <c r="D131" s="8"/>
      <c r="E131" s="9">
        <f>=IFERROR(VLOOKUP(D131,Lists!$A:$B,2,0),"")</f>
      </c>
      <c r="F131" s="10"/>
      <c r="G131" s="11">
        <f>=SUMIF($C$16:$C$501,C131,$F$16:$F$501)</f>
      </c>
      <c r="H131" s="12">
        <f>=F131/3600</f>
      </c>
      <c r="I131" s="13">
        <f>=IFERROR(INDEX(Lists!$C:$C,MATCH(J131,Lists!$D:$D,0)),"")</f>
      </c>
      <c r="J131" s="15">
        <f>=IFERROR(INDEX($J$16:J130,MATCH(C131,$C$16:C130,0)),"")</f>
      </c>
    </row>
    <row r="132" ht="18" customHeight="1" spans="1:10" x14ac:dyDescent="0.25">
      <c r="A132" s="8"/>
      <c r="B132" s="8"/>
      <c r="C132" s="8"/>
      <c r="D132" s="8"/>
      <c r="E132" s="9">
        <f>=IFERROR(VLOOKUP(D132,Lists!$A:$B,2,0),"")</f>
      </c>
      <c r="F132" s="10"/>
      <c r="G132" s="11">
        <f>=SUMIF($C$16:$C$501,C132,$F$16:$F$501)</f>
      </c>
      <c r="H132" s="12">
        <f>=F132/3600</f>
      </c>
      <c r="I132" s="13">
        <f>=IFERROR(INDEX(Lists!$C:$C,MATCH(J132,Lists!$D:$D,0)),"")</f>
      </c>
      <c r="J132" s="15">
        <f>=IFERROR(INDEX($J$16:J131,MATCH(C132,$C$16:C131,0)),"")</f>
      </c>
    </row>
    <row r="133" ht="18" customHeight="1" spans="1:10" x14ac:dyDescent="0.25">
      <c r="A133" s="8"/>
      <c r="B133" s="8"/>
      <c r="C133" s="8"/>
      <c r="D133" s="8"/>
      <c r="E133" s="9">
        <f>=IFERROR(VLOOKUP(D133,Lists!$A:$B,2,0),"")</f>
      </c>
      <c r="F133" s="10"/>
      <c r="G133" s="11">
        <f>=SUMIF($C$16:$C$501,C133,$F$16:$F$501)</f>
      </c>
      <c r="H133" s="12">
        <f>=F133/3600</f>
      </c>
      <c r="I133" s="13">
        <f>=IFERROR(INDEX(Lists!$C:$C,MATCH(J133,Lists!$D:$D,0)),"")</f>
      </c>
      <c r="J133" s="15">
        <f>=IFERROR(INDEX($J$16:J132,MATCH(C133,$C$16:C132,0)),"")</f>
      </c>
    </row>
    <row r="134" ht="18" customHeight="1" spans="1:10" x14ac:dyDescent="0.25">
      <c r="A134" s="8"/>
      <c r="B134" s="8"/>
      <c r="C134" s="8"/>
      <c r="D134" s="8"/>
      <c r="E134" s="9">
        <f>=IFERROR(VLOOKUP(D134,Lists!$A:$B,2,0),"")</f>
      </c>
      <c r="F134" s="10"/>
      <c r="G134" s="11">
        <f>=SUMIF($C$16:$C$501,C134,$F$16:$F$501)</f>
      </c>
      <c r="H134" s="12">
        <f>=F134/3600</f>
      </c>
      <c r="I134" s="13">
        <f>=IFERROR(INDEX(Lists!$C:$C,MATCH(J134,Lists!$D:$D,0)),"")</f>
      </c>
      <c r="J134" s="15">
        <f>=IFERROR(INDEX($J$16:J133,MATCH(C134,$C$16:C133,0)),"")</f>
      </c>
    </row>
    <row r="135" ht="18" customHeight="1" spans="1:10" x14ac:dyDescent="0.25">
      <c r="A135" s="8"/>
      <c r="B135" s="8"/>
      <c r="C135" s="8"/>
      <c r="D135" s="8"/>
      <c r="E135" s="9">
        <f>=IFERROR(VLOOKUP(D135,Lists!$A:$B,2,0),"")</f>
      </c>
      <c r="F135" s="10"/>
      <c r="G135" s="11">
        <f>=SUMIF($C$16:$C$501,C135,$F$16:$F$501)</f>
      </c>
      <c r="H135" s="12">
        <f>=F135/3600</f>
      </c>
      <c r="I135" s="13">
        <f>=IFERROR(INDEX(Lists!$C:$C,MATCH(J135,Lists!$D:$D,0)),"")</f>
      </c>
      <c r="J135" s="15">
        <f>=IFERROR(INDEX($J$16:J134,MATCH(C135,$C$16:C134,0)),"")</f>
      </c>
    </row>
    <row r="136" ht="18" customHeight="1" spans="1:10" x14ac:dyDescent="0.25">
      <c r="A136" s="8"/>
      <c r="B136" s="8"/>
      <c r="C136" s="8"/>
      <c r="D136" s="8"/>
      <c r="E136" s="9">
        <f>=IFERROR(VLOOKUP(D136,Lists!$A:$B,2,0),"")</f>
      </c>
      <c r="F136" s="10"/>
      <c r="G136" s="11">
        <f>=SUMIF($C$16:$C$501,C136,$F$16:$F$501)</f>
      </c>
      <c r="H136" s="12">
        <f>=F136/3600</f>
      </c>
      <c r="I136" s="13">
        <f>=IFERROR(INDEX(Lists!$C:$C,MATCH(J136,Lists!$D:$D,0)),"")</f>
      </c>
      <c r="J136" s="15">
        <f>=IFERROR(INDEX($J$16:J135,MATCH(C136,$C$16:C135,0)),"")</f>
      </c>
    </row>
    <row r="137" ht="18" customHeight="1" spans="1:10" x14ac:dyDescent="0.25">
      <c r="A137" s="8"/>
      <c r="B137" s="8"/>
      <c r="C137" s="8"/>
      <c r="D137" s="8"/>
      <c r="E137" s="9">
        <f>=IFERROR(VLOOKUP(D137,Lists!$A:$B,2,0),"")</f>
      </c>
      <c r="F137" s="10"/>
      <c r="G137" s="11">
        <f>=SUMIF($C$16:$C$501,C137,$F$16:$F$501)</f>
      </c>
      <c r="H137" s="12">
        <f>=F137/3600</f>
      </c>
      <c r="I137" s="13">
        <f>=IFERROR(INDEX(Lists!$C:$C,MATCH(J137,Lists!$D:$D,0)),"")</f>
      </c>
      <c r="J137" s="15">
        <f>=IFERROR(INDEX($J$16:J136,MATCH(C137,$C$16:C136,0)),"")</f>
      </c>
    </row>
    <row r="138" ht="18" customHeight="1" spans="1:10" x14ac:dyDescent="0.25">
      <c r="A138" s="8"/>
      <c r="B138" s="8"/>
      <c r="C138" s="8"/>
      <c r="D138" s="8"/>
      <c r="E138" s="9">
        <f>=IFERROR(VLOOKUP(D138,Lists!$A:$B,2,0),"")</f>
      </c>
      <c r="F138" s="10"/>
      <c r="G138" s="11">
        <f>=SUMIF($C$16:$C$501,C138,$F$16:$F$501)</f>
      </c>
      <c r="H138" s="12">
        <f>=F138/3600</f>
      </c>
      <c r="I138" s="13">
        <f>=IFERROR(INDEX(Lists!$C:$C,MATCH(J138,Lists!$D:$D,0)),"")</f>
      </c>
      <c r="J138" s="15">
        <f>=IFERROR(INDEX($J$16:J137,MATCH(C138,$C$16:C137,0)),"")</f>
      </c>
    </row>
    <row r="139" ht="18" customHeight="1" spans="1:10" x14ac:dyDescent="0.25">
      <c r="A139" s="8"/>
      <c r="B139" s="8"/>
      <c r="C139" s="8"/>
      <c r="D139" s="8"/>
      <c r="E139" s="9">
        <f>=IFERROR(VLOOKUP(D139,Lists!$A:$B,2,0),"")</f>
      </c>
      <c r="F139" s="10"/>
      <c r="G139" s="11">
        <f>=SUMIF($C$16:$C$501,C139,$F$16:$F$501)</f>
      </c>
      <c r="H139" s="12">
        <f>=F139/3600</f>
      </c>
      <c r="I139" s="13">
        <f>=IFERROR(INDEX(Lists!$C:$C,MATCH(J139,Lists!$D:$D,0)),"")</f>
      </c>
      <c r="J139" s="15">
        <f>=IFERROR(INDEX($J$16:J138,MATCH(C139,$C$16:C138,0)),"")</f>
      </c>
    </row>
    <row r="140" ht="18" customHeight="1" spans="1:10" x14ac:dyDescent="0.25">
      <c r="A140" s="8"/>
      <c r="B140" s="8"/>
      <c r="C140" s="8"/>
      <c r="D140" s="8"/>
      <c r="E140" s="9">
        <f>=IFERROR(VLOOKUP(D140,Lists!$A:$B,2,0),"")</f>
      </c>
      <c r="F140" s="10"/>
      <c r="G140" s="11">
        <f>=SUMIF($C$16:$C$501,C140,$F$16:$F$501)</f>
      </c>
      <c r="H140" s="12">
        <f>=F140/3600</f>
      </c>
      <c r="I140" s="13">
        <f>=IFERROR(INDEX(Lists!$C:$C,MATCH(J140,Lists!$D:$D,0)),"")</f>
      </c>
      <c r="J140" s="15">
        <f>=IFERROR(INDEX($J$16:J139,MATCH(C140,$C$16:C139,0)),"")</f>
      </c>
    </row>
    <row r="141" ht="18" customHeight="1" spans="1:10" x14ac:dyDescent="0.25">
      <c r="A141" s="8"/>
      <c r="B141" s="8"/>
      <c r="C141" s="8"/>
      <c r="D141" s="8"/>
      <c r="E141" s="9">
        <f>=IFERROR(VLOOKUP(D141,Lists!$A:$B,2,0),"")</f>
      </c>
      <c r="F141" s="10"/>
      <c r="G141" s="11">
        <f>=SUMIF($C$16:$C$501,C141,$F$16:$F$501)</f>
      </c>
      <c r="H141" s="12">
        <f>=F141/3600</f>
      </c>
      <c r="I141" s="13">
        <f>=IFERROR(INDEX(Lists!$C:$C,MATCH(J141,Lists!$D:$D,0)),"")</f>
      </c>
      <c r="J141" s="15">
        <f>=IFERROR(INDEX($J$16:J140,MATCH(C141,$C$16:C140,0)),"")</f>
      </c>
    </row>
    <row r="142" ht="18" customHeight="1" spans="1:10" x14ac:dyDescent="0.25">
      <c r="A142" s="8"/>
      <c r="B142" s="8"/>
      <c r="C142" s="8"/>
      <c r="D142" s="8"/>
      <c r="E142" s="9">
        <f>=IFERROR(VLOOKUP(D142,Lists!$A:$B,2,0),"")</f>
      </c>
      <c r="F142" s="10"/>
      <c r="G142" s="11">
        <f>=SUMIF($C$16:$C$501,C142,$F$16:$F$501)</f>
      </c>
      <c r="H142" s="12">
        <f>=F142/3600</f>
      </c>
      <c r="I142" s="13">
        <f>=IFERROR(INDEX(Lists!$C:$C,MATCH(J142,Lists!$D:$D,0)),"")</f>
      </c>
      <c r="J142" s="15">
        <f>=IFERROR(INDEX($J$16:J141,MATCH(C142,$C$16:C141,0)),"")</f>
      </c>
    </row>
    <row r="143" ht="18" customHeight="1" spans="1:10" x14ac:dyDescent="0.25">
      <c r="A143" s="8"/>
      <c r="B143" s="8"/>
      <c r="C143" s="8"/>
      <c r="D143" s="8"/>
      <c r="E143" s="9">
        <f>=IFERROR(VLOOKUP(D143,Lists!$A:$B,2,0),"")</f>
      </c>
      <c r="F143" s="10"/>
      <c r="G143" s="11">
        <f>=SUMIF($C$16:$C$501,C143,$F$16:$F$501)</f>
      </c>
      <c r="H143" s="12">
        <f>=F143/3600</f>
      </c>
      <c r="I143" s="13">
        <f>=IFERROR(INDEX(Lists!$C:$C,MATCH(J143,Lists!$D:$D,0)),"")</f>
      </c>
      <c r="J143" s="15">
        <f>=IFERROR(INDEX($J$16:J142,MATCH(C143,$C$16:C142,0)),"")</f>
      </c>
    </row>
    <row r="144" ht="18" customHeight="1" spans="1:10" x14ac:dyDescent="0.25">
      <c r="A144" s="8"/>
      <c r="B144" s="8"/>
      <c r="C144" s="8"/>
      <c r="D144" s="8"/>
      <c r="E144" s="9">
        <f>=IFERROR(VLOOKUP(D144,Lists!$A:$B,2,0),"")</f>
      </c>
      <c r="F144" s="10"/>
      <c r="G144" s="11">
        <f>=SUMIF($C$16:$C$501,C144,$F$16:$F$501)</f>
      </c>
      <c r="H144" s="12">
        <f>=F144/3600</f>
      </c>
      <c r="I144" s="13">
        <f>=IFERROR(INDEX(Lists!$C:$C,MATCH(J144,Lists!$D:$D,0)),"")</f>
      </c>
      <c r="J144" s="15">
        <f>=IFERROR(INDEX($J$16:J143,MATCH(C144,$C$16:C143,0)),"")</f>
      </c>
    </row>
    <row r="145" ht="18" customHeight="1" spans="1:10" x14ac:dyDescent="0.25">
      <c r="A145" s="8"/>
      <c r="B145" s="8"/>
      <c r="C145" s="8"/>
      <c r="D145" s="8"/>
      <c r="E145" s="9">
        <f>=IFERROR(VLOOKUP(D145,Lists!$A:$B,2,0),"")</f>
      </c>
      <c r="F145" s="10"/>
      <c r="G145" s="11">
        <f>=SUMIF($C$16:$C$501,C145,$F$16:$F$501)</f>
      </c>
      <c r="H145" s="12">
        <f>=F145/3600</f>
      </c>
      <c r="I145" s="13">
        <f>=IFERROR(INDEX(Lists!$C:$C,MATCH(J145,Lists!$D:$D,0)),"")</f>
      </c>
      <c r="J145" s="15">
        <f>=IFERROR(INDEX($J$16:J144,MATCH(C145,$C$16:C144,0)),"")</f>
      </c>
    </row>
    <row r="146" ht="18" customHeight="1" spans="1:10" x14ac:dyDescent="0.25">
      <c r="A146" s="8"/>
      <c r="B146" s="8"/>
      <c r="C146" s="8"/>
      <c r="D146" s="8"/>
      <c r="E146" s="9">
        <f>=IFERROR(VLOOKUP(D146,Lists!$A:$B,2,0),"")</f>
      </c>
      <c r="F146" s="10"/>
      <c r="G146" s="11">
        <f>=SUMIF($C$16:$C$501,C146,$F$16:$F$501)</f>
      </c>
      <c r="H146" s="12">
        <f>=F146/3600</f>
      </c>
      <c r="I146" s="13">
        <f>=IFERROR(INDEX(Lists!$C:$C,MATCH(J146,Lists!$D:$D,0)),"")</f>
      </c>
      <c r="J146" s="15">
        <f>=IFERROR(INDEX($J$16:J145,MATCH(C146,$C$16:C145,0)),"")</f>
      </c>
    </row>
    <row r="147" ht="18" customHeight="1" spans="1:10" x14ac:dyDescent="0.25">
      <c r="A147" s="8"/>
      <c r="B147" s="8"/>
      <c r="C147" s="8"/>
      <c r="D147" s="8"/>
      <c r="E147" s="9">
        <f>=IFERROR(VLOOKUP(D147,Lists!$A:$B,2,0),"")</f>
      </c>
      <c r="F147" s="10"/>
      <c r="G147" s="11">
        <f>=SUMIF($C$16:$C$501,C147,$F$16:$F$501)</f>
      </c>
      <c r="H147" s="12">
        <f>=F147/3600</f>
      </c>
      <c r="I147" s="13">
        <f>=IFERROR(INDEX(Lists!$C:$C,MATCH(J147,Lists!$D:$D,0)),"")</f>
      </c>
      <c r="J147" s="15">
        <f>=IFERROR(INDEX($J$16:J146,MATCH(C147,$C$16:C146,0)),"")</f>
      </c>
    </row>
    <row r="148" ht="18" customHeight="1" spans="1:10" x14ac:dyDescent="0.25">
      <c r="A148" s="8"/>
      <c r="B148" s="8"/>
      <c r="C148" s="8"/>
      <c r="D148" s="8"/>
      <c r="E148" s="9">
        <f>=IFERROR(VLOOKUP(D148,Lists!$A:$B,2,0),"")</f>
      </c>
      <c r="F148" s="10"/>
      <c r="G148" s="11">
        <f>=SUMIF($C$16:$C$501,C148,$F$16:$F$501)</f>
      </c>
      <c r="H148" s="12">
        <f>=F148/3600</f>
      </c>
      <c r="I148" s="13">
        <f>=IFERROR(INDEX(Lists!$C:$C,MATCH(J148,Lists!$D:$D,0)),"")</f>
      </c>
      <c r="J148" s="15">
        <f>=IFERROR(INDEX($J$16:J147,MATCH(C148,$C$16:C147,0)),"")</f>
      </c>
    </row>
    <row r="149" ht="18" customHeight="1" spans="1:10" x14ac:dyDescent="0.25">
      <c r="A149" s="8"/>
      <c r="B149" s="8"/>
      <c r="C149" s="8"/>
      <c r="D149" s="8"/>
      <c r="E149" s="9">
        <f>=IFERROR(VLOOKUP(D149,Lists!$A:$B,2,0),"")</f>
      </c>
      <c r="F149" s="10"/>
      <c r="G149" s="11">
        <f>=SUMIF($C$16:$C$501,C149,$F$16:$F$501)</f>
      </c>
      <c r="H149" s="12">
        <f>=F149/3600</f>
      </c>
      <c r="I149" s="13">
        <f>=IFERROR(INDEX(Lists!$C:$C,MATCH(J149,Lists!$D:$D,0)),"")</f>
      </c>
      <c r="J149" s="15">
        <f>=IFERROR(INDEX($J$16:J148,MATCH(C149,$C$16:C148,0)),"")</f>
      </c>
    </row>
    <row r="150" ht="18" customHeight="1" spans="1:10" x14ac:dyDescent="0.25">
      <c r="A150" s="8"/>
      <c r="B150" s="8"/>
      <c r="C150" s="8"/>
      <c r="D150" s="8"/>
      <c r="E150" s="9">
        <f>=IFERROR(VLOOKUP(D150,Lists!$A:$B,2,0),"")</f>
      </c>
      <c r="F150" s="10"/>
      <c r="G150" s="11">
        <f>=SUMIF($C$16:$C$501,C150,$F$16:$F$501)</f>
      </c>
      <c r="H150" s="12">
        <f>=F150/3600</f>
      </c>
      <c r="I150" s="13">
        <f>=IFERROR(INDEX(Lists!$C:$C,MATCH(J150,Lists!$D:$D,0)),"")</f>
      </c>
      <c r="J150" s="15">
        <f>=IFERROR(INDEX($J$16:J149,MATCH(C150,$C$16:C149,0)),"")</f>
      </c>
    </row>
    <row r="151" ht="18" customHeight="1" spans="1:10" x14ac:dyDescent="0.25">
      <c r="A151" s="8"/>
      <c r="B151" s="8"/>
      <c r="C151" s="8"/>
      <c r="D151" s="8"/>
      <c r="E151" s="9">
        <f>=IFERROR(VLOOKUP(D151,Lists!$A:$B,2,0),"")</f>
      </c>
      <c r="F151" s="10"/>
      <c r="G151" s="11">
        <f>=SUMIF($C$16:$C$501,C151,$F$16:$F$501)</f>
      </c>
      <c r="H151" s="12">
        <f>=F151/3600</f>
      </c>
      <c r="I151" s="13">
        <f>=IFERROR(INDEX(Lists!$C:$C,MATCH(J151,Lists!$D:$D,0)),"")</f>
      </c>
      <c r="J151" s="15">
        <f>=IFERROR(INDEX($J$16:J150,MATCH(C151,$C$16:C150,0)),"")</f>
      </c>
    </row>
    <row r="152" ht="18" customHeight="1" spans="1:10" x14ac:dyDescent="0.25">
      <c r="A152" s="8"/>
      <c r="B152" s="8"/>
      <c r="C152" s="8"/>
      <c r="D152" s="8"/>
      <c r="E152" s="9">
        <f>=IFERROR(VLOOKUP(D152,Lists!$A:$B,2,0),"")</f>
      </c>
      <c r="F152" s="10"/>
      <c r="G152" s="11">
        <f>=SUMIF($C$16:$C$501,C152,$F$16:$F$501)</f>
      </c>
      <c r="H152" s="12">
        <f>=F152/3600</f>
      </c>
      <c r="I152" s="13">
        <f>=IFERROR(INDEX(Lists!$C:$C,MATCH(J152,Lists!$D:$D,0)),"")</f>
      </c>
      <c r="J152" s="15">
        <f>=IFERROR(INDEX($J$16:J151,MATCH(C152,$C$16:C151,0)),"")</f>
      </c>
    </row>
    <row r="153" ht="18" customHeight="1" spans="1:10" x14ac:dyDescent="0.25">
      <c r="A153" s="8"/>
      <c r="B153" s="8"/>
      <c r="C153" s="8"/>
      <c r="D153" s="8"/>
      <c r="E153" s="9">
        <f>=IFERROR(VLOOKUP(D153,Lists!$A:$B,2,0),"")</f>
      </c>
      <c r="F153" s="10"/>
      <c r="G153" s="11">
        <f>=SUMIF($C$16:$C$501,C153,$F$16:$F$501)</f>
      </c>
      <c r="H153" s="12">
        <f>=F153/3600</f>
      </c>
      <c r="I153" s="13">
        <f>=IFERROR(INDEX(Lists!$C:$C,MATCH(J153,Lists!$D:$D,0)),"")</f>
      </c>
      <c r="J153" s="15">
        <f>=IFERROR(INDEX($J$16:J152,MATCH(C153,$C$16:C152,0)),"")</f>
      </c>
    </row>
    <row r="154" ht="18" customHeight="1" spans="1:10" x14ac:dyDescent="0.25">
      <c r="A154" s="8"/>
      <c r="B154" s="8"/>
      <c r="C154" s="8"/>
      <c r="D154" s="8"/>
      <c r="E154" s="9">
        <f>=IFERROR(VLOOKUP(D154,Lists!$A:$B,2,0),"")</f>
      </c>
      <c r="F154" s="10"/>
      <c r="G154" s="11">
        <f>=SUMIF($C$16:$C$501,C154,$F$16:$F$501)</f>
      </c>
      <c r="H154" s="12">
        <f>=F154/3600</f>
      </c>
      <c r="I154" s="13">
        <f>=IFERROR(INDEX(Lists!$C:$C,MATCH(J154,Lists!$D:$D,0)),"")</f>
      </c>
      <c r="J154" s="15">
        <f>=IFERROR(INDEX($J$16:J153,MATCH(C154,$C$16:C153,0)),"")</f>
      </c>
    </row>
    <row r="155" ht="18" customHeight="1" spans="1:10" x14ac:dyDescent="0.25">
      <c r="A155" s="8"/>
      <c r="B155" s="8"/>
      <c r="C155" s="8"/>
      <c r="D155" s="8"/>
      <c r="E155" s="9">
        <f>=IFERROR(VLOOKUP(D155,Lists!$A:$B,2,0),"")</f>
      </c>
      <c r="F155" s="10"/>
      <c r="G155" s="11">
        <f>=SUMIF($C$16:$C$501,C155,$F$16:$F$501)</f>
      </c>
      <c r="H155" s="12">
        <f>=F155/3600</f>
      </c>
      <c r="I155" s="13">
        <f>=IFERROR(INDEX(Lists!$C:$C,MATCH(J155,Lists!$D:$D,0)),"")</f>
      </c>
      <c r="J155" s="15">
        <f>=IFERROR(INDEX($J$16:J154,MATCH(C155,$C$16:C154,0)),"")</f>
      </c>
    </row>
    <row r="156" ht="18" customHeight="1" spans="1:10" x14ac:dyDescent="0.25">
      <c r="A156" s="8"/>
      <c r="B156" s="8"/>
      <c r="C156" s="8"/>
      <c r="D156" s="8"/>
      <c r="E156" s="9">
        <f>=IFERROR(VLOOKUP(D156,Lists!$A:$B,2,0),"")</f>
      </c>
      <c r="F156" s="10"/>
      <c r="G156" s="11">
        <f>=SUMIF($C$16:$C$501,C156,$F$16:$F$501)</f>
      </c>
      <c r="H156" s="12">
        <f>=F156/3600</f>
      </c>
      <c r="I156" s="13">
        <f>=IFERROR(INDEX(Lists!$C:$C,MATCH(J156,Lists!$D:$D,0)),"")</f>
      </c>
      <c r="J156" s="15">
        <f>=IFERROR(INDEX($J$16:J155,MATCH(C156,$C$16:C155,0)),"")</f>
      </c>
    </row>
    <row r="157" ht="18" customHeight="1" spans="1:10" x14ac:dyDescent="0.25">
      <c r="A157" s="8"/>
      <c r="B157" s="8"/>
      <c r="C157" s="8"/>
      <c r="D157" s="8"/>
      <c r="E157" s="9">
        <f>=IFERROR(VLOOKUP(D157,Lists!$A:$B,2,0),"")</f>
      </c>
      <c r="F157" s="10"/>
      <c r="G157" s="11">
        <f>=SUMIF($C$16:$C$501,C157,$F$16:$F$501)</f>
      </c>
      <c r="H157" s="12">
        <f>=F157/3600</f>
      </c>
      <c r="I157" s="13">
        <f>=IFERROR(INDEX(Lists!$C:$C,MATCH(J157,Lists!$D:$D,0)),"")</f>
      </c>
      <c r="J157" s="15">
        <f>=IFERROR(INDEX($J$16:J156,MATCH(C157,$C$16:C156,0)),"")</f>
      </c>
    </row>
    <row r="158" ht="18" customHeight="1" spans="1:10" x14ac:dyDescent="0.25">
      <c r="A158" s="8"/>
      <c r="B158" s="8"/>
      <c r="C158" s="8"/>
      <c r="D158" s="8"/>
      <c r="E158" s="9">
        <f>=IFERROR(VLOOKUP(D158,Lists!$A:$B,2,0),"")</f>
      </c>
      <c r="F158" s="10"/>
      <c r="G158" s="11">
        <f>=SUMIF($C$16:$C$501,C158,$F$16:$F$501)</f>
      </c>
      <c r="H158" s="12">
        <f>=F158/3600</f>
      </c>
      <c r="I158" s="13">
        <f>=IFERROR(INDEX(Lists!$C:$C,MATCH(J158,Lists!$D:$D,0)),"")</f>
      </c>
      <c r="J158" s="15">
        <f>=IFERROR(INDEX($J$16:J157,MATCH(C158,$C$16:C157,0)),"")</f>
      </c>
    </row>
    <row r="159" ht="18" customHeight="1" spans="1:10" x14ac:dyDescent="0.25">
      <c r="A159" s="8"/>
      <c r="B159" s="8"/>
      <c r="C159" s="8"/>
      <c r="D159" s="8"/>
      <c r="E159" s="9">
        <f>=IFERROR(VLOOKUP(D159,Lists!$A:$B,2,0),"")</f>
      </c>
      <c r="F159" s="10"/>
      <c r="G159" s="11">
        <f>=SUMIF($C$16:$C$501,C159,$F$16:$F$501)</f>
      </c>
      <c r="H159" s="12">
        <f>=F159/3600</f>
      </c>
      <c r="I159" s="13">
        <f>=IFERROR(INDEX(Lists!$C:$C,MATCH(J159,Lists!$D:$D,0)),"")</f>
      </c>
      <c r="J159" s="15">
        <f>=IFERROR(INDEX($J$16:J158,MATCH(C159,$C$16:C158,0)),"")</f>
      </c>
    </row>
    <row r="160" ht="18" customHeight="1" spans="1:10" x14ac:dyDescent="0.25">
      <c r="A160" s="8"/>
      <c r="B160" s="8"/>
      <c r="C160" s="8"/>
      <c r="D160" s="8"/>
      <c r="E160" s="9">
        <f>=IFERROR(VLOOKUP(D160,Lists!$A:$B,2,0),"")</f>
      </c>
      <c r="F160" s="10"/>
      <c r="G160" s="11">
        <f>=SUMIF($C$16:$C$501,C160,$F$16:$F$501)</f>
      </c>
      <c r="H160" s="12">
        <f>=F160/3600</f>
      </c>
      <c r="I160" s="13">
        <f>=IFERROR(INDEX(Lists!$C:$C,MATCH(J160,Lists!$D:$D,0)),"")</f>
      </c>
      <c r="J160" s="15">
        <f>=IFERROR(INDEX($J$16:J159,MATCH(C160,$C$16:C159,0)),"")</f>
      </c>
    </row>
    <row r="161" ht="18" customHeight="1" spans="1:10" x14ac:dyDescent="0.25">
      <c r="A161" s="8"/>
      <c r="B161" s="8"/>
      <c r="C161" s="8"/>
      <c r="D161" s="8"/>
      <c r="E161" s="9">
        <f>=IFERROR(VLOOKUP(D161,Lists!$A:$B,2,0),"")</f>
      </c>
      <c r="F161" s="10"/>
      <c r="G161" s="11">
        <f>=SUMIF($C$16:$C$501,C161,$F$16:$F$501)</f>
      </c>
      <c r="H161" s="12">
        <f>=F161/3600</f>
      </c>
      <c r="I161" s="13">
        <f>=IFERROR(INDEX(Lists!$C:$C,MATCH(J161,Lists!$D:$D,0)),"")</f>
      </c>
      <c r="J161" s="15">
        <f>=IFERROR(INDEX($J$16:J160,MATCH(C161,$C$16:C160,0)),"")</f>
      </c>
    </row>
    <row r="162" ht="18" customHeight="1" spans="1:10" x14ac:dyDescent="0.25">
      <c r="A162" s="8"/>
      <c r="B162" s="8"/>
      <c r="C162" s="8"/>
      <c r="D162" s="8"/>
      <c r="E162" s="9">
        <f>=IFERROR(VLOOKUP(D162,Lists!$A:$B,2,0),"")</f>
      </c>
      <c r="F162" s="10"/>
      <c r="G162" s="11">
        <f>=SUMIF($C$16:$C$501,C162,$F$16:$F$501)</f>
      </c>
      <c r="H162" s="12">
        <f>=F162/3600</f>
      </c>
      <c r="I162" s="13">
        <f>=IFERROR(INDEX(Lists!$C:$C,MATCH(J162,Lists!$D:$D,0)),"")</f>
      </c>
      <c r="J162" s="15">
        <f>=IFERROR(INDEX($J$16:J161,MATCH(C162,$C$16:C161,0)),"")</f>
      </c>
    </row>
    <row r="163" ht="18" customHeight="1" spans="1:10" x14ac:dyDescent="0.25">
      <c r="A163" s="8"/>
      <c r="B163" s="8"/>
      <c r="C163" s="8"/>
      <c r="D163" s="8"/>
      <c r="E163" s="9">
        <f>=IFERROR(VLOOKUP(D163,Lists!$A:$B,2,0),"")</f>
      </c>
      <c r="F163" s="10"/>
      <c r="G163" s="11">
        <f>=SUMIF($C$16:$C$501,C163,$F$16:$F$501)</f>
      </c>
      <c r="H163" s="12">
        <f>=F163/3600</f>
      </c>
      <c r="I163" s="13">
        <f>=IFERROR(INDEX(Lists!$C:$C,MATCH(J163,Lists!$D:$D,0)),"")</f>
      </c>
      <c r="J163" s="15">
        <f>=IFERROR(INDEX($J$16:J162,MATCH(C163,$C$16:C162,0)),"")</f>
      </c>
    </row>
    <row r="164" ht="18" customHeight="1" spans="1:10" x14ac:dyDescent="0.25">
      <c r="A164" s="8"/>
      <c r="B164" s="8"/>
      <c r="C164" s="8"/>
      <c r="D164" s="8"/>
      <c r="E164" s="9">
        <f>=IFERROR(VLOOKUP(D164,Lists!$A:$B,2,0),"")</f>
      </c>
      <c r="F164" s="10"/>
      <c r="G164" s="11">
        <f>=SUMIF($C$16:$C$501,C164,$F$16:$F$501)</f>
      </c>
      <c r="H164" s="12">
        <f>=F164/3600</f>
      </c>
      <c r="I164" s="13">
        <f>=IFERROR(INDEX(Lists!$C:$C,MATCH(J164,Lists!$D:$D,0)),"")</f>
      </c>
      <c r="J164" s="15">
        <f>=IFERROR(INDEX($J$16:J163,MATCH(C164,$C$16:C163,0)),"")</f>
      </c>
    </row>
    <row r="165" ht="18" customHeight="1" spans="1:10" x14ac:dyDescent="0.25">
      <c r="A165" s="8"/>
      <c r="B165" s="8"/>
      <c r="C165" s="8"/>
      <c r="D165" s="8"/>
      <c r="E165" s="9">
        <f>=IFERROR(VLOOKUP(D165,Lists!$A:$B,2,0),"")</f>
      </c>
      <c r="F165" s="10"/>
      <c r="G165" s="11">
        <f>=SUMIF($C$16:$C$501,C165,$F$16:$F$501)</f>
      </c>
      <c r="H165" s="12">
        <f>=F165/3600</f>
      </c>
      <c r="I165" s="13">
        <f>=IFERROR(INDEX(Lists!$C:$C,MATCH(J165,Lists!$D:$D,0)),"")</f>
      </c>
      <c r="J165" s="15">
        <f>=IFERROR(INDEX($J$16:J164,MATCH(C165,$C$16:C164,0)),"")</f>
      </c>
    </row>
    <row r="166" ht="18" customHeight="1" spans="1:10" x14ac:dyDescent="0.25">
      <c r="A166" s="8"/>
      <c r="B166" s="8"/>
      <c r="C166" s="8"/>
      <c r="D166" s="8"/>
      <c r="E166" s="9">
        <f>=IFERROR(VLOOKUP(D166,Lists!$A:$B,2,0),"")</f>
      </c>
      <c r="F166" s="10"/>
      <c r="G166" s="11">
        <f>=SUMIF($C$16:$C$501,C166,$F$16:$F$501)</f>
      </c>
      <c r="H166" s="12">
        <f>=F166/3600</f>
      </c>
      <c r="I166" s="13">
        <f>=IFERROR(INDEX(Lists!$C:$C,MATCH(J166,Lists!$D:$D,0)),"")</f>
      </c>
      <c r="J166" s="15">
        <f>=IFERROR(INDEX($J$16:J165,MATCH(C166,$C$16:C165,0)),"")</f>
      </c>
    </row>
    <row r="167" ht="18" customHeight="1" spans="1:10" x14ac:dyDescent="0.25">
      <c r="A167" s="8"/>
      <c r="B167" s="8"/>
      <c r="C167" s="8"/>
      <c r="D167" s="8"/>
      <c r="E167" s="9">
        <f>=IFERROR(VLOOKUP(D167,Lists!$A:$B,2,0),"")</f>
      </c>
      <c r="F167" s="10"/>
      <c r="G167" s="11">
        <f>=SUMIF($C$16:$C$501,C167,$F$16:$F$501)</f>
      </c>
      <c r="H167" s="12">
        <f>=F167/3600</f>
      </c>
      <c r="I167" s="13">
        <f>=IFERROR(INDEX(Lists!$C:$C,MATCH(J167,Lists!$D:$D,0)),"")</f>
      </c>
      <c r="J167" s="15">
        <f>=IFERROR(INDEX($J$16:J166,MATCH(C167,$C$16:C166,0)),"")</f>
      </c>
    </row>
    <row r="168" ht="18" customHeight="1" spans="1:10" x14ac:dyDescent="0.25">
      <c r="A168" s="8"/>
      <c r="B168" s="8"/>
      <c r="C168" s="8"/>
      <c r="D168" s="8"/>
      <c r="E168" s="9">
        <f>=IFERROR(VLOOKUP(D168,Lists!$A:$B,2,0),"")</f>
      </c>
      <c r="F168" s="10"/>
      <c r="G168" s="11">
        <f>=SUMIF($C$16:$C$501,C168,$F$16:$F$501)</f>
      </c>
      <c r="H168" s="12">
        <f>=F168/3600</f>
      </c>
      <c r="I168" s="13">
        <f>=IFERROR(INDEX(Lists!$C:$C,MATCH(J168,Lists!$D:$D,0)),"")</f>
      </c>
      <c r="J168" s="15">
        <f>=IFERROR(INDEX($J$16:J167,MATCH(C168,$C$16:C167,0)),"")</f>
      </c>
    </row>
    <row r="169" ht="18" customHeight="1" spans="1:10" x14ac:dyDescent="0.25">
      <c r="A169" s="8"/>
      <c r="B169" s="8"/>
      <c r="C169" s="8"/>
      <c r="D169" s="8"/>
      <c r="E169" s="9">
        <f>=IFERROR(VLOOKUP(D169,Lists!$A:$B,2,0),"")</f>
      </c>
      <c r="F169" s="10"/>
      <c r="G169" s="11">
        <f>=SUMIF($C$16:$C$501,C169,$F$16:$F$501)</f>
      </c>
      <c r="H169" s="12">
        <f>=F169/3600</f>
      </c>
      <c r="I169" s="13">
        <f>=IFERROR(INDEX(Lists!$C:$C,MATCH(J169,Lists!$D:$D,0)),"")</f>
      </c>
      <c r="J169" s="15">
        <f>=IFERROR(INDEX($J$16:J168,MATCH(C169,$C$16:C168,0)),"")</f>
      </c>
    </row>
    <row r="170" ht="18" customHeight="1" spans="1:10" x14ac:dyDescent="0.25">
      <c r="A170" s="8"/>
      <c r="B170" s="8"/>
      <c r="C170" s="8"/>
      <c r="D170" s="8"/>
      <c r="E170" s="9">
        <f>=IFERROR(VLOOKUP(D170,Lists!$A:$B,2,0),"")</f>
      </c>
      <c r="F170" s="10"/>
      <c r="G170" s="11">
        <f>=SUMIF($C$16:$C$501,C170,$F$16:$F$501)</f>
      </c>
      <c r="H170" s="12">
        <f>=F170/3600</f>
      </c>
      <c r="I170" s="13">
        <f>=IFERROR(INDEX(Lists!$C:$C,MATCH(J170,Lists!$D:$D,0)),"")</f>
      </c>
      <c r="J170" s="15">
        <f>=IFERROR(INDEX($J$16:J169,MATCH(C170,$C$16:C169,0)),"")</f>
      </c>
    </row>
    <row r="171" ht="18" customHeight="1" spans="1:10" x14ac:dyDescent="0.25">
      <c r="A171" s="8"/>
      <c r="B171" s="8"/>
      <c r="C171" s="8"/>
      <c r="D171" s="8"/>
      <c r="E171" s="9">
        <f>=IFERROR(VLOOKUP(D171,Lists!$A:$B,2,0),"")</f>
      </c>
      <c r="F171" s="10"/>
      <c r="G171" s="11">
        <f>=SUMIF($C$16:$C$501,C171,$F$16:$F$501)</f>
      </c>
      <c r="H171" s="12">
        <f>=F171/3600</f>
      </c>
      <c r="I171" s="13">
        <f>=IFERROR(INDEX(Lists!$C:$C,MATCH(J171,Lists!$D:$D,0)),"")</f>
      </c>
      <c r="J171" s="15">
        <f>=IFERROR(INDEX($J$16:J170,MATCH(C171,$C$16:C170,0)),"")</f>
      </c>
    </row>
    <row r="172" ht="18" customHeight="1" spans="1:10" x14ac:dyDescent="0.25">
      <c r="A172" s="8"/>
      <c r="B172" s="8"/>
      <c r="C172" s="8"/>
      <c r="D172" s="8"/>
      <c r="E172" s="9">
        <f>=IFERROR(VLOOKUP(D172,Lists!$A:$B,2,0),"")</f>
      </c>
      <c r="F172" s="10"/>
      <c r="G172" s="11">
        <f>=SUMIF($C$16:$C$501,C172,$F$16:$F$501)</f>
      </c>
      <c r="H172" s="12">
        <f>=F172/3600</f>
      </c>
      <c r="I172" s="13">
        <f>=IFERROR(INDEX(Lists!$C:$C,MATCH(J172,Lists!$D:$D,0)),"")</f>
      </c>
      <c r="J172" s="15">
        <f>=IFERROR(INDEX($J$16:J171,MATCH(C172,$C$16:C171,0)),"")</f>
      </c>
    </row>
    <row r="173" ht="18" customHeight="1" spans="1:10" x14ac:dyDescent="0.25">
      <c r="A173" s="8"/>
      <c r="B173" s="8"/>
      <c r="C173" s="8"/>
      <c r="D173" s="8"/>
      <c r="E173" s="9">
        <f>=IFERROR(VLOOKUP(D173,Lists!$A:$B,2,0),"")</f>
      </c>
      <c r="F173" s="10"/>
      <c r="G173" s="11">
        <f>=SUMIF($C$16:$C$501,C173,$F$16:$F$501)</f>
      </c>
      <c r="H173" s="12">
        <f>=F173/3600</f>
      </c>
      <c r="I173" s="13">
        <f>=IFERROR(INDEX(Lists!$C:$C,MATCH(J173,Lists!$D:$D,0)),"")</f>
      </c>
      <c r="J173" s="15">
        <f>=IFERROR(INDEX($J$16:J172,MATCH(C173,$C$16:C172,0)),"")</f>
      </c>
    </row>
    <row r="174" ht="18" customHeight="1" spans="1:10" x14ac:dyDescent="0.25">
      <c r="A174" s="8"/>
      <c r="B174" s="8"/>
      <c r="C174" s="8"/>
      <c r="D174" s="8"/>
      <c r="E174" s="9">
        <f>=IFERROR(VLOOKUP(D174,Lists!$A:$B,2,0),"")</f>
      </c>
      <c r="F174" s="10"/>
      <c r="G174" s="11">
        <f>=SUMIF($C$16:$C$501,C174,$F$16:$F$501)</f>
      </c>
      <c r="H174" s="12">
        <f>=F174/3600</f>
      </c>
      <c r="I174" s="13">
        <f>=IFERROR(INDEX(Lists!$C:$C,MATCH(J174,Lists!$D:$D,0)),"")</f>
      </c>
      <c r="J174" s="15">
        <f>=IFERROR(INDEX($J$16:J173,MATCH(C174,$C$16:C173,0)),"")</f>
      </c>
    </row>
    <row r="175" ht="18" customHeight="1" spans="1:10" x14ac:dyDescent="0.25">
      <c r="A175" s="8"/>
      <c r="B175" s="8"/>
      <c r="C175" s="8"/>
      <c r="D175" s="8"/>
      <c r="E175" s="9">
        <f>=IFERROR(VLOOKUP(D175,Lists!$A:$B,2,0),"")</f>
      </c>
      <c r="F175" s="10"/>
      <c r="G175" s="11">
        <f>=SUMIF($C$16:$C$501,C175,$F$16:$F$501)</f>
      </c>
      <c r="H175" s="12">
        <f>=F175/3600</f>
      </c>
      <c r="I175" s="13">
        <f>=IFERROR(INDEX(Lists!$C:$C,MATCH(J175,Lists!$D:$D,0)),"")</f>
      </c>
      <c r="J175" s="15">
        <f>=IFERROR(INDEX($J$16:J174,MATCH(C175,$C$16:C174,0)),"")</f>
      </c>
    </row>
    <row r="176" ht="18" customHeight="1" spans="1:10" x14ac:dyDescent="0.25">
      <c r="A176" s="8"/>
      <c r="B176" s="8"/>
      <c r="C176" s="8"/>
      <c r="D176" s="8"/>
      <c r="E176" s="9">
        <f>=IFERROR(VLOOKUP(D176,Lists!$A:$B,2,0),"")</f>
      </c>
      <c r="F176" s="10"/>
      <c r="G176" s="11">
        <f>=SUMIF($C$16:$C$501,C176,$F$16:$F$501)</f>
      </c>
      <c r="H176" s="12">
        <f>=F176/3600</f>
      </c>
      <c r="I176" s="13">
        <f>=IFERROR(INDEX(Lists!$C:$C,MATCH(J176,Lists!$D:$D,0)),"")</f>
      </c>
      <c r="J176" s="15">
        <f>=IFERROR(INDEX($J$16:J175,MATCH(C176,$C$16:C175,0)),"")</f>
      </c>
    </row>
    <row r="177" ht="18" customHeight="1" spans="1:10" x14ac:dyDescent="0.25">
      <c r="A177" s="8"/>
      <c r="B177" s="8"/>
      <c r="C177" s="8"/>
      <c r="D177" s="8"/>
      <c r="E177" s="9">
        <f>=IFERROR(VLOOKUP(D177,Lists!$A:$B,2,0),"")</f>
      </c>
      <c r="F177" s="10"/>
      <c r="G177" s="11">
        <f>=SUMIF($C$16:$C$501,C177,$F$16:$F$501)</f>
      </c>
      <c r="H177" s="12">
        <f>=F177/3600</f>
      </c>
      <c r="I177" s="13">
        <f>=IFERROR(INDEX(Lists!$C:$C,MATCH(J177,Lists!$D:$D,0)),"")</f>
      </c>
      <c r="J177" s="15">
        <f>=IFERROR(INDEX($J$16:J176,MATCH(C177,$C$16:C176,0)),"")</f>
      </c>
    </row>
    <row r="178" ht="18" customHeight="1" spans="1:10" x14ac:dyDescent="0.25">
      <c r="A178" s="8"/>
      <c r="B178" s="8"/>
      <c r="C178" s="8"/>
      <c r="D178" s="8"/>
      <c r="E178" s="9">
        <f>=IFERROR(VLOOKUP(D178,Lists!$A:$B,2,0),"")</f>
      </c>
      <c r="F178" s="10"/>
      <c r="G178" s="11">
        <f>=SUMIF($C$16:$C$501,C178,$F$16:$F$501)</f>
      </c>
      <c r="H178" s="12">
        <f>=F178/3600</f>
      </c>
      <c r="I178" s="13">
        <f>=IFERROR(INDEX(Lists!$C:$C,MATCH(J178,Lists!$D:$D,0)),"")</f>
      </c>
      <c r="J178" s="15">
        <f>=IFERROR(INDEX($J$16:J177,MATCH(C178,$C$16:C177,0)),"")</f>
      </c>
    </row>
    <row r="179" ht="18" customHeight="1" spans="1:10" x14ac:dyDescent="0.25">
      <c r="A179" s="8"/>
      <c r="B179" s="8"/>
      <c r="C179" s="8"/>
      <c r="D179" s="8"/>
      <c r="E179" s="9">
        <f>=IFERROR(VLOOKUP(D179,Lists!$A:$B,2,0),"")</f>
      </c>
      <c r="F179" s="10"/>
      <c r="G179" s="11">
        <f>=SUMIF($C$16:$C$501,C179,$F$16:$F$501)</f>
      </c>
      <c r="H179" s="12">
        <f>=F179/3600</f>
      </c>
      <c r="I179" s="13">
        <f>=IFERROR(INDEX(Lists!$C:$C,MATCH(J179,Lists!$D:$D,0)),"")</f>
      </c>
      <c r="J179" s="15">
        <f>=IFERROR(INDEX($J$16:J178,MATCH(C179,$C$16:C178,0)),"")</f>
      </c>
    </row>
    <row r="180" ht="18" customHeight="1" spans="1:10" x14ac:dyDescent="0.25">
      <c r="A180" s="8"/>
      <c r="B180" s="8"/>
      <c r="C180" s="8"/>
      <c r="D180" s="8"/>
      <c r="E180" s="9">
        <f>=IFERROR(VLOOKUP(D180,Lists!$A:$B,2,0),"")</f>
      </c>
      <c r="F180" s="10"/>
      <c r="G180" s="11">
        <f>=SUMIF($C$16:$C$501,C180,$F$16:$F$501)</f>
      </c>
      <c r="H180" s="12">
        <f>=F180/3600</f>
      </c>
      <c r="I180" s="13">
        <f>=IFERROR(INDEX(Lists!$C:$C,MATCH(J180,Lists!$D:$D,0)),"")</f>
      </c>
      <c r="J180" s="15">
        <f>=IFERROR(INDEX($J$16:J179,MATCH(C180,$C$16:C179,0)),"")</f>
      </c>
    </row>
    <row r="181" ht="18" customHeight="1" spans="1:10" x14ac:dyDescent="0.25">
      <c r="A181" s="8"/>
      <c r="B181" s="8"/>
      <c r="C181" s="8"/>
      <c r="D181" s="8"/>
      <c r="E181" s="9">
        <f>=IFERROR(VLOOKUP(D181,Lists!$A:$B,2,0),"")</f>
      </c>
      <c r="F181" s="10"/>
      <c r="G181" s="11">
        <f>=SUMIF($C$16:$C$501,C181,$F$16:$F$501)</f>
      </c>
      <c r="H181" s="12">
        <f>=F181/3600</f>
      </c>
      <c r="I181" s="13">
        <f>=IFERROR(INDEX(Lists!$C:$C,MATCH(J181,Lists!$D:$D,0)),"")</f>
      </c>
      <c r="J181" s="15">
        <f>=IFERROR(INDEX($J$16:J180,MATCH(C181,$C$16:C180,0)),"")</f>
      </c>
    </row>
    <row r="182" ht="18" customHeight="1" spans="1:10" x14ac:dyDescent="0.25">
      <c r="A182" s="8"/>
      <c r="B182" s="8"/>
      <c r="C182" s="8"/>
      <c r="D182" s="8"/>
      <c r="E182" s="9">
        <f>=IFERROR(VLOOKUP(D182,Lists!$A:$B,2,0),"")</f>
      </c>
      <c r="F182" s="10"/>
      <c r="G182" s="11">
        <f>=SUMIF($C$16:$C$501,C182,$F$16:$F$501)</f>
      </c>
      <c r="H182" s="12">
        <f>=F182/3600</f>
      </c>
      <c r="I182" s="13">
        <f>=IFERROR(INDEX(Lists!$C:$C,MATCH(J182,Lists!$D:$D,0)),"")</f>
      </c>
      <c r="J182" s="15">
        <f>=IFERROR(INDEX($J$16:J181,MATCH(C182,$C$16:C181,0)),"")</f>
      </c>
    </row>
    <row r="183" ht="18" customHeight="1" spans="1:10" x14ac:dyDescent="0.25">
      <c r="A183" s="8"/>
      <c r="B183" s="8"/>
      <c r="C183" s="8"/>
      <c r="D183" s="8"/>
      <c r="E183" s="9">
        <f>=IFERROR(VLOOKUP(D183,Lists!$A:$B,2,0),"")</f>
      </c>
      <c r="F183" s="10"/>
      <c r="G183" s="11">
        <f>=SUMIF($C$16:$C$501,C183,$F$16:$F$501)</f>
      </c>
      <c r="H183" s="12">
        <f>=F183/3600</f>
      </c>
      <c r="I183" s="13">
        <f>=IFERROR(INDEX(Lists!$C:$C,MATCH(J183,Lists!$D:$D,0)),"")</f>
      </c>
      <c r="J183" s="15">
        <f>=IFERROR(INDEX($J$16:J182,MATCH(C183,$C$16:C182,0)),"")</f>
      </c>
    </row>
    <row r="184" ht="18" customHeight="1" spans="1:10" x14ac:dyDescent="0.25">
      <c r="A184" s="8"/>
      <c r="B184" s="8"/>
      <c r="C184" s="8"/>
      <c r="D184" s="8"/>
      <c r="E184" s="9">
        <f>=IFERROR(VLOOKUP(D184,Lists!$A:$B,2,0),"")</f>
      </c>
      <c r="F184" s="10"/>
      <c r="G184" s="11">
        <f>=SUMIF($C$16:$C$501,C184,$F$16:$F$501)</f>
      </c>
      <c r="H184" s="12">
        <f>=F184/3600</f>
      </c>
      <c r="I184" s="13">
        <f>=IFERROR(INDEX(Lists!$C:$C,MATCH(J184,Lists!$D:$D,0)),"")</f>
      </c>
      <c r="J184" s="15">
        <f>=IFERROR(INDEX($J$16:J183,MATCH(C184,$C$16:C183,0)),"")</f>
      </c>
    </row>
    <row r="185" ht="18" customHeight="1" spans="1:10" x14ac:dyDescent="0.25">
      <c r="A185" s="8"/>
      <c r="B185" s="8"/>
      <c r="C185" s="8"/>
      <c r="D185" s="8"/>
      <c r="E185" s="9">
        <f>=IFERROR(VLOOKUP(D185,Lists!$A:$B,2,0),"")</f>
      </c>
      <c r="F185" s="10"/>
      <c r="G185" s="11">
        <f>=SUMIF($C$16:$C$501,C185,$F$16:$F$501)</f>
      </c>
      <c r="H185" s="12">
        <f>=F185/3600</f>
      </c>
      <c r="I185" s="13">
        <f>=IFERROR(INDEX(Lists!$C:$C,MATCH(J185,Lists!$D:$D,0)),"")</f>
      </c>
      <c r="J185" s="15">
        <f>=IFERROR(INDEX($J$16:J184,MATCH(C185,$C$16:C184,0)),"")</f>
      </c>
    </row>
    <row r="186" ht="18" customHeight="1" spans="1:10" x14ac:dyDescent="0.25">
      <c r="A186" s="8"/>
      <c r="B186" s="8"/>
      <c r="C186" s="8"/>
      <c r="D186" s="8"/>
      <c r="E186" s="9">
        <f>=IFERROR(VLOOKUP(D186,Lists!$A:$B,2,0),"")</f>
      </c>
      <c r="F186" s="10"/>
      <c r="G186" s="11">
        <f>=SUMIF($C$16:$C$501,C186,$F$16:$F$501)</f>
      </c>
      <c r="H186" s="12">
        <f>=F186/3600</f>
      </c>
      <c r="I186" s="13">
        <f>=IFERROR(INDEX(Lists!$C:$C,MATCH(J186,Lists!$D:$D,0)),"")</f>
      </c>
      <c r="J186" s="15">
        <f>=IFERROR(INDEX($J$16:J185,MATCH(C186,$C$16:C185,0)),"")</f>
      </c>
    </row>
    <row r="187" ht="18" customHeight="1" spans="1:10" x14ac:dyDescent="0.25">
      <c r="A187" s="8"/>
      <c r="B187" s="8"/>
      <c r="C187" s="8"/>
      <c r="D187" s="8"/>
      <c r="E187" s="9">
        <f>=IFERROR(VLOOKUP(D187,Lists!$A:$B,2,0),"")</f>
      </c>
      <c r="F187" s="10"/>
      <c r="G187" s="11">
        <f>=SUMIF($C$16:$C$501,C187,$F$16:$F$501)</f>
      </c>
      <c r="H187" s="12">
        <f>=F187/3600</f>
      </c>
      <c r="I187" s="13">
        <f>=IFERROR(INDEX(Lists!$C:$C,MATCH(J187,Lists!$D:$D,0)),"")</f>
      </c>
      <c r="J187" s="15">
        <f>=IFERROR(INDEX($J$16:J186,MATCH(C187,$C$16:C186,0)),"")</f>
      </c>
    </row>
    <row r="188" ht="18" customHeight="1" spans="1:10" x14ac:dyDescent="0.25">
      <c r="A188" s="8"/>
      <c r="B188" s="8"/>
      <c r="C188" s="8"/>
      <c r="D188" s="8"/>
      <c r="E188" s="9">
        <f>=IFERROR(VLOOKUP(D188,Lists!$A:$B,2,0),"")</f>
      </c>
      <c r="F188" s="10"/>
      <c r="G188" s="11">
        <f>=SUMIF($C$16:$C$501,C188,$F$16:$F$501)</f>
      </c>
      <c r="H188" s="12">
        <f>=F188/3600</f>
      </c>
      <c r="I188" s="13">
        <f>=IFERROR(INDEX(Lists!$C:$C,MATCH(J188,Lists!$D:$D,0)),"")</f>
      </c>
      <c r="J188" s="15">
        <f>=IFERROR(INDEX($J$16:J187,MATCH(C188,$C$16:C187,0)),"")</f>
      </c>
    </row>
    <row r="189" ht="18" customHeight="1" spans="1:10" x14ac:dyDescent="0.25">
      <c r="A189" s="8"/>
      <c r="B189" s="8"/>
      <c r="C189" s="8"/>
      <c r="D189" s="8"/>
      <c r="E189" s="9">
        <f>=IFERROR(VLOOKUP(D189,Lists!$A:$B,2,0),"")</f>
      </c>
      <c r="F189" s="10"/>
      <c r="G189" s="11">
        <f>=SUMIF($C$16:$C$501,C189,$F$16:$F$501)</f>
      </c>
      <c r="H189" s="12">
        <f>=F189/3600</f>
      </c>
      <c r="I189" s="13">
        <f>=IFERROR(INDEX(Lists!$C:$C,MATCH(J189,Lists!$D:$D,0)),"")</f>
      </c>
      <c r="J189" s="15">
        <f>=IFERROR(INDEX($J$16:J188,MATCH(C189,$C$16:C188,0)),"")</f>
      </c>
    </row>
    <row r="190" ht="18" customHeight="1" spans="1:10" x14ac:dyDescent="0.25">
      <c r="A190" s="8"/>
      <c r="B190" s="8"/>
      <c r="C190" s="8"/>
      <c r="D190" s="8"/>
      <c r="E190" s="9">
        <f>=IFERROR(VLOOKUP(D190,Lists!$A:$B,2,0),"")</f>
      </c>
      <c r="F190" s="10"/>
      <c r="G190" s="11">
        <f>=SUMIF($C$16:$C$501,C190,$F$16:$F$501)</f>
      </c>
      <c r="H190" s="12">
        <f>=F190/3600</f>
      </c>
      <c r="I190" s="13">
        <f>=IFERROR(INDEX(Lists!$C:$C,MATCH(J190,Lists!$D:$D,0)),"")</f>
      </c>
      <c r="J190" s="15">
        <f>=IFERROR(INDEX($J$16:J189,MATCH(C190,$C$16:C189,0)),"")</f>
      </c>
    </row>
    <row r="191" ht="18" customHeight="1" spans="1:10" x14ac:dyDescent="0.25">
      <c r="A191" s="8"/>
      <c r="B191" s="8"/>
      <c r="C191" s="8"/>
      <c r="D191" s="8"/>
      <c r="E191" s="9">
        <f>=IFERROR(VLOOKUP(D191,Lists!$A:$B,2,0),"")</f>
      </c>
      <c r="F191" s="10"/>
      <c r="G191" s="11">
        <f>=SUMIF($C$16:$C$501,C191,$F$16:$F$501)</f>
      </c>
      <c r="H191" s="12">
        <f>=F191/3600</f>
      </c>
      <c r="I191" s="13">
        <f>=IFERROR(INDEX(Lists!$C:$C,MATCH(J191,Lists!$D:$D,0)),"")</f>
      </c>
      <c r="J191" s="15">
        <f>=IFERROR(INDEX($J$16:J190,MATCH(C191,$C$16:C190,0)),"")</f>
      </c>
    </row>
    <row r="192" ht="18" customHeight="1" spans="1:10" x14ac:dyDescent="0.25">
      <c r="A192" s="8"/>
      <c r="B192" s="8"/>
      <c r="C192" s="8"/>
      <c r="D192" s="8"/>
      <c r="E192" s="9">
        <f>=IFERROR(VLOOKUP(D192,Lists!$A:$B,2,0),"")</f>
      </c>
      <c r="F192" s="10"/>
      <c r="G192" s="11">
        <f>=SUMIF($C$16:$C$501,C192,$F$16:$F$501)</f>
      </c>
      <c r="H192" s="12">
        <f>=F192/3600</f>
      </c>
      <c r="I192" s="13">
        <f>=IFERROR(INDEX(Lists!$C:$C,MATCH(J192,Lists!$D:$D,0)),"")</f>
      </c>
      <c r="J192" s="15">
        <f>=IFERROR(INDEX($J$16:J191,MATCH(C192,$C$16:C191,0)),"")</f>
      </c>
    </row>
    <row r="193" ht="18" customHeight="1" spans="1:10" x14ac:dyDescent="0.25">
      <c r="A193" s="8"/>
      <c r="B193" s="8"/>
      <c r="C193" s="8"/>
      <c r="D193" s="8"/>
      <c r="E193" s="9">
        <f>=IFERROR(VLOOKUP(D193,Lists!$A:$B,2,0),"")</f>
      </c>
      <c r="F193" s="10"/>
      <c r="G193" s="11">
        <f>=SUMIF($C$16:$C$501,C193,$F$16:$F$501)</f>
      </c>
      <c r="H193" s="12">
        <f>=F193/3600</f>
      </c>
      <c r="I193" s="13">
        <f>=IFERROR(INDEX(Lists!$C:$C,MATCH(J193,Lists!$D:$D,0)),"")</f>
      </c>
      <c r="J193" s="15">
        <f>=IFERROR(INDEX($J$16:J192,MATCH(C193,$C$16:C192,0)),"")</f>
      </c>
    </row>
    <row r="194" ht="18" customHeight="1" spans="1:10" x14ac:dyDescent="0.25">
      <c r="A194" s="8"/>
      <c r="B194" s="8"/>
      <c r="C194" s="8"/>
      <c r="D194" s="8"/>
      <c r="E194" s="9">
        <f>=IFERROR(VLOOKUP(D194,Lists!$A:$B,2,0),"")</f>
      </c>
      <c r="F194" s="10"/>
      <c r="G194" s="11">
        <f>=SUMIF($C$16:$C$501,C194,$F$16:$F$501)</f>
      </c>
      <c r="H194" s="12">
        <f>=F194/3600</f>
      </c>
      <c r="I194" s="13">
        <f>=IFERROR(INDEX(Lists!$C:$C,MATCH(J194,Lists!$D:$D,0)),"")</f>
      </c>
      <c r="J194" s="15">
        <f>=IFERROR(INDEX($J$16:J193,MATCH(C194,$C$16:C193,0)),"")</f>
      </c>
    </row>
    <row r="195" ht="18" customHeight="1" spans="1:10" x14ac:dyDescent="0.25">
      <c r="A195" s="8"/>
      <c r="B195" s="8"/>
      <c r="C195" s="8"/>
      <c r="D195" s="8"/>
      <c r="E195" s="9">
        <f>=IFERROR(VLOOKUP(D195,Lists!$A:$B,2,0),"")</f>
      </c>
      <c r="F195" s="10"/>
      <c r="G195" s="11">
        <f>=SUMIF($C$16:$C$501,C195,$F$16:$F$501)</f>
      </c>
      <c r="H195" s="12">
        <f>=F195/3600</f>
      </c>
      <c r="I195" s="13">
        <f>=IFERROR(INDEX(Lists!$C:$C,MATCH(J195,Lists!$D:$D,0)),"")</f>
      </c>
      <c r="J195" s="15">
        <f>=IFERROR(INDEX($J$16:J194,MATCH(C195,$C$16:C194,0)),"")</f>
      </c>
    </row>
    <row r="196" ht="18" customHeight="1" spans="1:10" x14ac:dyDescent="0.25">
      <c r="A196" s="8"/>
      <c r="B196" s="8"/>
      <c r="C196" s="8"/>
      <c r="D196" s="8"/>
      <c r="E196" s="9">
        <f>=IFERROR(VLOOKUP(D196,Lists!$A:$B,2,0),"")</f>
      </c>
      <c r="F196" s="10"/>
      <c r="G196" s="11">
        <f>=SUMIF($C$16:$C$501,C196,$F$16:$F$501)</f>
      </c>
      <c r="H196" s="12">
        <f>=F196/3600</f>
      </c>
      <c r="I196" s="13">
        <f>=IFERROR(INDEX(Lists!$C:$C,MATCH(J196,Lists!$D:$D,0)),"")</f>
      </c>
      <c r="J196" s="15">
        <f>=IFERROR(INDEX($J$16:J195,MATCH(C196,$C$16:C195,0)),"")</f>
      </c>
    </row>
    <row r="197" ht="18" customHeight="1" spans="1:10" x14ac:dyDescent="0.25">
      <c r="A197" s="8"/>
      <c r="B197" s="8"/>
      <c r="C197" s="8"/>
      <c r="D197" s="8"/>
      <c r="E197" s="9">
        <f>=IFERROR(VLOOKUP(D197,Lists!$A:$B,2,0),"")</f>
      </c>
      <c r="F197" s="10"/>
      <c r="G197" s="11">
        <f>=SUMIF($C$16:$C$501,C197,$F$16:$F$501)</f>
      </c>
      <c r="H197" s="12">
        <f>=F197/3600</f>
      </c>
      <c r="I197" s="13">
        <f>=IFERROR(INDEX(Lists!$C:$C,MATCH(J197,Lists!$D:$D,0)),"")</f>
      </c>
      <c r="J197" s="15">
        <f>=IFERROR(INDEX($J$16:J196,MATCH(C197,$C$16:C196,0)),"")</f>
      </c>
    </row>
    <row r="198" ht="18" customHeight="1" spans="1:10" x14ac:dyDescent="0.25">
      <c r="A198" s="8"/>
      <c r="B198" s="8"/>
      <c r="C198" s="8"/>
      <c r="D198" s="8"/>
      <c r="E198" s="9">
        <f>=IFERROR(VLOOKUP(D198,Lists!$A:$B,2,0),"")</f>
      </c>
      <c r="F198" s="10"/>
      <c r="G198" s="11">
        <f>=SUMIF($C$16:$C$501,C198,$F$16:$F$501)</f>
      </c>
      <c r="H198" s="12">
        <f>=F198/3600</f>
      </c>
      <c r="I198" s="13">
        <f>=IFERROR(INDEX(Lists!$C:$C,MATCH(J198,Lists!$D:$D,0)),"")</f>
      </c>
      <c r="J198" s="15">
        <f>=IFERROR(INDEX($J$16:J197,MATCH(C198,$C$16:C197,0)),"")</f>
      </c>
    </row>
    <row r="199" ht="18" customHeight="1" spans="1:10" x14ac:dyDescent="0.25">
      <c r="A199" s="8"/>
      <c r="B199" s="8"/>
      <c r="C199" s="8"/>
      <c r="D199" s="8"/>
      <c r="E199" s="9">
        <f>=IFERROR(VLOOKUP(D199,Lists!$A:$B,2,0),"")</f>
      </c>
      <c r="F199" s="10"/>
      <c r="G199" s="11">
        <f>=SUMIF($C$16:$C$501,C199,$F$16:$F$501)</f>
      </c>
      <c r="H199" s="12">
        <f>=F199/3600</f>
      </c>
      <c r="I199" s="13">
        <f>=IFERROR(INDEX(Lists!$C:$C,MATCH(J199,Lists!$D:$D,0)),"")</f>
      </c>
      <c r="J199" s="15">
        <f>=IFERROR(INDEX($J$16:J198,MATCH(C199,$C$16:C198,0)),"")</f>
      </c>
    </row>
    <row r="200" ht="18" customHeight="1" spans="1:10" x14ac:dyDescent="0.25">
      <c r="A200" s="8"/>
      <c r="B200" s="8"/>
      <c r="C200" s="8"/>
      <c r="D200" s="8"/>
      <c r="E200" s="9">
        <f>=IFERROR(VLOOKUP(D200,Lists!$A:$B,2,0),"")</f>
      </c>
      <c r="F200" s="10"/>
      <c r="G200" s="11">
        <f>=SUMIF($C$16:$C$501,C200,$F$16:$F$501)</f>
      </c>
      <c r="H200" s="12">
        <f>=F200/3600</f>
      </c>
      <c r="I200" s="13">
        <f>=IFERROR(INDEX(Lists!$C:$C,MATCH(J200,Lists!$D:$D,0)),"")</f>
      </c>
      <c r="J200" s="15">
        <f>=IFERROR(INDEX($J$16:J199,MATCH(C200,$C$16:C199,0)),"")</f>
      </c>
    </row>
    <row r="201" ht="18" customHeight="1" spans="1:10" x14ac:dyDescent="0.25">
      <c r="A201" s="8"/>
      <c r="B201" s="8"/>
      <c r="C201" s="8"/>
      <c r="D201" s="8"/>
      <c r="E201" s="9">
        <f>=IFERROR(VLOOKUP(D201,Lists!$A:$B,2,0),"")</f>
      </c>
      <c r="F201" s="10"/>
      <c r="G201" s="11">
        <f>=SUMIF($C$16:$C$501,C201,$F$16:$F$501)</f>
      </c>
      <c r="H201" s="12">
        <f>=F201/3600</f>
      </c>
      <c r="I201" s="13">
        <f>=IFERROR(INDEX(Lists!$C:$C,MATCH(J201,Lists!$D:$D,0)),"")</f>
      </c>
      <c r="J201" s="15">
        <f>=IFERROR(INDEX($J$16:J200,MATCH(C201,$C$16:C200,0)),"")</f>
      </c>
    </row>
    <row r="202" ht="18" customHeight="1" spans="1:10" x14ac:dyDescent="0.25">
      <c r="A202" s="8"/>
      <c r="B202" s="8"/>
      <c r="C202" s="8"/>
      <c r="D202" s="8"/>
      <c r="E202" s="9">
        <f>=IFERROR(VLOOKUP(D202,Lists!$A:$B,2,0),"")</f>
      </c>
      <c r="F202" s="10"/>
      <c r="G202" s="11">
        <f>=SUMIF($C$16:$C$501,C202,$F$16:$F$501)</f>
      </c>
      <c r="H202" s="12">
        <f>=F202/3600</f>
      </c>
      <c r="I202" s="13">
        <f>=IFERROR(INDEX(Lists!$C:$C,MATCH(J202,Lists!$D:$D,0)),"")</f>
      </c>
      <c r="J202" s="15">
        <f>=IFERROR(INDEX($J$16:J201,MATCH(C202,$C$16:C201,0)),"")</f>
      </c>
    </row>
    <row r="203" ht="18" customHeight="1" spans="1:10" x14ac:dyDescent="0.25">
      <c r="A203" s="8"/>
      <c r="B203" s="8"/>
      <c r="C203" s="8"/>
      <c r="D203" s="8"/>
      <c r="E203" s="9">
        <f>=IFERROR(VLOOKUP(D203,Lists!$A:$B,2,0),"")</f>
      </c>
      <c r="F203" s="10"/>
      <c r="G203" s="11">
        <f>=SUMIF($C$16:$C$501,C203,$F$16:$F$501)</f>
      </c>
      <c r="H203" s="12">
        <f>=F203/3600</f>
      </c>
      <c r="I203" s="13">
        <f>=IFERROR(INDEX(Lists!$C:$C,MATCH(J203,Lists!$D:$D,0)),"")</f>
      </c>
      <c r="J203" s="15">
        <f>=IFERROR(INDEX($J$16:J202,MATCH(C203,$C$16:C202,0)),"")</f>
      </c>
    </row>
    <row r="204" ht="18" customHeight="1" spans="1:10" x14ac:dyDescent="0.25">
      <c r="A204" s="8"/>
      <c r="B204" s="8"/>
      <c r="C204" s="8"/>
      <c r="D204" s="8"/>
      <c r="E204" s="9">
        <f>=IFERROR(VLOOKUP(D204,Lists!$A:$B,2,0),"")</f>
      </c>
      <c r="F204" s="10"/>
      <c r="G204" s="11">
        <f>=SUMIF($C$16:$C$501,C204,$F$16:$F$501)</f>
      </c>
      <c r="H204" s="12">
        <f>=F204/3600</f>
      </c>
      <c r="I204" s="13">
        <f>=IFERROR(INDEX(Lists!$C:$C,MATCH(J204,Lists!$D:$D,0)),"")</f>
      </c>
      <c r="J204" s="15">
        <f>=IFERROR(INDEX($J$16:J203,MATCH(C204,$C$16:C203,0)),"")</f>
      </c>
    </row>
    <row r="205" ht="18" customHeight="1" spans="1:10" x14ac:dyDescent="0.25">
      <c r="A205" s="8"/>
      <c r="B205" s="8"/>
      <c r="C205" s="8"/>
      <c r="D205" s="8"/>
      <c r="E205" s="9">
        <f>=IFERROR(VLOOKUP(D205,Lists!$A:$B,2,0),"")</f>
      </c>
      <c r="F205" s="10"/>
      <c r="G205" s="11">
        <f>=SUMIF($C$16:$C$501,C205,$F$16:$F$501)</f>
      </c>
      <c r="H205" s="12">
        <f>=F205/3600</f>
      </c>
      <c r="I205" s="13">
        <f>=IFERROR(INDEX(Lists!$C:$C,MATCH(J205,Lists!$D:$D,0)),"")</f>
      </c>
      <c r="J205" s="15">
        <f>=IFERROR(INDEX($J$16:J204,MATCH(C205,$C$16:C204,0)),"")</f>
      </c>
    </row>
    <row r="206" ht="18" customHeight="1" spans="1:10" x14ac:dyDescent="0.25">
      <c r="A206" s="8"/>
      <c r="B206" s="8"/>
      <c r="C206" s="8"/>
      <c r="D206" s="8"/>
      <c r="E206" s="9">
        <f>=IFERROR(VLOOKUP(D206,Lists!$A:$B,2,0),"")</f>
      </c>
      <c r="F206" s="10"/>
      <c r="G206" s="11">
        <f>=SUMIF($C$16:$C$501,C206,$F$16:$F$501)</f>
      </c>
      <c r="H206" s="12">
        <f>=F206/3600</f>
      </c>
      <c r="I206" s="13">
        <f>=IFERROR(INDEX(Lists!$C:$C,MATCH(J206,Lists!$D:$D,0)),"")</f>
      </c>
      <c r="J206" s="15">
        <f>=IFERROR(INDEX($J$16:J205,MATCH(C206,$C$16:C205,0)),"")</f>
      </c>
    </row>
    <row r="207" ht="18" customHeight="1" spans="1:10" x14ac:dyDescent="0.25">
      <c r="A207" s="8"/>
      <c r="B207" s="8"/>
      <c r="C207" s="8"/>
      <c r="D207" s="8"/>
      <c r="E207" s="9">
        <f>=IFERROR(VLOOKUP(D207,Lists!$A:$B,2,0),"")</f>
      </c>
      <c r="F207" s="10"/>
      <c r="G207" s="11">
        <f>=SUMIF($C$16:$C$501,C207,$F$16:$F$501)</f>
      </c>
      <c r="H207" s="12">
        <f>=F207/3600</f>
      </c>
      <c r="I207" s="13">
        <f>=IFERROR(INDEX(Lists!$C:$C,MATCH(J207,Lists!$D:$D,0)),"")</f>
      </c>
      <c r="J207" s="15">
        <f>=IFERROR(INDEX($J$16:J206,MATCH(C207,$C$16:C206,0)),"")</f>
      </c>
    </row>
    <row r="208" ht="18" customHeight="1" spans="1:10" x14ac:dyDescent="0.25">
      <c r="A208" s="8"/>
      <c r="B208" s="8"/>
      <c r="C208" s="8"/>
      <c r="D208" s="8"/>
      <c r="E208" s="9">
        <f>=IFERROR(VLOOKUP(D208,Lists!$A:$B,2,0),"")</f>
      </c>
      <c r="F208" s="10"/>
      <c r="G208" s="11">
        <f>=SUMIF($C$16:$C$501,C208,$F$16:$F$501)</f>
      </c>
      <c r="H208" s="12">
        <f>=F208/3600</f>
      </c>
      <c r="I208" s="13">
        <f>=IFERROR(INDEX(Lists!$C:$C,MATCH(J208,Lists!$D:$D,0)),"")</f>
      </c>
      <c r="J208" s="15">
        <f>=IFERROR(INDEX($J$16:J207,MATCH(C208,$C$16:C207,0)),"")</f>
      </c>
    </row>
    <row r="209" ht="18" customHeight="1" spans="1:10" x14ac:dyDescent="0.25">
      <c r="A209" s="8"/>
      <c r="B209" s="8"/>
      <c r="C209" s="8"/>
      <c r="D209" s="8"/>
      <c r="E209" s="9">
        <f>=IFERROR(VLOOKUP(D209,Lists!$A:$B,2,0),"")</f>
      </c>
      <c r="F209" s="10"/>
      <c r="G209" s="11">
        <f>=SUMIF($C$16:$C$501,C209,$F$16:$F$501)</f>
      </c>
      <c r="H209" s="12">
        <f>=F209/3600</f>
      </c>
      <c r="I209" s="13">
        <f>=IFERROR(INDEX(Lists!$C:$C,MATCH(J209,Lists!$D:$D,0)),"")</f>
      </c>
      <c r="J209" s="15">
        <f>=IFERROR(INDEX($J$16:J208,MATCH(C209,$C$16:C208,0)),"")</f>
      </c>
    </row>
    <row r="210" ht="18" customHeight="1" spans="1:10" x14ac:dyDescent="0.25">
      <c r="A210" s="8"/>
      <c r="B210" s="8"/>
      <c r="C210" s="8"/>
      <c r="D210" s="8"/>
      <c r="E210" s="9">
        <f>=IFERROR(VLOOKUP(D210,Lists!$A:$B,2,0),"")</f>
      </c>
      <c r="F210" s="10"/>
      <c r="G210" s="11">
        <f>=SUMIF($C$16:$C$501,C210,$F$16:$F$501)</f>
      </c>
      <c r="H210" s="12">
        <f>=F210/3600</f>
      </c>
      <c r="I210" s="13">
        <f>=IFERROR(INDEX(Lists!$C:$C,MATCH(J210,Lists!$D:$D,0)),"")</f>
      </c>
      <c r="J210" s="15">
        <f>=IFERROR(INDEX($J$16:J209,MATCH(C210,$C$16:C209,0)),"")</f>
      </c>
    </row>
    <row r="211" ht="18" customHeight="1" spans="1:10" x14ac:dyDescent="0.25">
      <c r="A211" s="8"/>
      <c r="B211" s="8"/>
      <c r="C211" s="8"/>
      <c r="D211" s="8"/>
      <c r="E211" s="9">
        <f>=IFERROR(VLOOKUP(D211,Lists!$A:$B,2,0),"")</f>
      </c>
      <c r="F211" s="10"/>
      <c r="G211" s="11">
        <f>=SUMIF($C$16:$C$501,C211,$F$16:$F$501)</f>
      </c>
      <c r="H211" s="12">
        <f>=F211/3600</f>
      </c>
      <c r="I211" s="13">
        <f>=IFERROR(INDEX(Lists!$C:$C,MATCH(J211,Lists!$D:$D,0)),"")</f>
      </c>
      <c r="J211" s="15">
        <f>=IFERROR(INDEX($J$16:J210,MATCH(C211,$C$16:C210,0)),"")</f>
      </c>
    </row>
    <row r="212" ht="18" customHeight="1" spans="1:10" x14ac:dyDescent="0.25">
      <c r="A212" s="8"/>
      <c r="B212" s="8"/>
      <c r="C212" s="8"/>
      <c r="D212" s="8"/>
      <c r="E212" s="9">
        <f>=IFERROR(VLOOKUP(D212,Lists!$A:$B,2,0),"")</f>
      </c>
      <c r="F212" s="10"/>
      <c r="G212" s="11">
        <f>=SUMIF($C$16:$C$501,C212,$F$16:$F$501)</f>
      </c>
      <c r="H212" s="12">
        <f>=F212/3600</f>
      </c>
      <c r="I212" s="13">
        <f>=IFERROR(INDEX(Lists!$C:$C,MATCH(J212,Lists!$D:$D,0)),"")</f>
      </c>
      <c r="J212" s="15">
        <f>=IFERROR(INDEX($J$16:J211,MATCH(C212,$C$16:C211,0)),"")</f>
      </c>
    </row>
    <row r="213" ht="18" customHeight="1" spans="1:10" x14ac:dyDescent="0.25">
      <c r="A213" s="8"/>
      <c r="B213" s="8"/>
      <c r="C213" s="8"/>
      <c r="D213" s="8"/>
      <c r="E213" s="9">
        <f>=IFERROR(VLOOKUP(D213,Lists!$A:$B,2,0),"")</f>
      </c>
      <c r="F213" s="10"/>
      <c r="G213" s="11">
        <f>=SUMIF($C$16:$C$501,C213,$F$16:$F$501)</f>
      </c>
      <c r="H213" s="12">
        <f>=F213/3600</f>
      </c>
      <c r="I213" s="13">
        <f>=IFERROR(INDEX(Lists!$C:$C,MATCH(J213,Lists!$D:$D,0)),"")</f>
      </c>
      <c r="J213" s="15">
        <f>=IFERROR(INDEX($J$16:J212,MATCH(C213,$C$16:C212,0)),"")</f>
      </c>
    </row>
    <row r="214" ht="18" customHeight="1" spans="1:10" x14ac:dyDescent="0.25">
      <c r="A214" s="8"/>
      <c r="B214" s="8"/>
      <c r="C214" s="8"/>
      <c r="D214" s="8"/>
      <c r="E214" s="9">
        <f>=IFERROR(VLOOKUP(D214,Lists!$A:$B,2,0),"")</f>
      </c>
      <c r="F214" s="10"/>
      <c r="G214" s="11">
        <f>=SUMIF($C$16:$C$501,C214,$F$16:$F$501)</f>
      </c>
      <c r="H214" s="12">
        <f>=F214/3600</f>
      </c>
      <c r="I214" s="13">
        <f>=IFERROR(INDEX(Lists!$C:$C,MATCH(J214,Lists!$D:$D,0)),"")</f>
      </c>
      <c r="J214" s="15">
        <f>=IFERROR(INDEX($J$16:J213,MATCH(C214,$C$16:C213,0)),"")</f>
      </c>
    </row>
    <row r="215" ht="18" customHeight="1" spans="1:10" x14ac:dyDescent="0.25">
      <c r="A215" s="8"/>
      <c r="B215" s="8"/>
      <c r="C215" s="8"/>
      <c r="D215" s="8"/>
      <c r="E215" s="9">
        <f>=IFERROR(VLOOKUP(D215,Lists!$A:$B,2,0),"")</f>
      </c>
      <c r="F215" s="10"/>
      <c r="G215" s="11">
        <f>=SUMIF($C$16:$C$501,C215,$F$16:$F$501)</f>
      </c>
      <c r="H215" s="12">
        <f>=F215/3600</f>
      </c>
      <c r="I215" s="13">
        <f>=IFERROR(INDEX(Lists!$C:$C,MATCH(J215,Lists!$D:$D,0)),"")</f>
      </c>
      <c r="J215" s="15">
        <f>=IFERROR(INDEX($J$16:J214,MATCH(C215,$C$16:C214,0)),"")</f>
      </c>
    </row>
    <row r="216" ht="18" customHeight="1" spans="1:10" x14ac:dyDescent="0.25">
      <c r="A216" s="8"/>
      <c r="B216" s="8"/>
      <c r="C216" s="8"/>
      <c r="D216" s="8"/>
      <c r="E216" s="9">
        <f>=IFERROR(VLOOKUP(D216,Lists!$A:$B,2,0),"")</f>
      </c>
      <c r="F216" s="10"/>
      <c r="G216" s="11">
        <f>=SUMIF($C$16:$C$501,C216,$F$16:$F$501)</f>
      </c>
      <c r="H216" s="12">
        <f>=F216/3600</f>
      </c>
      <c r="I216" s="13">
        <f>=IFERROR(INDEX(Lists!$C:$C,MATCH(J216,Lists!$D:$D,0)),"")</f>
      </c>
      <c r="J216" s="15">
        <f>=IFERROR(INDEX($J$16:J215,MATCH(C216,$C$16:C215,0)),"")</f>
      </c>
    </row>
    <row r="217" ht="18" customHeight="1" spans="1:10" x14ac:dyDescent="0.25">
      <c r="A217" s="8"/>
      <c r="B217" s="8"/>
      <c r="C217" s="8"/>
      <c r="D217" s="8"/>
      <c r="E217" s="9">
        <f>=IFERROR(VLOOKUP(D217,Lists!$A:$B,2,0),"")</f>
      </c>
      <c r="F217" s="10"/>
      <c r="G217" s="11">
        <f>=SUMIF($C$16:$C$501,C217,$F$16:$F$501)</f>
      </c>
      <c r="H217" s="12">
        <f>=F217/3600</f>
      </c>
      <c r="I217" s="13">
        <f>=IFERROR(INDEX(Lists!$C:$C,MATCH(J217,Lists!$D:$D,0)),"")</f>
      </c>
      <c r="J217" s="15">
        <f>=IFERROR(INDEX($J$16:J216,MATCH(C217,$C$16:C216,0)),"")</f>
      </c>
    </row>
    <row r="218" ht="18" customHeight="1" spans="1:10" x14ac:dyDescent="0.25">
      <c r="A218" s="8"/>
      <c r="B218" s="8"/>
      <c r="C218" s="8"/>
      <c r="D218" s="8"/>
      <c r="E218" s="9">
        <f>=IFERROR(VLOOKUP(D218,Lists!$A:$B,2,0),"")</f>
      </c>
      <c r="F218" s="10"/>
      <c r="G218" s="11">
        <f>=SUMIF($C$16:$C$501,C218,$F$16:$F$501)</f>
      </c>
      <c r="H218" s="12">
        <f>=F218/3600</f>
      </c>
      <c r="I218" s="13">
        <f>=IFERROR(INDEX(Lists!$C:$C,MATCH(J218,Lists!$D:$D,0)),"")</f>
      </c>
      <c r="J218" s="15">
        <f>=IFERROR(INDEX($J$16:J217,MATCH(C218,$C$16:C217,0)),"")</f>
      </c>
    </row>
    <row r="219" ht="18" customHeight="1" spans="1:10" x14ac:dyDescent="0.25">
      <c r="A219" s="8"/>
      <c r="B219" s="8"/>
      <c r="C219" s="8"/>
      <c r="D219" s="8"/>
      <c r="E219" s="9">
        <f>=IFERROR(VLOOKUP(D219,Lists!$A:$B,2,0),"")</f>
      </c>
      <c r="F219" s="10"/>
      <c r="G219" s="11">
        <f>=SUMIF($C$16:$C$501,C219,$F$16:$F$501)</f>
      </c>
      <c r="H219" s="12">
        <f>=F219/3600</f>
      </c>
      <c r="I219" s="13">
        <f>=IFERROR(INDEX(Lists!$C:$C,MATCH(J219,Lists!$D:$D,0)),"")</f>
      </c>
      <c r="J219" s="15">
        <f>=IFERROR(INDEX($J$16:J218,MATCH(C219,$C$16:C218,0)),"")</f>
      </c>
    </row>
    <row r="220" ht="18" customHeight="1" spans="1:10" x14ac:dyDescent="0.25">
      <c r="A220" s="8"/>
      <c r="B220" s="8"/>
      <c r="C220" s="8"/>
      <c r="D220" s="8"/>
      <c r="E220" s="9">
        <f>=IFERROR(VLOOKUP(D220,Lists!$A:$B,2,0),"")</f>
      </c>
      <c r="F220" s="10"/>
      <c r="G220" s="11">
        <f>=SUMIF($C$16:$C$501,C220,$F$16:$F$501)</f>
      </c>
      <c r="H220" s="12">
        <f>=F220/3600</f>
      </c>
      <c r="I220" s="13">
        <f>=IFERROR(INDEX(Lists!$C:$C,MATCH(J220,Lists!$D:$D,0)),"")</f>
      </c>
      <c r="J220" s="15">
        <f>=IFERROR(INDEX($J$16:J219,MATCH(C220,$C$16:C219,0)),"")</f>
      </c>
    </row>
    <row r="221" ht="18" customHeight="1" spans="1:10" x14ac:dyDescent="0.25">
      <c r="A221" s="8"/>
      <c r="B221" s="8"/>
      <c r="C221" s="8"/>
      <c r="D221" s="8"/>
      <c r="E221" s="9">
        <f>=IFERROR(VLOOKUP(D221,Lists!$A:$B,2,0),"")</f>
      </c>
      <c r="F221" s="10"/>
      <c r="G221" s="11">
        <f>=SUMIF($C$16:$C$501,C221,$F$16:$F$501)</f>
      </c>
      <c r="H221" s="12">
        <f>=F221/3600</f>
      </c>
      <c r="I221" s="13">
        <f>=IFERROR(INDEX(Lists!$C:$C,MATCH(J221,Lists!$D:$D,0)),"")</f>
      </c>
      <c r="J221" s="15">
        <f>=IFERROR(INDEX($J$16:J220,MATCH(C221,$C$16:C220,0)),"")</f>
      </c>
    </row>
    <row r="222" ht="18" customHeight="1" spans="1:10" x14ac:dyDescent="0.25">
      <c r="A222" s="8"/>
      <c r="B222" s="8"/>
      <c r="C222" s="8"/>
      <c r="D222" s="8"/>
      <c r="E222" s="9">
        <f>=IFERROR(VLOOKUP(D222,Lists!$A:$B,2,0),"")</f>
      </c>
      <c r="F222" s="10"/>
      <c r="G222" s="11">
        <f>=SUMIF($C$16:$C$501,C222,$F$16:$F$501)</f>
      </c>
      <c r="H222" s="12">
        <f>=F222/3600</f>
      </c>
      <c r="I222" s="13">
        <f>=IFERROR(INDEX(Lists!$C:$C,MATCH(J222,Lists!$D:$D,0)),"")</f>
      </c>
      <c r="J222" s="15">
        <f>=IFERROR(INDEX($J$16:J221,MATCH(C222,$C$16:C221,0)),"")</f>
      </c>
    </row>
    <row r="223" ht="18" customHeight="1" spans="1:10" x14ac:dyDescent="0.25">
      <c r="A223" s="8"/>
      <c r="B223" s="8"/>
      <c r="C223" s="8"/>
      <c r="D223" s="8"/>
      <c r="E223" s="9">
        <f>=IFERROR(VLOOKUP(D223,Lists!$A:$B,2,0),"")</f>
      </c>
      <c r="F223" s="10"/>
      <c r="G223" s="11">
        <f>=SUMIF($C$16:$C$501,C223,$F$16:$F$501)</f>
      </c>
      <c r="H223" s="12">
        <f>=F223/3600</f>
      </c>
      <c r="I223" s="13">
        <f>=IFERROR(INDEX(Lists!$C:$C,MATCH(J223,Lists!$D:$D,0)),"")</f>
      </c>
      <c r="J223" s="15">
        <f>=IFERROR(INDEX($J$16:J222,MATCH(C223,$C$16:C222,0)),"")</f>
      </c>
    </row>
    <row r="224" ht="18" customHeight="1" spans="1:10" x14ac:dyDescent="0.25">
      <c r="A224" s="8"/>
      <c r="B224" s="8"/>
      <c r="C224" s="8"/>
      <c r="D224" s="8"/>
      <c r="E224" s="9">
        <f>=IFERROR(VLOOKUP(D224,Lists!$A:$B,2,0),"")</f>
      </c>
      <c r="F224" s="10"/>
      <c r="G224" s="11">
        <f>=SUMIF($C$16:$C$501,C224,$F$16:$F$501)</f>
      </c>
      <c r="H224" s="12">
        <f>=F224/3600</f>
      </c>
      <c r="I224" s="13">
        <f>=IFERROR(INDEX(Lists!$C:$C,MATCH(J224,Lists!$D:$D,0)),"")</f>
      </c>
      <c r="J224" s="15">
        <f>=IFERROR(INDEX($J$16:J223,MATCH(C224,$C$16:C223,0)),"")</f>
      </c>
    </row>
    <row r="225" ht="18" customHeight="1" spans="1:10" x14ac:dyDescent="0.25">
      <c r="A225" s="8"/>
      <c r="B225" s="8"/>
      <c r="C225" s="8"/>
      <c r="D225" s="8"/>
      <c r="E225" s="9">
        <f>=IFERROR(VLOOKUP(D225,Lists!$A:$B,2,0),"")</f>
      </c>
      <c r="F225" s="10"/>
      <c r="G225" s="11">
        <f>=SUMIF($C$16:$C$501,C225,$F$16:$F$501)</f>
      </c>
      <c r="H225" s="12">
        <f>=F225/3600</f>
      </c>
      <c r="I225" s="13">
        <f>=IFERROR(INDEX(Lists!$C:$C,MATCH(J225,Lists!$D:$D,0)),"")</f>
      </c>
      <c r="J225" s="15">
        <f>=IFERROR(INDEX($J$16:J224,MATCH(C225,$C$16:C224,0)),"")</f>
      </c>
    </row>
    <row r="226" ht="18" customHeight="1" spans="1:10" x14ac:dyDescent="0.25">
      <c r="A226" s="8"/>
      <c r="B226" s="8"/>
      <c r="C226" s="8"/>
      <c r="D226" s="8"/>
      <c r="E226" s="9">
        <f>=IFERROR(VLOOKUP(D226,Lists!$A:$B,2,0),"")</f>
      </c>
      <c r="F226" s="10"/>
      <c r="G226" s="11">
        <f>=SUMIF($C$16:$C$501,C226,$F$16:$F$501)</f>
      </c>
      <c r="H226" s="12">
        <f>=F226/3600</f>
      </c>
      <c r="I226" s="13">
        <f>=IFERROR(INDEX(Lists!$C:$C,MATCH(J226,Lists!$D:$D,0)),"")</f>
      </c>
      <c r="J226" s="15">
        <f>=IFERROR(INDEX($J$16:J225,MATCH(C226,$C$16:C225,0)),"")</f>
      </c>
    </row>
    <row r="227" ht="18" customHeight="1" spans="1:10" x14ac:dyDescent="0.25">
      <c r="A227" s="8"/>
      <c r="B227" s="8"/>
      <c r="C227" s="8"/>
      <c r="D227" s="8"/>
      <c r="E227" s="9">
        <f>=IFERROR(VLOOKUP(D227,Lists!$A:$B,2,0),"")</f>
      </c>
      <c r="F227" s="10"/>
      <c r="G227" s="11">
        <f>=SUMIF($C$16:$C$501,C227,$F$16:$F$501)</f>
      </c>
      <c r="H227" s="12">
        <f>=F227/3600</f>
      </c>
      <c r="I227" s="13">
        <f>=IFERROR(INDEX(Lists!$C:$C,MATCH(J227,Lists!$D:$D,0)),"")</f>
      </c>
      <c r="J227" s="15">
        <f>=IFERROR(INDEX($J$16:J226,MATCH(C227,$C$16:C226,0)),"")</f>
      </c>
    </row>
    <row r="228" ht="18" customHeight="1" spans="1:10" x14ac:dyDescent="0.25">
      <c r="A228" s="8"/>
      <c r="B228" s="8"/>
      <c r="C228" s="8"/>
      <c r="D228" s="8"/>
      <c r="E228" s="9">
        <f>=IFERROR(VLOOKUP(D228,Lists!$A:$B,2,0),"")</f>
      </c>
      <c r="F228" s="10"/>
      <c r="G228" s="11">
        <f>=SUMIF($C$16:$C$501,C228,$F$16:$F$501)</f>
      </c>
      <c r="H228" s="12">
        <f>=F228/3600</f>
      </c>
      <c r="I228" s="13">
        <f>=IFERROR(INDEX(Lists!$C:$C,MATCH(J228,Lists!$D:$D,0)),"")</f>
      </c>
      <c r="J228" s="15">
        <f>=IFERROR(INDEX($J$16:J227,MATCH(C228,$C$16:C227,0)),"")</f>
      </c>
    </row>
    <row r="229" ht="18" customHeight="1" spans="1:10" x14ac:dyDescent="0.25">
      <c r="A229" s="8"/>
      <c r="B229" s="8"/>
      <c r="C229" s="8"/>
      <c r="D229" s="8"/>
      <c r="E229" s="9">
        <f>=IFERROR(VLOOKUP(D229,Lists!$A:$B,2,0),"")</f>
      </c>
      <c r="F229" s="10"/>
      <c r="G229" s="11">
        <f>=SUMIF($C$16:$C$501,C229,$F$16:$F$501)</f>
      </c>
      <c r="H229" s="12">
        <f>=F229/3600</f>
      </c>
      <c r="I229" s="13">
        <f>=IFERROR(INDEX(Lists!$C:$C,MATCH(J229,Lists!$D:$D,0)),"")</f>
      </c>
      <c r="J229" s="15">
        <f>=IFERROR(INDEX($J$16:J228,MATCH(C229,$C$16:C228,0)),"")</f>
      </c>
    </row>
    <row r="230" ht="18" customHeight="1" spans="1:10" x14ac:dyDescent="0.25">
      <c r="A230" s="8"/>
      <c r="B230" s="8"/>
      <c r="C230" s="8"/>
      <c r="D230" s="8"/>
      <c r="E230" s="9">
        <f>=IFERROR(VLOOKUP(D230,Lists!$A:$B,2,0),"")</f>
      </c>
      <c r="F230" s="10"/>
      <c r="G230" s="11">
        <f>=SUMIF($C$16:$C$501,C230,$F$16:$F$501)</f>
      </c>
      <c r="H230" s="12">
        <f>=F230/3600</f>
      </c>
      <c r="I230" s="13">
        <f>=IFERROR(INDEX(Lists!$C:$C,MATCH(J230,Lists!$D:$D,0)),"")</f>
      </c>
      <c r="J230" s="15">
        <f>=IFERROR(INDEX($J$16:J229,MATCH(C230,$C$16:C229,0)),"")</f>
      </c>
    </row>
    <row r="231" ht="18" customHeight="1" spans="1:10" x14ac:dyDescent="0.25">
      <c r="A231" s="8"/>
      <c r="B231" s="8"/>
      <c r="C231" s="8"/>
      <c r="D231" s="8"/>
      <c r="E231" s="9">
        <f>=IFERROR(VLOOKUP(D231,Lists!$A:$B,2,0),"")</f>
      </c>
      <c r="F231" s="10"/>
      <c r="G231" s="11">
        <f>=SUMIF($C$16:$C$501,C231,$F$16:$F$501)</f>
      </c>
      <c r="H231" s="12">
        <f>=F231/3600</f>
      </c>
      <c r="I231" s="13">
        <f>=IFERROR(INDEX(Lists!$C:$C,MATCH(J231,Lists!$D:$D,0)),"")</f>
      </c>
      <c r="J231" s="15">
        <f>=IFERROR(INDEX($J$16:J230,MATCH(C231,$C$16:C230,0)),"")</f>
      </c>
    </row>
    <row r="232" ht="18" customHeight="1" spans="1:10" x14ac:dyDescent="0.25">
      <c r="A232" s="8"/>
      <c r="B232" s="8"/>
      <c r="C232" s="8"/>
      <c r="D232" s="8"/>
      <c r="E232" s="9">
        <f>=IFERROR(VLOOKUP(D232,Lists!$A:$B,2,0),"")</f>
      </c>
      <c r="F232" s="10"/>
      <c r="G232" s="11">
        <f>=SUMIF($C$16:$C$501,C232,$F$16:$F$501)</f>
      </c>
      <c r="H232" s="12">
        <f>=F232/3600</f>
      </c>
      <c r="I232" s="13">
        <f>=IFERROR(INDEX(Lists!$C:$C,MATCH(J232,Lists!$D:$D,0)),"")</f>
      </c>
      <c r="J232" s="15">
        <f>=IFERROR(INDEX($J$16:J231,MATCH(C232,$C$16:C231,0)),"")</f>
      </c>
    </row>
    <row r="233" ht="18" customHeight="1" spans="1:10" x14ac:dyDescent="0.25">
      <c r="A233" s="8"/>
      <c r="B233" s="8"/>
      <c r="C233" s="8"/>
      <c r="D233" s="8"/>
      <c r="E233" s="9">
        <f>=IFERROR(VLOOKUP(D233,Lists!$A:$B,2,0),"")</f>
      </c>
      <c r="F233" s="10"/>
      <c r="G233" s="11">
        <f>=SUMIF($C$16:$C$501,C233,$F$16:$F$501)</f>
      </c>
      <c r="H233" s="12">
        <f>=F233/3600</f>
      </c>
      <c r="I233" s="13">
        <f>=IFERROR(INDEX(Lists!$C:$C,MATCH(J233,Lists!$D:$D,0)),"")</f>
      </c>
      <c r="J233" s="15">
        <f>=IFERROR(INDEX($J$16:J232,MATCH(C233,$C$16:C232,0)),"")</f>
      </c>
    </row>
    <row r="234" ht="18" customHeight="1" spans="1:10" x14ac:dyDescent="0.25">
      <c r="A234" s="8"/>
      <c r="B234" s="8"/>
      <c r="C234" s="8"/>
      <c r="D234" s="8"/>
      <c r="E234" s="9">
        <f>=IFERROR(VLOOKUP(D234,Lists!$A:$B,2,0),"")</f>
      </c>
      <c r="F234" s="10"/>
      <c r="G234" s="11">
        <f>=SUMIF($C$16:$C$501,C234,$F$16:$F$501)</f>
      </c>
      <c r="H234" s="12">
        <f>=F234/3600</f>
      </c>
      <c r="I234" s="13">
        <f>=IFERROR(INDEX(Lists!$C:$C,MATCH(J234,Lists!$D:$D,0)),"")</f>
      </c>
      <c r="J234" s="15">
        <f>=IFERROR(INDEX($J$16:J233,MATCH(C234,$C$16:C233,0)),"")</f>
      </c>
    </row>
    <row r="235" ht="18" customHeight="1" spans="1:10" x14ac:dyDescent="0.25">
      <c r="A235" s="8"/>
      <c r="B235" s="8"/>
      <c r="C235" s="8"/>
      <c r="D235" s="8"/>
      <c r="E235" s="9">
        <f>=IFERROR(VLOOKUP(D235,Lists!$A:$B,2,0),"")</f>
      </c>
      <c r="F235" s="10"/>
      <c r="G235" s="11">
        <f>=SUMIF($C$16:$C$501,C235,$F$16:$F$501)</f>
      </c>
      <c r="H235" s="12">
        <f>=F235/3600</f>
      </c>
      <c r="I235" s="13">
        <f>=IFERROR(INDEX(Lists!$C:$C,MATCH(J235,Lists!$D:$D,0)),"")</f>
      </c>
      <c r="J235" s="15">
        <f>=IFERROR(INDEX($J$16:J234,MATCH(C235,$C$16:C234,0)),"")</f>
      </c>
    </row>
    <row r="236" ht="18" customHeight="1" spans="1:10" x14ac:dyDescent="0.25">
      <c r="A236" s="8"/>
      <c r="B236" s="8"/>
      <c r="C236" s="8"/>
      <c r="D236" s="8"/>
      <c r="E236" s="9">
        <f>=IFERROR(VLOOKUP(D236,Lists!$A:$B,2,0),"")</f>
      </c>
      <c r="F236" s="10"/>
      <c r="G236" s="11">
        <f>=SUMIF($C$16:$C$501,C236,$F$16:$F$501)</f>
      </c>
      <c r="H236" s="12">
        <f>=F236/3600</f>
      </c>
      <c r="I236" s="13">
        <f>=IFERROR(INDEX(Lists!$C:$C,MATCH(J236,Lists!$D:$D,0)),"")</f>
      </c>
      <c r="J236" s="15">
        <f>=IFERROR(INDEX($J$16:J235,MATCH(C236,$C$16:C235,0)),"")</f>
      </c>
    </row>
    <row r="237" ht="18" customHeight="1" spans="1:10" x14ac:dyDescent="0.25">
      <c r="A237" s="8"/>
      <c r="B237" s="8"/>
      <c r="C237" s="8"/>
      <c r="D237" s="8"/>
      <c r="E237" s="9">
        <f>=IFERROR(VLOOKUP(D237,Lists!$A:$B,2,0),"")</f>
      </c>
      <c r="F237" s="10"/>
      <c r="G237" s="11">
        <f>=SUMIF($C$16:$C$501,C237,$F$16:$F$501)</f>
      </c>
      <c r="H237" s="12">
        <f>=F237/3600</f>
      </c>
      <c r="I237" s="13">
        <f>=IFERROR(INDEX(Lists!$C:$C,MATCH(J237,Lists!$D:$D,0)),"")</f>
      </c>
      <c r="J237" s="15">
        <f>=IFERROR(INDEX($J$16:J236,MATCH(C237,$C$16:C236,0)),"")</f>
      </c>
    </row>
    <row r="238" ht="18" customHeight="1" spans="1:10" x14ac:dyDescent="0.25">
      <c r="A238" s="8"/>
      <c r="B238" s="8"/>
      <c r="C238" s="8"/>
      <c r="D238" s="8"/>
      <c r="E238" s="9">
        <f>=IFERROR(VLOOKUP(D238,Lists!$A:$B,2,0),"")</f>
      </c>
      <c r="F238" s="10"/>
      <c r="G238" s="11">
        <f>=SUMIF($C$16:$C$501,C238,$F$16:$F$501)</f>
      </c>
      <c r="H238" s="12">
        <f>=F238/3600</f>
      </c>
      <c r="I238" s="13">
        <f>=IFERROR(INDEX(Lists!$C:$C,MATCH(J238,Lists!$D:$D,0)),"")</f>
      </c>
      <c r="J238" s="15">
        <f>=IFERROR(INDEX($J$16:J237,MATCH(C238,$C$16:C237,0)),"")</f>
      </c>
    </row>
    <row r="239" ht="18" customHeight="1" spans="1:10" x14ac:dyDescent="0.25">
      <c r="A239" s="8"/>
      <c r="B239" s="8"/>
      <c r="C239" s="8"/>
      <c r="D239" s="8"/>
      <c r="E239" s="9">
        <f>=IFERROR(VLOOKUP(D239,Lists!$A:$B,2,0),"")</f>
      </c>
      <c r="F239" s="10"/>
      <c r="G239" s="11">
        <f>=SUMIF($C$16:$C$501,C239,$F$16:$F$501)</f>
      </c>
      <c r="H239" s="12">
        <f>=F239/3600</f>
      </c>
      <c r="I239" s="13">
        <f>=IFERROR(INDEX(Lists!$C:$C,MATCH(J239,Lists!$D:$D,0)),"")</f>
      </c>
      <c r="J239" s="15">
        <f>=IFERROR(INDEX($J$16:J238,MATCH(C239,$C$16:C238,0)),"")</f>
      </c>
    </row>
    <row r="240" ht="18" customHeight="1" spans="1:10" x14ac:dyDescent="0.25">
      <c r="A240" s="8"/>
      <c r="B240" s="8"/>
      <c r="C240" s="8"/>
      <c r="D240" s="8"/>
      <c r="E240" s="9">
        <f>=IFERROR(VLOOKUP(D240,Lists!$A:$B,2,0),"")</f>
      </c>
      <c r="F240" s="10"/>
      <c r="G240" s="11">
        <f>=SUMIF($C$16:$C$501,C240,$F$16:$F$501)</f>
      </c>
      <c r="H240" s="12">
        <f>=F240/3600</f>
      </c>
      <c r="I240" s="13">
        <f>=IFERROR(INDEX(Lists!$C:$C,MATCH(J240,Lists!$D:$D,0)),"")</f>
      </c>
      <c r="J240" s="15">
        <f>=IFERROR(INDEX($J$16:J239,MATCH(C240,$C$16:C239,0)),"")</f>
      </c>
    </row>
    <row r="241" ht="18" customHeight="1" spans="1:10" x14ac:dyDescent="0.25">
      <c r="A241" s="8"/>
      <c r="B241" s="8"/>
      <c r="C241" s="8"/>
      <c r="D241" s="8"/>
      <c r="E241" s="9">
        <f>=IFERROR(VLOOKUP(D241,Lists!$A:$B,2,0),"")</f>
      </c>
      <c r="F241" s="10"/>
      <c r="G241" s="11">
        <f>=SUMIF($C$16:$C$501,C241,$F$16:$F$501)</f>
      </c>
      <c r="H241" s="12">
        <f>=F241/3600</f>
      </c>
      <c r="I241" s="13">
        <f>=IFERROR(INDEX(Lists!$C:$C,MATCH(J241,Lists!$D:$D,0)),"")</f>
      </c>
      <c r="J241" s="15">
        <f>=IFERROR(INDEX($J$16:J240,MATCH(C241,$C$16:C240,0)),"")</f>
      </c>
    </row>
    <row r="242" ht="18" customHeight="1" spans="1:10" x14ac:dyDescent="0.25">
      <c r="A242" s="8"/>
      <c r="B242" s="8"/>
      <c r="C242" s="8"/>
      <c r="D242" s="8"/>
      <c r="E242" s="9">
        <f>=IFERROR(VLOOKUP(D242,Lists!$A:$B,2,0),"")</f>
      </c>
      <c r="F242" s="10"/>
      <c r="G242" s="11">
        <f>=SUMIF($C$16:$C$501,C242,$F$16:$F$501)</f>
      </c>
      <c r="H242" s="12">
        <f>=F242/3600</f>
      </c>
      <c r="I242" s="13">
        <f>=IFERROR(INDEX(Lists!$C:$C,MATCH(J242,Lists!$D:$D,0)),"")</f>
      </c>
      <c r="J242" s="15">
        <f>=IFERROR(INDEX($J$16:J241,MATCH(C242,$C$16:C241,0)),"")</f>
      </c>
    </row>
    <row r="243" ht="18" customHeight="1" spans="1:10" x14ac:dyDescent="0.25">
      <c r="A243" s="8"/>
      <c r="B243" s="8"/>
      <c r="C243" s="8"/>
      <c r="D243" s="8"/>
      <c r="E243" s="9">
        <f>=IFERROR(VLOOKUP(D243,Lists!$A:$B,2,0),"")</f>
      </c>
      <c r="F243" s="10"/>
      <c r="G243" s="11">
        <f>=SUMIF($C$16:$C$501,C243,$F$16:$F$501)</f>
      </c>
      <c r="H243" s="12">
        <f>=F243/3600</f>
      </c>
      <c r="I243" s="13">
        <f>=IFERROR(INDEX(Lists!$C:$C,MATCH(J243,Lists!$D:$D,0)),"")</f>
      </c>
      <c r="J243" s="15">
        <f>=IFERROR(INDEX($J$16:J242,MATCH(C243,$C$16:C242,0)),"")</f>
      </c>
    </row>
    <row r="244" ht="18" customHeight="1" spans="1:10" x14ac:dyDescent="0.25">
      <c r="A244" s="8"/>
      <c r="B244" s="8"/>
      <c r="C244" s="8"/>
      <c r="D244" s="8"/>
      <c r="E244" s="9">
        <f>=IFERROR(VLOOKUP(D244,Lists!$A:$B,2,0),"")</f>
      </c>
      <c r="F244" s="10"/>
      <c r="G244" s="11">
        <f>=SUMIF($C$16:$C$501,C244,$F$16:$F$501)</f>
      </c>
      <c r="H244" s="12">
        <f>=F244/3600</f>
      </c>
      <c r="I244" s="13">
        <f>=IFERROR(INDEX(Lists!$C:$C,MATCH(J244,Lists!$D:$D,0)),"")</f>
      </c>
      <c r="J244" s="15">
        <f>=IFERROR(INDEX($J$16:J243,MATCH(C244,$C$16:C243,0)),"")</f>
      </c>
    </row>
    <row r="245" ht="18" customHeight="1" spans="1:10" x14ac:dyDescent="0.25">
      <c r="A245" s="8"/>
      <c r="B245" s="8"/>
      <c r="C245" s="8"/>
      <c r="D245" s="8"/>
      <c r="E245" s="9">
        <f>=IFERROR(VLOOKUP(D245,Lists!$A:$B,2,0),"")</f>
      </c>
      <c r="F245" s="10"/>
      <c r="G245" s="11">
        <f>=SUMIF($C$16:$C$501,C245,$F$16:$F$501)</f>
      </c>
      <c r="H245" s="12">
        <f>=F245/3600</f>
      </c>
      <c r="I245" s="13">
        <f>=IFERROR(INDEX(Lists!$C:$C,MATCH(J245,Lists!$D:$D,0)),"")</f>
      </c>
      <c r="J245" s="15">
        <f>=IFERROR(INDEX($J$16:J244,MATCH(C245,$C$16:C244,0)),"")</f>
      </c>
    </row>
    <row r="246" ht="18" customHeight="1" spans="1:10" x14ac:dyDescent="0.25">
      <c r="A246" s="8"/>
      <c r="B246" s="8"/>
      <c r="C246" s="8"/>
      <c r="D246" s="8"/>
      <c r="E246" s="9">
        <f>=IFERROR(VLOOKUP(D246,Lists!$A:$B,2,0),"")</f>
      </c>
      <c r="F246" s="10"/>
      <c r="G246" s="11">
        <f>=SUMIF($C$16:$C$501,C246,$F$16:$F$501)</f>
      </c>
      <c r="H246" s="12">
        <f>=F246/3600</f>
      </c>
      <c r="I246" s="13">
        <f>=IFERROR(INDEX(Lists!$C:$C,MATCH(J246,Lists!$D:$D,0)),"")</f>
      </c>
      <c r="J246" s="15">
        <f>=IFERROR(INDEX($J$16:J245,MATCH(C246,$C$16:C245,0)),"")</f>
      </c>
    </row>
    <row r="247" ht="18" customHeight="1" spans="1:10" x14ac:dyDescent="0.25">
      <c r="A247" s="8"/>
      <c r="B247" s="8"/>
      <c r="C247" s="8"/>
      <c r="D247" s="8"/>
      <c r="E247" s="9">
        <f>=IFERROR(VLOOKUP(D247,Lists!$A:$B,2,0),"")</f>
      </c>
      <c r="F247" s="10"/>
      <c r="G247" s="11">
        <f>=SUMIF($C$16:$C$501,C247,$F$16:$F$501)</f>
      </c>
      <c r="H247" s="12">
        <f>=F247/3600</f>
      </c>
      <c r="I247" s="13">
        <f>=IFERROR(INDEX(Lists!$C:$C,MATCH(J247,Lists!$D:$D,0)),"")</f>
      </c>
      <c r="J247" s="15">
        <f>=IFERROR(INDEX($J$16:J246,MATCH(C247,$C$16:C246,0)),"")</f>
      </c>
    </row>
    <row r="248" ht="18" customHeight="1" spans="1:10" x14ac:dyDescent="0.25">
      <c r="A248" s="8"/>
      <c r="B248" s="8"/>
      <c r="C248" s="8"/>
      <c r="D248" s="8"/>
      <c r="E248" s="9">
        <f>=IFERROR(VLOOKUP(D248,Lists!$A:$B,2,0),"")</f>
      </c>
      <c r="F248" s="10"/>
      <c r="G248" s="11">
        <f>=SUMIF($C$16:$C$501,C248,$F$16:$F$501)</f>
      </c>
      <c r="H248" s="12">
        <f>=F248/3600</f>
      </c>
      <c r="I248" s="13">
        <f>=IFERROR(INDEX(Lists!$C:$C,MATCH(J248,Lists!$D:$D,0)),"")</f>
      </c>
      <c r="J248" s="15">
        <f>=IFERROR(INDEX($J$16:J247,MATCH(C248,$C$16:C247,0)),"")</f>
      </c>
    </row>
    <row r="249" ht="18" customHeight="1" spans="1:10" x14ac:dyDescent="0.25">
      <c r="A249" s="8"/>
      <c r="B249" s="8"/>
      <c r="C249" s="8"/>
      <c r="D249" s="8"/>
      <c r="E249" s="9">
        <f>=IFERROR(VLOOKUP(D249,Lists!$A:$B,2,0),"")</f>
      </c>
      <c r="F249" s="10"/>
      <c r="G249" s="11">
        <f>=SUMIF($C$16:$C$501,C249,$F$16:$F$501)</f>
      </c>
      <c r="H249" s="12">
        <f>=F249/3600</f>
      </c>
      <c r="I249" s="13">
        <f>=IFERROR(INDEX(Lists!$C:$C,MATCH(J249,Lists!$D:$D,0)),"")</f>
      </c>
      <c r="J249" s="15">
        <f>=IFERROR(INDEX($J$16:J248,MATCH(C249,$C$16:C248,0)),"")</f>
      </c>
    </row>
    <row r="250" ht="18" customHeight="1" spans="1:10" x14ac:dyDescent="0.25">
      <c r="A250" s="8"/>
      <c r="B250" s="8"/>
      <c r="C250" s="8"/>
      <c r="D250" s="8"/>
      <c r="E250" s="9">
        <f>=IFERROR(VLOOKUP(D250,Lists!$A:$B,2,0),"")</f>
      </c>
      <c r="F250" s="10"/>
      <c r="G250" s="11">
        <f>=SUMIF($C$16:$C$501,C250,$F$16:$F$501)</f>
      </c>
      <c r="H250" s="12">
        <f>=F250/3600</f>
      </c>
      <c r="I250" s="13">
        <f>=IFERROR(INDEX(Lists!$C:$C,MATCH(J250,Lists!$D:$D,0)),"")</f>
      </c>
      <c r="J250" s="15">
        <f>=IFERROR(INDEX($J$16:J249,MATCH(C250,$C$16:C249,0)),"")</f>
      </c>
    </row>
    <row r="251" ht="18" customHeight="1" spans="1:10" x14ac:dyDescent="0.25">
      <c r="A251" s="8"/>
      <c r="B251" s="8"/>
      <c r="C251" s="8"/>
      <c r="D251" s="8"/>
      <c r="E251" s="9">
        <f>=IFERROR(VLOOKUP(D251,Lists!$A:$B,2,0),"")</f>
      </c>
      <c r="F251" s="10"/>
      <c r="G251" s="11">
        <f>=SUMIF($C$16:$C$501,C251,$F$16:$F$501)</f>
      </c>
      <c r="H251" s="12">
        <f>=F251/3600</f>
      </c>
      <c r="I251" s="13">
        <f>=IFERROR(INDEX(Lists!$C:$C,MATCH(J251,Lists!$D:$D,0)),"")</f>
      </c>
      <c r="J251" s="15">
        <f>=IFERROR(INDEX($J$16:J250,MATCH(C251,$C$16:C250,0)),"")</f>
      </c>
    </row>
    <row r="252" ht="18" customHeight="1" spans="1:10" x14ac:dyDescent="0.25">
      <c r="A252" s="8"/>
      <c r="B252" s="8"/>
      <c r="C252" s="8"/>
      <c r="D252" s="8"/>
      <c r="E252" s="9">
        <f>=IFERROR(VLOOKUP(D252,Lists!$A:$B,2,0),"")</f>
      </c>
      <c r="F252" s="10"/>
      <c r="G252" s="11">
        <f>=SUMIF($C$16:$C$501,C252,$F$16:$F$501)</f>
      </c>
      <c r="H252" s="12">
        <f>=F252/3600</f>
      </c>
      <c r="I252" s="13">
        <f>=IFERROR(INDEX(Lists!$C:$C,MATCH(J252,Lists!$D:$D,0)),"")</f>
      </c>
      <c r="J252" s="15">
        <f>=IFERROR(INDEX($J$16:J251,MATCH(C252,$C$16:C251,0)),"")</f>
      </c>
    </row>
    <row r="253" ht="18" customHeight="1" spans="1:10" x14ac:dyDescent="0.25">
      <c r="A253" s="8"/>
      <c r="B253" s="8"/>
      <c r="C253" s="8"/>
      <c r="D253" s="8"/>
      <c r="E253" s="9">
        <f>=IFERROR(VLOOKUP(D253,Lists!$A:$B,2,0),"")</f>
      </c>
      <c r="F253" s="10"/>
      <c r="G253" s="11">
        <f>=SUMIF($C$16:$C$501,C253,$F$16:$F$501)</f>
      </c>
      <c r="H253" s="12">
        <f>=F253/3600</f>
      </c>
      <c r="I253" s="13">
        <f>=IFERROR(INDEX(Lists!$C:$C,MATCH(J253,Lists!$D:$D,0)),"")</f>
      </c>
      <c r="J253" s="15">
        <f>=IFERROR(INDEX($J$16:J252,MATCH(C253,$C$16:C252,0)),"")</f>
      </c>
    </row>
    <row r="254" ht="18" customHeight="1" spans="1:10" x14ac:dyDescent="0.25">
      <c r="A254" s="8"/>
      <c r="B254" s="8"/>
      <c r="C254" s="8"/>
      <c r="D254" s="8"/>
      <c r="E254" s="9">
        <f>=IFERROR(VLOOKUP(D254,Lists!$A:$B,2,0),"")</f>
      </c>
      <c r="F254" s="10"/>
      <c r="G254" s="11">
        <f>=SUMIF($C$16:$C$501,C254,$F$16:$F$501)</f>
      </c>
      <c r="H254" s="12">
        <f>=F254/3600</f>
      </c>
      <c r="I254" s="13">
        <f>=IFERROR(INDEX(Lists!$C:$C,MATCH(J254,Lists!$D:$D,0)),"")</f>
      </c>
      <c r="J254" s="15">
        <f>=IFERROR(INDEX($J$16:J253,MATCH(C254,$C$16:C253,0)),"")</f>
      </c>
    </row>
    <row r="255" ht="18" customHeight="1" spans="1:10" x14ac:dyDescent="0.25">
      <c r="A255" s="8"/>
      <c r="B255" s="8"/>
      <c r="C255" s="8"/>
      <c r="D255" s="8"/>
      <c r="E255" s="9">
        <f>=IFERROR(VLOOKUP(D255,Lists!$A:$B,2,0),"")</f>
      </c>
      <c r="F255" s="10"/>
      <c r="G255" s="11">
        <f>=SUMIF($C$16:$C$501,C255,$F$16:$F$501)</f>
      </c>
      <c r="H255" s="12">
        <f>=F255/3600</f>
      </c>
      <c r="I255" s="13">
        <f>=IFERROR(INDEX(Lists!$C:$C,MATCH(J255,Lists!$D:$D,0)),"")</f>
      </c>
      <c r="J255" s="15">
        <f>=IFERROR(INDEX($J$16:J254,MATCH(C255,$C$16:C254,0)),"")</f>
      </c>
    </row>
    <row r="256" ht="18" customHeight="1" spans="1:10" x14ac:dyDescent="0.25">
      <c r="A256" s="8"/>
      <c r="B256" s="8"/>
      <c r="C256" s="8"/>
      <c r="D256" s="8"/>
      <c r="E256" s="9">
        <f>=IFERROR(VLOOKUP(D256,Lists!$A:$B,2,0),"")</f>
      </c>
      <c r="F256" s="10"/>
      <c r="G256" s="11">
        <f>=SUMIF($C$16:$C$501,C256,$F$16:$F$501)</f>
      </c>
      <c r="H256" s="12">
        <f>=F256/3600</f>
      </c>
      <c r="I256" s="13">
        <f>=IFERROR(INDEX(Lists!$C:$C,MATCH(J256,Lists!$D:$D,0)),"")</f>
      </c>
      <c r="J256" s="15">
        <f>=IFERROR(INDEX($J$16:J255,MATCH(C256,$C$16:C255,0)),"")</f>
      </c>
    </row>
    <row r="257" ht="18" customHeight="1" spans="1:10" x14ac:dyDescent="0.25">
      <c r="A257" s="8"/>
      <c r="B257" s="8"/>
      <c r="C257" s="8"/>
      <c r="D257" s="8"/>
      <c r="E257" s="9">
        <f>=IFERROR(VLOOKUP(D257,Lists!$A:$B,2,0),"")</f>
      </c>
      <c r="F257" s="10"/>
      <c r="G257" s="11">
        <f>=SUMIF($C$16:$C$501,C257,$F$16:$F$501)</f>
      </c>
      <c r="H257" s="12">
        <f>=F257/3600</f>
      </c>
      <c r="I257" s="13">
        <f>=IFERROR(INDEX(Lists!$C:$C,MATCH(J257,Lists!$D:$D,0)),"")</f>
      </c>
      <c r="J257" s="15">
        <f>=IFERROR(INDEX($J$16:J256,MATCH(C257,$C$16:C256,0)),"")</f>
      </c>
    </row>
    <row r="258" ht="18" customHeight="1" spans="1:10" x14ac:dyDescent="0.25">
      <c r="A258" s="8"/>
      <c r="B258" s="8"/>
      <c r="C258" s="8"/>
      <c r="D258" s="8"/>
      <c r="E258" s="9">
        <f>=IFERROR(VLOOKUP(D258,Lists!$A:$B,2,0),"")</f>
      </c>
      <c r="F258" s="10"/>
      <c r="G258" s="11">
        <f>=SUMIF($C$16:$C$501,C258,$F$16:$F$501)</f>
      </c>
      <c r="H258" s="12">
        <f>=F258/3600</f>
      </c>
      <c r="I258" s="13">
        <f>=IFERROR(INDEX(Lists!$C:$C,MATCH(J258,Lists!$D:$D,0)),"")</f>
      </c>
      <c r="J258" s="15">
        <f>=IFERROR(INDEX($J$16:J257,MATCH(C258,$C$16:C257,0)),"")</f>
      </c>
    </row>
    <row r="259" ht="18" customHeight="1" spans="1:10" x14ac:dyDescent="0.25">
      <c r="A259" s="8"/>
      <c r="B259" s="8"/>
      <c r="C259" s="8"/>
      <c r="D259" s="8"/>
      <c r="E259" s="9">
        <f>=IFERROR(VLOOKUP(D259,Lists!$A:$B,2,0),"")</f>
      </c>
      <c r="F259" s="10"/>
      <c r="G259" s="11">
        <f>=SUMIF($C$16:$C$501,C259,$F$16:$F$501)</f>
      </c>
      <c r="H259" s="12">
        <f>=F259/3600</f>
      </c>
      <c r="I259" s="13">
        <f>=IFERROR(INDEX(Lists!$C:$C,MATCH(J259,Lists!$D:$D,0)),"")</f>
      </c>
      <c r="J259" s="15">
        <f>=IFERROR(INDEX($J$16:J258,MATCH(C259,$C$16:C258,0)),"")</f>
      </c>
    </row>
    <row r="260" ht="18" customHeight="1" spans="1:10" x14ac:dyDescent="0.25">
      <c r="A260" s="8"/>
      <c r="B260" s="8"/>
      <c r="C260" s="8"/>
      <c r="D260" s="8"/>
      <c r="E260" s="9">
        <f>=IFERROR(VLOOKUP(D260,Lists!$A:$B,2,0),"")</f>
      </c>
      <c r="F260" s="10"/>
      <c r="G260" s="11">
        <f>=SUMIF($C$16:$C$501,C260,$F$16:$F$501)</f>
      </c>
      <c r="H260" s="12">
        <f>=F260/3600</f>
      </c>
      <c r="I260" s="13">
        <f>=IFERROR(INDEX(Lists!$C:$C,MATCH(J260,Lists!$D:$D,0)),"")</f>
      </c>
      <c r="J260" s="15">
        <f>=IFERROR(INDEX($J$16:J259,MATCH(C260,$C$16:C259,0)),"")</f>
      </c>
    </row>
    <row r="261" ht="18" customHeight="1" spans="1:10" x14ac:dyDescent="0.25">
      <c r="A261" s="8"/>
      <c r="B261" s="8"/>
      <c r="C261" s="8"/>
      <c r="D261" s="8"/>
      <c r="E261" s="9">
        <f>=IFERROR(VLOOKUP(D261,Lists!$A:$B,2,0),"")</f>
      </c>
      <c r="F261" s="10"/>
      <c r="G261" s="11">
        <f>=SUMIF($C$16:$C$501,C261,$F$16:$F$501)</f>
      </c>
      <c r="H261" s="12">
        <f>=F261/3600</f>
      </c>
      <c r="I261" s="13">
        <f>=IFERROR(INDEX(Lists!$C:$C,MATCH(J261,Lists!$D:$D,0)),"")</f>
      </c>
      <c r="J261" s="15">
        <f>=IFERROR(INDEX($J$16:J260,MATCH(C261,$C$16:C260,0)),"")</f>
      </c>
    </row>
    <row r="262" ht="18" customHeight="1" spans="1:10" x14ac:dyDescent="0.25">
      <c r="A262" s="8"/>
      <c r="B262" s="8"/>
      <c r="C262" s="8"/>
      <c r="D262" s="8"/>
      <c r="E262" s="9">
        <f>=IFERROR(VLOOKUP(D262,Lists!$A:$B,2,0),"")</f>
      </c>
      <c r="F262" s="10"/>
      <c r="G262" s="11">
        <f>=SUMIF($C$16:$C$501,C262,$F$16:$F$501)</f>
      </c>
      <c r="H262" s="12">
        <f>=F262/3600</f>
      </c>
      <c r="I262" s="13">
        <f>=IFERROR(INDEX(Lists!$C:$C,MATCH(J262,Lists!$D:$D,0)),"")</f>
      </c>
      <c r="J262" s="15">
        <f>=IFERROR(INDEX($J$16:J261,MATCH(C262,$C$16:C261,0)),"")</f>
      </c>
    </row>
    <row r="263" ht="18" customHeight="1" spans="1:10" x14ac:dyDescent="0.25">
      <c r="A263" s="8"/>
      <c r="B263" s="8"/>
      <c r="C263" s="8"/>
      <c r="D263" s="8"/>
      <c r="E263" s="9">
        <f>=IFERROR(VLOOKUP(D263,Lists!$A:$B,2,0),"")</f>
      </c>
      <c r="F263" s="10"/>
      <c r="G263" s="11">
        <f>=SUMIF($C$16:$C$501,C263,$F$16:$F$501)</f>
      </c>
      <c r="H263" s="12">
        <f>=F263/3600</f>
      </c>
      <c r="I263" s="13">
        <f>=IFERROR(INDEX(Lists!$C:$C,MATCH(J263,Lists!$D:$D,0)),"")</f>
      </c>
      <c r="J263" s="15">
        <f>=IFERROR(INDEX($J$16:J262,MATCH(C263,$C$16:C262,0)),"")</f>
      </c>
    </row>
    <row r="264" ht="18" customHeight="1" spans="1:10" x14ac:dyDescent="0.25">
      <c r="A264" s="8"/>
      <c r="B264" s="8"/>
      <c r="C264" s="8"/>
      <c r="D264" s="8"/>
      <c r="E264" s="9">
        <f>=IFERROR(VLOOKUP(D264,Lists!$A:$B,2,0),"")</f>
      </c>
      <c r="F264" s="10"/>
      <c r="G264" s="11">
        <f>=SUMIF($C$16:$C$501,C264,$F$16:$F$501)</f>
      </c>
      <c r="H264" s="12">
        <f>=F264/3600</f>
      </c>
      <c r="I264" s="13">
        <f>=IFERROR(INDEX(Lists!$C:$C,MATCH(J264,Lists!$D:$D,0)),"")</f>
      </c>
      <c r="J264" s="15">
        <f>=IFERROR(INDEX($J$16:J263,MATCH(C264,$C$16:C263,0)),"")</f>
      </c>
    </row>
    <row r="265" ht="18" customHeight="1" spans="1:10" x14ac:dyDescent="0.25">
      <c r="A265" s="8"/>
      <c r="B265" s="8"/>
      <c r="C265" s="8"/>
      <c r="D265" s="8"/>
      <c r="E265" s="9">
        <f>=IFERROR(VLOOKUP(D265,Lists!$A:$B,2,0),"")</f>
      </c>
      <c r="F265" s="10"/>
      <c r="G265" s="11">
        <f>=SUMIF($C$16:$C$501,C265,$F$16:$F$501)</f>
      </c>
      <c r="H265" s="12">
        <f>=F265/3600</f>
      </c>
      <c r="I265" s="13">
        <f>=IFERROR(INDEX(Lists!$C:$C,MATCH(J265,Lists!$D:$D,0)),"")</f>
      </c>
      <c r="J265" s="15">
        <f>=IFERROR(INDEX($J$16:J264,MATCH(C265,$C$16:C264,0)),"")</f>
      </c>
    </row>
    <row r="266" ht="18" customHeight="1" spans="1:10" x14ac:dyDescent="0.25">
      <c r="A266" s="8"/>
      <c r="B266" s="8"/>
      <c r="C266" s="8"/>
      <c r="D266" s="8"/>
      <c r="E266" s="9">
        <f>=IFERROR(VLOOKUP(D266,Lists!$A:$B,2,0),"")</f>
      </c>
      <c r="F266" s="10"/>
      <c r="G266" s="11">
        <f>=SUMIF($C$16:$C$501,C266,$F$16:$F$501)</f>
      </c>
      <c r="H266" s="12">
        <f>=F266/3600</f>
      </c>
      <c r="I266" s="13">
        <f>=IFERROR(INDEX(Lists!$C:$C,MATCH(J266,Lists!$D:$D,0)),"")</f>
      </c>
      <c r="J266" s="15">
        <f>=IFERROR(INDEX($J$16:J265,MATCH(C266,$C$16:C265,0)),"")</f>
      </c>
    </row>
    <row r="267" ht="18" customHeight="1" spans="1:10" x14ac:dyDescent="0.25">
      <c r="A267" s="8"/>
      <c r="B267" s="8"/>
      <c r="C267" s="8"/>
      <c r="D267" s="8"/>
      <c r="E267" s="9">
        <f>=IFERROR(VLOOKUP(D267,Lists!$A:$B,2,0),"")</f>
      </c>
      <c r="F267" s="10"/>
      <c r="G267" s="11">
        <f>=SUMIF($C$16:$C$501,C267,$F$16:$F$501)</f>
      </c>
      <c r="H267" s="12">
        <f>=F267/3600</f>
      </c>
      <c r="I267" s="13">
        <f>=IFERROR(INDEX(Lists!$C:$C,MATCH(J267,Lists!$D:$D,0)),"")</f>
      </c>
      <c r="J267" s="15">
        <f>=IFERROR(INDEX($J$16:J266,MATCH(C267,$C$16:C266,0)),"")</f>
      </c>
    </row>
    <row r="268" ht="18" customHeight="1" spans="1:10" x14ac:dyDescent="0.25">
      <c r="A268" s="8"/>
      <c r="B268" s="8"/>
      <c r="C268" s="8"/>
      <c r="D268" s="8"/>
      <c r="E268" s="9">
        <f>=IFERROR(VLOOKUP(D268,Lists!$A:$B,2,0),"")</f>
      </c>
      <c r="F268" s="10"/>
      <c r="G268" s="11">
        <f>=SUMIF($C$16:$C$501,C268,$F$16:$F$501)</f>
      </c>
      <c r="H268" s="12">
        <f>=F268/3600</f>
      </c>
      <c r="I268" s="13">
        <f>=IFERROR(INDEX(Lists!$C:$C,MATCH(J268,Lists!$D:$D,0)),"")</f>
      </c>
      <c r="J268" s="15">
        <f>=IFERROR(INDEX($J$16:J267,MATCH(C268,$C$16:C267,0)),"")</f>
      </c>
    </row>
    <row r="269" ht="18" customHeight="1" spans="1:10" x14ac:dyDescent="0.25">
      <c r="A269" s="8"/>
      <c r="B269" s="8"/>
      <c r="C269" s="8"/>
      <c r="D269" s="8"/>
      <c r="E269" s="9">
        <f>=IFERROR(VLOOKUP(D269,Lists!$A:$B,2,0),"")</f>
      </c>
      <c r="F269" s="10"/>
      <c r="G269" s="11">
        <f>=SUMIF($C$16:$C$501,C269,$F$16:$F$501)</f>
      </c>
      <c r="H269" s="12">
        <f>=F269/3600</f>
      </c>
      <c r="I269" s="13">
        <f>=IFERROR(INDEX(Lists!$C:$C,MATCH(J269,Lists!$D:$D,0)),"")</f>
      </c>
      <c r="J269" s="15">
        <f>=IFERROR(INDEX($J$16:J268,MATCH(C269,$C$16:C268,0)),"")</f>
      </c>
    </row>
    <row r="270" ht="18" customHeight="1" spans="1:10" x14ac:dyDescent="0.25">
      <c r="A270" s="8"/>
      <c r="B270" s="8"/>
      <c r="C270" s="8"/>
      <c r="D270" s="8"/>
      <c r="E270" s="9">
        <f>=IFERROR(VLOOKUP(D270,Lists!$A:$B,2,0),"")</f>
      </c>
      <c r="F270" s="10"/>
      <c r="G270" s="11">
        <f>=SUMIF($C$16:$C$501,C270,$F$16:$F$501)</f>
      </c>
      <c r="H270" s="12">
        <f>=F270/3600</f>
      </c>
      <c r="I270" s="13">
        <f>=IFERROR(INDEX(Lists!$C:$C,MATCH(J270,Lists!$D:$D,0)),"")</f>
      </c>
      <c r="J270" s="15">
        <f>=IFERROR(INDEX($J$16:J269,MATCH(C270,$C$16:C269,0)),"")</f>
      </c>
    </row>
    <row r="271" ht="18" customHeight="1" spans="1:10" x14ac:dyDescent="0.25">
      <c r="A271" s="8"/>
      <c r="B271" s="8"/>
      <c r="C271" s="8"/>
      <c r="D271" s="8"/>
      <c r="E271" s="9">
        <f>=IFERROR(VLOOKUP(D271,Lists!$A:$B,2,0),"")</f>
      </c>
      <c r="F271" s="10"/>
      <c r="G271" s="11">
        <f>=SUMIF($C$16:$C$501,C271,$F$16:$F$501)</f>
      </c>
      <c r="H271" s="12">
        <f>=F271/3600</f>
      </c>
      <c r="I271" s="13">
        <f>=IFERROR(INDEX(Lists!$C:$C,MATCH(J271,Lists!$D:$D,0)),"")</f>
      </c>
      <c r="J271" s="15">
        <f>=IFERROR(INDEX($J$16:J270,MATCH(C271,$C$16:C270,0)),"")</f>
      </c>
    </row>
    <row r="272" ht="18" customHeight="1" spans="1:10" x14ac:dyDescent="0.25">
      <c r="A272" s="8"/>
      <c r="B272" s="8"/>
      <c r="C272" s="8"/>
      <c r="D272" s="8"/>
      <c r="E272" s="9">
        <f>=IFERROR(VLOOKUP(D272,Lists!$A:$B,2,0),"")</f>
      </c>
      <c r="F272" s="10"/>
      <c r="G272" s="11">
        <f>=SUMIF($C$16:$C$501,C272,$F$16:$F$501)</f>
      </c>
      <c r="H272" s="12">
        <f>=F272/3600</f>
      </c>
      <c r="I272" s="13">
        <f>=IFERROR(INDEX(Lists!$C:$C,MATCH(J272,Lists!$D:$D,0)),"")</f>
      </c>
      <c r="J272" s="15">
        <f>=IFERROR(INDEX($J$16:J271,MATCH(C272,$C$16:C271,0)),"")</f>
      </c>
    </row>
    <row r="273" ht="18" customHeight="1" spans="1:10" x14ac:dyDescent="0.25">
      <c r="A273" s="8"/>
      <c r="B273" s="8"/>
      <c r="C273" s="8"/>
      <c r="D273" s="8"/>
      <c r="E273" s="9">
        <f>=IFERROR(VLOOKUP(D273,Lists!$A:$B,2,0),"")</f>
      </c>
      <c r="F273" s="10"/>
      <c r="G273" s="11">
        <f>=SUMIF($C$16:$C$501,C273,$F$16:$F$501)</f>
      </c>
      <c r="H273" s="12">
        <f>=F273/3600</f>
      </c>
      <c r="I273" s="13">
        <f>=IFERROR(INDEX(Lists!$C:$C,MATCH(J273,Lists!$D:$D,0)),"")</f>
      </c>
      <c r="J273" s="15">
        <f>=IFERROR(INDEX($J$16:J272,MATCH(C273,$C$16:C272,0)),"")</f>
      </c>
    </row>
    <row r="274" ht="18" customHeight="1" spans="1:10" x14ac:dyDescent="0.25">
      <c r="A274" s="8"/>
      <c r="B274" s="8"/>
      <c r="C274" s="8"/>
      <c r="D274" s="8"/>
      <c r="E274" s="9">
        <f>=IFERROR(VLOOKUP(D274,Lists!$A:$B,2,0),"")</f>
      </c>
      <c r="F274" s="10"/>
      <c r="G274" s="11">
        <f>=SUMIF($C$16:$C$501,C274,$F$16:$F$501)</f>
      </c>
      <c r="H274" s="12">
        <f>=F274/3600</f>
      </c>
      <c r="I274" s="13">
        <f>=IFERROR(INDEX(Lists!$C:$C,MATCH(J274,Lists!$D:$D,0)),"")</f>
      </c>
      <c r="J274" s="15">
        <f>=IFERROR(INDEX($J$16:J273,MATCH(C274,$C$16:C273,0)),"")</f>
      </c>
    </row>
    <row r="275" ht="18" customHeight="1" spans="1:10" x14ac:dyDescent="0.25">
      <c r="A275" s="8"/>
      <c r="B275" s="8"/>
      <c r="C275" s="8"/>
      <c r="D275" s="8"/>
      <c r="E275" s="9">
        <f>=IFERROR(VLOOKUP(D275,Lists!$A:$B,2,0),"")</f>
      </c>
      <c r="F275" s="10"/>
      <c r="G275" s="11">
        <f>=SUMIF($C$16:$C$501,C275,$F$16:$F$501)</f>
      </c>
      <c r="H275" s="12">
        <f>=F275/3600</f>
      </c>
      <c r="I275" s="13">
        <f>=IFERROR(INDEX(Lists!$C:$C,MATCH(J275,Lists!$D:$D,0)),"")</f>
      </c>
      <c r="J275" s="15">
        <f>=IFERROR(INDEX($J$16:J274,MATCH(C275,$C$16:C274,0)),"")</f>
      </c>
    </row>
    <row r="276" ht="18" customHeight="1" spans="1:10" x14ac:dyDescent="0.25">
      <c r="A276" s="8"/>
      <c r="B276" s="8"/>
      <c r="C276" s="8"/>
      <c r="D276" s="8"/>
      <c r="E276" s="9">
        <f>=IFERROR(VLOOKUP(D276,Lists!$A:$B,2,0),"")</f>
      </c>
      <c r="F276" s="10"/>
      <c r="G276" s="11">
        <f>=SUMIF($C$16:$C$501,C276,$F$16:$F$501)</f>
      </c>
      <c r="H276" s="12">
        <f>=F276/3600</f>
      </c>
      <c r="I276" s="13">
        <f>=IFERROR(INDEX(Lists!$C:$C,MATCH(J276,Lists!$D:$D,0)),"")</f>
      </c>
      <c r="J276" s="15">
        <f>=IFERROR(INDEX($J$16:J275,MATCH(C276,$C$16:C275,0)),"")</f>
      </c>
    </row>
    <row r="277" ht="18" customHeight="1" spans="1:10" x14ac:dyDescent="0.25">
      <c r="A277" s="8"/>
      <c r="B277" s="8"/>
      <c r="C277" s="8"/>
      <c r="D277" s="8"/>
      <c r="E277" s="9">
        <f>=IFERROR(VLOOKUP(D277,Lists!$A:$B,2,0),"")</f>
      </c>
      <c r="F277" s="10"/>
      <c r="G277" s="11">
        <f>=SUMIF($C$16:$C$501,C277,$F$16:$F$501)</f>
      </c>
      <c r="H277" s="12">
        <f>=F277/3600</f>
      </c>
      <c r="I277" s="13">
        <f>=IFERROR(INDEX(Lists!$C:$C,MATCH(J277,Lists!$D:$D,0)),"")</f>
      </c>
      <c r="J277" s="15">
        <f>=IFERROR(INDEX($J$16:J276,MATCH(C277,$C$16:C276,0)),"")</f>
      </c>
    </row>
    <row r="278" ht="18" customHeight="1" spans="1:10" x14ac:dyDescent="0.25">
      <c r="A278" s="8"/>
      <c r="B278" s="8"/>
      <c r="C278" s="8"/>
      <c r="D278" s="8"/>
      <c r="E278" s="9">
        <f>=IFERROR(VLOOKUP(D278,Lists!$A:$B,2,0),"")</f>
      </c>
      <c r="F278" s="10"/>
      <c r="G278" s="11">
        <f>=SUMIF($C$16:$C$501,C278,$F$16:$F$501)</f>
      </c>
      <c r="H278" s="12">
        <f>=F278/3600</f>
      </c>
      <c r="I278" s="13">
        <f>=IFERROR(INDEX(Lists!$C:$C,MATCH(J278,Lists!$D:$D,0)),"")</f>
      </c>
      <c r="J278" s="15">
        <f>=IFERROR(INDEX($J$16:J277,MATCH(C278,$C$16:C277,0)),"")</f>
      </c>
    </row>
    <row r="279" ht="18" customHeight="1" spans="1:10" x14ac:dyDescent="0.25">
      <c r="A279" s="8"/>
      <c r="B279" s="8"/>
      <c r="C279" s="8"/>
      <c r="D279" s="8"/>
      <c r="E279" s="9">
        <f>=IFERROR(VLOOKUP(D279,Lists!$A:$B,2,0),"")</f>
      </c>
      <c r="F279" s="10"/>
      <c r="G279" s="11">
        <f>=SUMIF($C$16:$C$501,C279,$F$16:$F$501)</f>
      </c>
      <c r="H279" s="12">
        <f>=F279/3600</f>
      </c>
      <c r="I279" s="13">
        <f>=IFERROR(INDEX(Lists!$C:$C,MATCH(J279,Lists!$D:$D,0)),"")</f>
      </c>
      <c r="J279" s="15">
        <f>=IFERROR(INDEX($J$16:J278,MATCH(C279,$C$16:C278,0)),"")</f>
      </c>
    </row>
    <row r="280" ht="18" customHeight="1" spans="1:10" x14ac:dyDescent="0.25">
      <c r="A280" s="8"/>
      <c r="B280" s="8"/>
      <c r="C280" s="8"/>
      <c r="D280" s="8"/>
      <c r="E280" s="9">
        <f>=IFERROR(VLOOKUP(D280,Lists!$A:$B,2,0),"")</f>
      </c>
      <c r="F280" s="10"/>
      <c r="G280" s="11">
        <f>=SUMIF($C$16:$C$501,C280,$F$16:$F$501)</f>
      </c>
      <c r="H280" s="12">
        <f>=F280/3600</f>
      </c>
      <c r="I280" s="13">
        <f>=IFERROR(INDEX(Lists!$C:$C,MATCH(J280,Lists!$D:$D,0)),"")</f>
      </c>
      <c r="J280" s="15">
        <f>=IFERROR(INDEX($J$16:J279,MATCH(C280,$C$16:C279,0)),"")</f>
      </c>
    </row>
    <row r="281" ht="18" customHeight="1" spans="1:10" x14ac:dyDescent="0.25">
      <c r="A281" s="8"/>
      <c r="B281" s="8"/>
      <c r="C281" s="8"/>
      <c r="D281" s="8"/>
      <c r="E281" s="9">
        <f>=IFERROR(VLOOKUP(D281,Lists!$A:$B,2,0),"")</f>
      </c>
      <c r="F281" s="10"/>
      <c r="G281" s="11">
        <f>=SUMIF($C$16:$C$501,C281,$F$16:$F$501)</f>
      </c>
      <c r="H281" s="12">
        <f>=F281/3600</f>
      </c>
      <c r="I281" s="13">
        <f>=IFERROR(INDEX(Lists!$C:$C,MATCH(J281,Lists!$D:$D,0)),"")</f>
      </c>
      <c r="J281" s="15">
        <f>=IFERROR(INDEX($J$16:J280,MATCH(C281,$C$16:C280,0)),"")</f>
      </c>
    </row>
    <row r="282" ht="18" customHeight="1" spans="1:10" x14ac:dyDescent="0.25">
      <c r="A282" s="8"/>
      <c r="B282" s="8"/>
      <c r="C282" s="8"/>
      <c r="D282" s="8"/>
      <c r="E282" s="9">
        <f>=IFERROR(VLOOKUP(D282,Lists!$A:$B,2,0),"")</f>
      </c>
      <c r="F282" s="10"/>
      <c r="G282" s="11">
        <f>=SUMIF($C$16:$C$501,C282,$F$16:$F$501)</f>
      </c>
      <c r="H282" s="12">
        <f>=F282/3600</f>
      </c>
      <c r="I282" s="13">
        <f>=IFERROR(INDEX(Lists!$C:$C,MATCH(J282,Lists!$D:$D,0)),"")</f>
      </c>
      <c r="J282" s="15">
        <f>=IFERROR(INDEX($J$16:J281,MATCH(C282,$C$16:C281,0)),"")</f>
      </c>
    </row>
    <row r="283" ht="18" customHeight="1" spans="1:10" x14ac:dyDescent="0.25">
      <c r="A283" s="8"/>
      <c r="B283" s="8"/>
      <c r="C283" s="8"/>
      <c r="D283" s="8"/>
      <c r="E283" s="9">
        <f>=IFERROR(VLOOKUP(D283,Lists!$A:$B,2,0),"")</f>
      </c>
      <c r="F283" s="10"/>
      <c r="G283" s="11">
        <f>=SUMIF($C$16:$C$501,C283,$F$16:$F$501)</f>
      </c>
      <c r="H283" s="12">
        <f>=F283/3600</f>
      </c>
      <c r="I283" s="13">
        <f>=IFERROR(INDEX(Lists!$C:$C,MATCH(J283,Lists!$D:$D,0)),"")</f>
      </c>
      <c r="J283" s="15">
        <f>=IFERROR(INDEX($J$16:J282,MATCH(C283,$C$16:C282,0)),"")</f>
      </c>
    </row>
    <row r="284" ht="18" customHeight="1" spans="1:10" x14ac:dyDescent="0.25">
      <c r="A284" s="8"/>
      <c r="B284" s="8"/>
      <c r="C284" s="8"/>
      <c r="D284" s="8"/>
      <c r="E284" s="9">
        <f>=IFERROR(VLOOKUP(D284,Lists!$A:$B,2,0),"")</f>
      </c>
      <c r="F284" s="10"/>
      <c r="G284" s="11">
        <f>=SUMIF($C$16:$C$501,C284,$F$16:$F$501)</f>
      </c>
      <c r="H284" s="12">
        <f>=F284/3600</f>
      </c>
      <c r="I284" s="13">
        <f>=IFERROR(INDEX(Lists!$C:$C,MATCH(J284,Lists!$D:$D,0)),"")</f>
      </c>
      <c r="J284" s="15">
        <f>=IFERROR(INDEX($J$16:J283,MATCH(C284,$C$16:C283,0)),"")</f>
      </c>
    </row>
    <row r="285" ht="18" customHeight="1" spans="1:10" x14ac:dyDescent="0.25">
      <c r="A285" s="8"/>
      <c r="B285" s="8"/>
      <c r="C285" s="8"/>
      <c r="D285" s="8"/>
      <c r="E285" s="9">
        <f>=IFERROR(VLOOKUP(D285,Lists!$A:$B,2,0),"")</f>
      </c>
      <c r="F285" s="10"/>
      <c r="G285" s="11">
        <f>=SUMIF($C$16:$C$501,C285,$F$16:$F$501)</f>
      </c>
      <c r="H285" s="12">
        <f>=F285/3600</f>
      </c>
      <c r="I285" s="13">
        <f>=IFERROR(INDEX(Lists!$C:$C,MATCH(J285,Lists!$D:$D,0)),"")</f>
      </c>
      <c r="J285" s="15">
        <f>=IFERROR(INDEX($J$16:J284,MATCH(C285,$C$16:C284,0)),"")</f>
      </c>
    </row>
    <row r="286" ht="18" customHeight="1" spans="1:10" x14ac:dyDescent="0.25">
      <c r="A286" s="8"/>
      <c r="B286" s="8"/>
      <c r="C286" s="8"/>
      <c r="D286" s="8"/>
      <c r="E286" s="9">
        <f>=IFERROR(VLOOKUP(D286,Lists!$A:$B,2,0),"")</f>
      </c>
      <c r="F286" s="10"/>
      <c r="G286" s="11">
        <f>=SUMIF($C$16:$C$501,C286,$F$16:$F$501)</f>
      </c>
      <c r="H286" s="12">
        <f>=F286/3600</f>
      </c>
      <c r="I286" s="13">
        <f>=IFERROR(INDEX(Lists!$C:$C,MATCH(J286,Lists!$D:$D,0)),"")</f>
      </c>
      <c r="J286" s="15">
        <f>=IFERROR(INDEX($J$16:J285,MATCH(C286,$C$16:C285,0)),"")</f>
      </c>
    </row>
    <row r="287" ht="18" customHeight="1" spans="1:10" x14ac:dyDescent="0.25">
      <c r="A287" s="8"/>
      <c r="B287" s="8"/>
      <c r="C287" s="8"/>
      <c r="D287" s="8"/>
      <c r="E287" s="9">
        <f>=IFERROR(VLOOKUP(D287,Lists!$A:$B,2,0),"")</f>
      </c>
      <c r="F287" s="10"/>
      <c r="G287" s="11">
        <f>=SUMIF($C$16:$C$501,C287,$F$16:$F$501)</f>
      </c>
      <c r="H287" s="12">
        <f>=F287/3600</f>
      </c>
      <c r="I287" s="13">
        <f>=IFERROR(INDEX(Lists!$C:$C,MATCH(J287,Lists!$D:$D,0)),"")</f>
      </c>
      <c r="J287" s="15">
        <f>=IFERROR(INDEX($J$16:J286,MATCH(C287,$C$16:C286,0)),"")</f>
      </c>
    </row>
    <row r="288" ht="18" customHeight="1" spans="1:10" x14ac:dyDescent="0.25">
      <c r="A288" s="8"/>
      <c r="B288" s="8"/>
      <c r="C288" s="8"/>
      <c r="D288" s="8"/>
      <c r="E288" s="9">
        <f>=IFERROR(VLOOKUP(D288,Lists!$A:$B,2,0),"")</f>
      </c>
      <c r="F288" s="10"/>
      <c r="G288" s="11">
        <f>=SUMIF($C$16:$C$501,C288,$F$16:$F$501)</f>
      </c>
      <c r="H288" s="12">
        <f>=F288/3600</f>
      </c>
      <c r="I288" s="13">
        <f>=IFERROR(INDEX(Lists!$C:$C,MATCH(J288,Lists!$D:$D,0)),"")</f>
      </c>
      <c r="J288" s="15">
        <f>=IFERROR(INDEX($J$16:J287,MATCH(C288,$C$16:C287,0)),"")</f>
      </c>
    </row>
    <row r="289" ht="18" customHeight="1" spans="1:10" x14ac:dyDescent="0.25">
      <c r="A289" s="8"/>
      <c r="B289" s="8"/>
      <c r="C289" s="8"/>
      <c r="D289" s="8"/>
      <c r="E289" s="9">
        <f>=IFERROR(VLOOKUP(D289,Lists!$A:$B,2,0),"")</f>
      </c>
      <c r="F289" s="10"/>
      <c r="G289" s="11">
        <f>=SUMIF($C$16:$C$501,C289,$F$16:$F$501)</f>
      </c>
      <c r="H289" s="12">
        <f>=F289/3600</f>
      </c>
      <c r="I289" s="13">
        <f>=IFERROR(INDEX(Lists!$C:$C,MATCH(J289,Lists!$D:$D,0)),"")</f>
      </c>
      <c r="J289" s="15">
        <f>=IFERROR(INDEX($J$16:J288,MATCH(C289,$C$16:C288,0)),"")</f>
      </c>
    </row>
    <row r="290" ht="18" customHeight="1" spans="1:10" x14ac:dyDescent="0.25">
      <c r="A290" s="8"/>
      <c r="B290" s="8"/>
      <c r="C290" s="8"/>
      <c r="D290" s="8"/>
      <c r="E290" s="9">
        <f>=IFERROR(VLOOKUP(D290,Lists!$A:$B,2,0),"")</f>
      </c>
      <c r="F290" s="10"/>
      <c r="G290" s="11">
        <f>=SUMIF($C$16:$C$501,C290,$F$16:$F$501)</f>
      </c>
      <c r="H290" s="12">
        <f>=F290/3600</f>
      </c>
      <c r="I290" s="13">
        <f>=IFERROR(INDEX(Lists!$C:$C,MATCH(J290,Lists!$D:$D,0)),"")</f>
      </c>
      <c r="J290" s="15">
        <f>=IFERROR(INDEX($J$16:J289,MATCH(C290,$C$16:C289,0)),"")</f>
      </c>
    </row>
    <row r="291" ht="18" customHeight="1" spans="1:10" x14ac:dyDescent="0.25">
      <c r="A291" s="8"/>
      <c r="B291" s="8"/>
      <c r="C291" s="8"/>
      <c r="D291" s="8"/>
      <c r="E291" s="9">
        <f>=IFERROR(VLOOKUP(D291,Lists!$A:$B,2,0),"")</f>
      </c>
      <c r="F291" s="10"/>
      <c r="G291" s="11">
        <f>=SUMIF($C$16:$C$501,C291,$F$16:$F$501)</f>
      </c>
      <c r="H291" s="12">
        <f>=F291/3600</f>
      </c>
      <c r="I291" s="13">
        <f>=IFERROR(INDEX(Lists!$C:$C,MATCH(J291,Lists!$D:$D,0)),"")</f>
      </c>
      <c r="J291" s="15">
        <f>=IFERROR(INDEX($J$16:J290,MATCH(C291,$C$16:C290,0)),"")</f>
      </c>
    </row>
    <row r="292" ht="18" customHeight="1" spans="1:10" x14ac:dyDescent="0.25">
      <c r="A292" s="8"/>
      <c r="B292" s="8"/>
      <c r="C292" s="8"/>
      <c r="D292" s="8"/>
      <c r="E292" s="9">
        <f>=IFERROR(VLOOKUP(D292,Lists!$A:$B,2,0),"")</f>
      </c>
      <c r="F292" s="10"/>
      <c r="G292" s="11">
        <f>=SUMIF($C$16:$C$501,C292,$F$16:$F$501)</f>
      </c>
      <c r="H292" s="12">
        <f>=F292/3600</f>
      </c>
      <c r="I292" s="13">
        <f>=IFERROR(INDEX(Lists!$C:$C,MATCH(J292,Lists!$D:$D,0)),"")</f>
      </c>
      <c r="J292" s="15">
        <f>=IFERROR(INDEX($J$16:J291,MATCH(C292,$C$16:C291,0)),"")</f>
      </c>
    </row>
    <row r="293" ht="18" customHeight="1" spans="1:10" x14ac:dyDescent="0.25">
      <c r="A293" s="8"/>
      <c r="B293" s="8"/>
      <c r="C293" s="8"/>
      <c r="D293" s="8"/>
      <c r="E293" s="9">
        <f>=IFERROR(VLOOKUP(D293,Lists!$A:$B,2,0),"")</f>
      </c>
      <c r="F293" s="10"/>
      <c r="G293" s="11">
        <f>=SUMIF($C$16:$C$501,C293,$F$16:$F$501)</f>
      </c>
      <c r="H293" s="12">
        <f>=F293/3600</f>
      </c>
      <c r="I293" s="13">
        <f>=IFERROR(INDEX(Lists!$C:$C,MATCH(J293,Lists!$D:$D,0)),"")</f>
      </c>
      <c r="J293" s="15">
        <f>=IFERROR(INDEX($J$16:J292,MATCH(C293,$C$16:C292,0)),"")</f>
      </c>
    </row>
    <row r="294" ht="18" customHeight="1" spans="1:10" x14ac:dyDescent="0.25">
      <c r="A294" s="8"/>
      <c r="B294" s="8"/>
      <c r="C294" s="8"/>
      <c r="D294" s="8"/>
      <c r="E294" s="9">
        <f>=IFERROR(VLOOKUP(D294,Lists!$A:$B,2,0),"")</f>
      </c>
      <c r="F294" s="10"/>
      <c r="G294" s="11">
        <f>=SUMIF($C$16:$C$501,C294,$F$16:$F$501)</f>
      </c>
      <c r="H294" s="12">
        <f>=F294/3600</f>
      </c>
      <c r="I294" s="13">
        <f>=IFERROR(INDEX(Lists!$C:$C,MATCH(J294,Lists!$D:$D,0)),"")</f>
      </c>
      <c r="J294" s="15">
        <f>=IFERROR(INDEX($J$16:J293,MATCH(C294,$C$16:C293,0)),"")</f>
      </c>
    </row>
    <row r="295" ht="18" customHeight="1" spans="1:10" x14ac:dyDescent="0.25">
      <c r="A295" s="8"/>
      <c r="B295" s="8"/>
      <c r="C295" s="8"/>
      <c r="D295" s="8"/>
      <c r="E295" s="9">
        <f>=IFERROR(VLOOKUP(D295,Lists!$A:$B,2,0),"")</f>
      </c>
      <c r="F295" s="10"/>
      <c r="G295" s="11">
        <f>=SUMIF($C$16:$C$501,C295,$F$16:$F$501)</f>
      </c>
      <c r="H295" s="12">
        <f>=F295/3600</f>
      </c>
      <c r="I295" s="13">
        <f>=IFERROR(INDEX(Lists!$C:$C,MATCH(J295,Lists!$D:$D,0)),"")</f>
      </c>
      <c r="J295" s="15">
        <f>=IFERROR(INDEX($J$16:J294,MATCH(C295,$C$16:C294,0)),"")</f>
      </c>
    </row>
    <row r="296" ht="18" customHeight="1" spans="1:10" x14ac:dyDescent="0.25">
      <c r="A296" s="8"/>
      <c r="B296" s="8"/>
      <c r="C296" s="8"/>
      <c r="D296" s="8"/>
      <c r="E296" s="9">
        <f>=IFERROR(VLOOKUP(D296,Lists!$A:$B,2,0),"")</f>
      </c>
      <c r="F296" s="10"/>
      <c r="G296" s="11">
        <f>=SUMIF($C$16:$C$501,C296,$F$16:$F$501)</f>
      </c>
      <c r="H296" s="12">
        <f>=F296/3600</f>
      </c>
      <c r="I296" s="13">
        <f>=IFERROR(INDEX(Lists!$C:$C,MATCH(J296,Lists!$D:$D,0)),"")</f>
      </c>
      <c r="J296" s="15">
        <f>=IFERROR(INDEX($J$16:J295,MATCH(C296,$C$16:C295,0)),"")</f>
      </c>
    </row>
    <row r="297" ht="18" customHeight="1" spans="1:10" x14ac:dyDescent="0.25">
      <c r="A297" s="8"/>
      <c r="B297" s="8"/>
      <c r="C297" s="8"/>
      <c r="D297" s="8"/>
      <c r="E297" s="9">
        <f>=IFERROR(VLOOKUP(D297,Lists!$A:$B,2,0),"")</f>
      </c>
      <c r="F297" s="10"/>
      <c r="G297" s="11">
        <f>=SUMIF($C$16:$C$501,C297,$F$16:$F$501)</f>
      </c>
      <c r="H297" s="12">
        <f>=F297/3600</f>
      </c>
      <c r="I297" s="13">
        <f>=IFERROR(INDEX(Lists!$C:$C,MATCH(J297,Lists!$D:$D,0)),"")</f>
      </c>
      <c r="J297" s="15">
        <f>=IFERROR(INDEX($J$16:J296,MATCH(C297,$C$16:C296,0)),"")</f>
      </c>
    </row>
    <row r="298" ht="18" customHeight="1" spans="1:10" x14ac:dyDescent="0.25">
      <c r="A298" s="8"/>
      <c r="B298" s="8"/>
      <c r="C298" s="8"/>
      <c r="D298" s="8"/>
      <c r="E298" s="9">
        <f>=IFERROR(VLOOKUP(D298,Lists!$A:$B,2,0),"")</f>
      </c>
      <c r="F298" s="10"/>
      <c r="G298" s="11">
        <f>=SUMIF($C$16:$C$501,C298,$F$16:$F$501)</f>
      </c>
      <c r="H298" s="12">
        <f>=F298/3600</f>
      </c>
      <c r="I298" s="13">
        <f>=IFERROR(INDEX(Lists!$C:$C,MATCH(J298,Lists!$D:$D,0)),"")</f>
      </c>
      <c r="J298" s="15">
        <f>=IFERROR(INDEX($J$16:J297,MATCH(C298,$C$16:C297,0)),"")</f>
      </c>
    </row>
    <row r="299" ht="18" customHeight="1" spans="1:10" x14ac:dyDescent="0.25">
      <c r="A299" s="8"/>
      <c r="B299" s="8"/>
      <c r="C299" s="8"/>
      <c r="D299" s="8"/>
      <c r="E299" s="9">
        <f>=IFERROR(VLOOKUP(D299,Lists!$A:$B,2,0),"")</f>
      </c>
      <c r="F299" s="10"/>
      <c r="G299" s="11">
        <f>=SUMIF($C$16:$C$501,C299,$F$16:$F$501)</f>
      </c>
      <c r="H299" s="12">
        <f>=F299/3600</f>
      </c>
      <c r="I299" s="13">
        <f>=IFERROR(INDEX(Lists!$C:$C,MATCH(J299,Lists!$D:$D,0)),"")</f>
      </c>
      <c r="J299" s="15">
        <f>=IFERROR(INDEX($J$16:J298,MATCH(C299,$C$16:C298,0)),"")</f>
      </c>
    </row>
    <row r="300" ht="18" customHeight="1" spans="1:10" x14ac:dyDescent="0.25">
      <c r="A300" s="8"/>
      <c r="B300" s="8"/>
      <c r="C300" s="8"/>
      <c r="D300" s="8"/>
      <c r="E300" s="9">
        <f>=IFERROR(VLOOKUP(D300,Lists!$A:$B,2,0),"")</f>
      </c>
      <c r="F300" s="10"/>
      <c r="G300" s="11">
        <f>=SUMIF($C$16:$C$501,C300,$F$16:$F$501)</f>
      </c>
      <c r="H300" s="12">
        <f>=F300/3600</f>
      </c>
      <c r="I300" s="13">
        <f>=IFERROR(INDEX(Lists!$C:$C,MATCH(J300,Lists!$D:$D,0)),"")</f>
      </c>
      <c r="J300" s="15">
        <f>=IFERROR(INDEX($J$16:J299,MATCH(C300,$C$16:C299,0)),"")</f>
      </c>
    </row>
    <row r="301" ht="18" customHeight="1" spans="1:10" x14ac:dyDescent="0.25">
      <c r="A301" s="8"/>
      <c r="B301" s="8"/>
      <c r="C301" s="8"/>
      <c r="D301" s="8"/>
      <c r="E301" s="9">
        <f>=IFERROR(VLOOKUP(D301,Lists!$A:$B,2,0),"")</f>
      </c>
      <c r="F301" s="10"/>
      <c r="G301" s="11">
        <f>=SUMIF($C$16:$C$501,C301,$F$16:$F$501)</f>
      </c>
      <c r="H301" s="12">
        <f>=F301/3600</f>
      </c>
      <c r="I301" s="13">
        <f>=IFERROR(INDEX(Lists!$C:$C,MATCH(J301,Lists!$D:$D,0)),"")</f>
      </c>
      <c r="J301" s="15">
        <f>=IFERROR(INDEX($J$16:J300,MATCH(C301,$C$16:C300,0)),"")</f>
      </c>
    </row>
    <row r="302" ht="18" customHeight="1" spans="1:10" x14ac:dyDescent="0.25">
      <c r="A302" s="8"/>
      <c r="B302" s="8"/>
      <c r="C302" s="8"/>
      <c r="D302" s="8"/>
      <c r="E302" s="9">
        <f>=IFERROR(VLOOKUP(D302,Lists!$A:$B,2,0),"")</f>
      </c>
      <c r="F302" s="10"/>
      <c r="G302" s="11">
        <f>=SUMIF($C$16:$C$501,C302,$F$16:$F$501)</f>
      </c>
      <c r="H302" s="12">
        <f>=F302/3600</f>
      </c>
      <c r="I302" s="13">
        <f>=IFERROR(INDEX(Lists!$C:$C,MATCH(J302,Lists!$D:$D,0)),"")</f>
      </c>
      <c r="J302" s="15">
        <f>=IFERROR(INDEX($J$16:J301,MATCH(C302,$C$16:C301,0)),"")</f>
      </c>
    </row>
    <row r="303" ht="18" customHeight="1" spans="1:10" x14ac:dyDescent="0.25">
      <c r="A303" s="8"/>
      <c r="B303" s="8"/>
      <c r="C303" s="8"/>
      <c r="D303" s="8"/>
      <c r="E303" s="9">
        <f>=IFERROR(VLOOKUP(D303,Lists!$A:$B,2,0),"")</f>
      </c>
      <c r="F303" s="10"/>
      <c r="G303" s="11">
        <f>=SUMIF($C$16:$C$501,C303,$F$16:$F$501)</f>
      </c>
      <c r="H303" s="12">
        <f>=F303/3600</f>
      </c>
      <c r="I303" s="13">
        <f>=IFERROR(INDEX(Lists!$C:$C,MATCH(J303,Lists!$D:$D,0)),"")</f>
      </c>
      <c r="J303" s="15">
        <f>=IFERROR(INDEX($J$16:J302,MATCH(C303,$C$16:C302,0)),"")</f>
      </c>
    </row>
    <row r="304" ht="18" customHeight="1" spans="1:10" x14ac:dyDescent="0.25">
      <c r="A304" s="8"/>
      <c r="B304" s="8"/>
      <c r="C304" s="8"/>
      <c r="D304" s="8"/>
      <c r="E304" s="9">
        <f>=IFERROR(VLOOKUP(D304,Lists!$A:$B,2,0),"")</f>
      </c>
      <c r="F304" s="10"/>
      <c r="G304" s="11">
        <f>=SUMIF($C$16:$C$501,C304,$F$16:$F$501)</f>
      </c>
      <c r="H304" s="12">
        <f>=F304/3600</f>
      </c>
      <c r="I304" s="13">
        <f>=IFERROR(INDEX(Lists!$C:$C,MATCH(J304,Lists!$D:$D,0)),"")</f>
      </c>
      <c r="J304" s="15">
        <f>=IFERROR(INDEX($J$16:J303,MATCH(C304,$C$16:C303,0)),"")</f>
      </c>
    </row>
    <row r="305" ht="18" customHeight="1" spans="1:10" x14ac:dyDescent="0.25">
      <c r="A305" s="8"/>
      <c r="B305" s="8"/>
      <c r="C305" s="8"/>
      <c r="D305" s="8"/>
      <c r="E305" s="9">
        <f>=IFERROR(VLOOKUP(D305,Lists!$A:$B,2,0),"")</f>
      </c>
      <c r="F305" s="10"/>
      <c r="G305" s="11">
        <f>=SUMIF($C$16:$C$501,C305,$F$16:$F$501)</f>
      </c>
      <c r="H305" s="12">
        <f>=F305/3600</f>
      </c>
      <c r="I305" s="13">
        <f>=IFERROR(INDEX(Lists!$C:$C,MATCH(J305,Lists!$D:$D,0)),"")</f>
      </c>
      <c r="J305" s="15">
        <f>=IFERROR(INDEX($J$16:J304,MATCH(C305,$C$16:C304,0)),"")</f>
      </c>
    </row>
    <row r="306" ht="18" customHeight="1" spans="1:10" x14ac:dyDescent="0.25">
      <c r="A306" s="8"/>
      <c r="B306" s="8"/>
      <c r="C306" s="8"/>
      <c r="D306" s="8"/>
      <c r="E306" s="9">
        <f>=IFERROR(VLOOKUP(D306,Lists!$A:$B,2,0),"")</f>
      </c>
      <c r="F306" s="10"/>
      <c r="G306" s="11">
        <f>=SUMIF($C$16:$C$501,C306,$F$16:$F$501)</f>
      </c>
      <c r="H306" s="12">
        <f>=F306/3600</f>
      </c>
      <c r="I306" s="13">
        <f>=IFERROR(INDEX(Lists!$C:$C,MATCH(J306,Lists!$D:$D,0)),"")</f>
      </c>
      <c r="J306" s="15">
        <f>=IFERROR(INDEX($J$16:J305,MATCH(C306,$C$16:C305,0)),"")</f>
      </c>
    </row>
    <row r="307" ht="18" customHeight="1" spans="1:10" x14ac:dyDescent="0.25">
      <c r="A307" s="8"/>
      <c r="B307" s="8"/>
      <c r="C307" s="8"/>
      <c r="D307" s="8"/>
      <c r="E307" s="9">
        <f>=IFERROR(VLOOKUP(D307,Lists!$A:$B,2,0),"")</f>
      </c>
      <c r="F307" s="10"/>
      <c r="G307" s="11">
        <f>=SUMIF($C$16:$C$501,C307,$F$16:$F$501)</f>
      </c>
      <c r="H307" s="12">
        <f>=F307/3600</f>
      </c>
      <c r="I307" s="13">
        <f>=IFERROR(INDEX(Lists!$C:$C,MATCH(J307,Lists!$D:$D,0)),"")</f>
      </c>
      <c r="J307" s="15">
        <f>=IFERROR(INDEX($J$16:J306,MATCH(C307,$C$16:C306,0)),"")</f>
      </c>
    </row>
    <row r="308" ht="18" customHeight="1" spans="1:10" x14ac:dyDescent="0.25">
      <c r="A308" s="8"/>
      <c r="B308" s="8"/>
      <c r="C308" s="8"/>
      <c r="D308" s="8"/>
      <c r="E308" s="9">
        <f>=IFERROR(VLOOKUP(D308,Lists!$A:$B,2,0),"")</f>
      </c>
      <c r="F308" s="10"/>
      <c r="G308" s="11">
        <f>=SUMIF($C$16:$C$501,C308,$F$16:$F$501)</f>
      </c>
      <c r="H308" s="12">
        <f>=F308/3600</f>
      </c>
      <c r="I308" s="13">
        <f>=IFERROR(INDEX(Lists!$C:$C,MATCH(J308,Lists!$D:$D,0)),"")</f>
      </c>
      <c r="J308" s="15">
        <f>=IFERROR(INDEX($J$16:J307,MATCH(C308,$C$16:C307,0)),"")</f>
      </c>
    </row>
    <row r="309" ht="18" customHeight="1" spans="1:10" x14ac:dyDescent="0.25">
      <c r="A309" s="8"/>
      <c r="B309" s="8"/>
      <c r="C309" s="8"/>
      <c r="D309" s="8"/>
      <c r="E309" s="9">
        <f>=IFERROR(VLOOKUP(D309,Lists!$A:$B,2,0),"")</f>
      </c>
      <c r="F309" s="10"/>
      <c r="G309" s="11">
        <f>=SUMIF($C$16:$C$501,C309,$F$16:$F$501)</f>
      </c>
      <c r="H309" s="12">
        <f>=F309/3600</f>
      </c>
      <c r="I309" s="13">
        <f>=IFERROR(INDEX(Lists!$C:$C,MATCH(J309,Lists!$D:$D,0)),"")</f>
      </c>
      <c r="J309" s="15">
        <f>=IFERROR(INDEX($J$16:J308,MATCH(C309,$C$16:C308,0)),"")</f>
      </c>
    </row>
    <row r="310" ht="18" customHeight="1" spans="1:10" x14ac:dyDescent="0.25">
      <c r="A310" s="8"/>
      <c r="B310" s="8"/>
      <c r="C310" s="8"/>
      <c r="D310" s="8"/>
      <c r="E310" s="9">
        <f>=IFERROR(VLOOKUP(D310,Lists!$A:$B,2,0),"")</f>
      </c>
      <c r="F310" s="10"/>
      <c r="G310" s="11">
        <f>=SUMIF($C$16:$C$501,C310,$F$16:$F$501)</f>
      </c>
      <c r="H310" s="12">
        <f>=F310/3600</f>
      </c>
      <c r="I310" s="13">
        <f>=IFERROR(INDEX(Lists!$C:$C,MATCH(J310,Lists!$D:$D,0)),"")</f>
      </c>
      <c r="J310" s="15">
        <f>=IFERROR(INDEX($J$16:J309,MATCH(C310,$C$16:C309,0)),"")</f>
      </c>
    </row>
    <row r="311" ht="18" customHeight="1" spans="1:10" x14ac:dyDescent="0.25">
      <c r="A311" s="8"/>
      <c r="B311" s="8"/>
      <c r="C311" s="8"/>
      <c r="D311" s="8"/>
      <c r="E311" s="9">
        <f>=IFERROR(VLOOKUP(D311,Lists!$A:$B,2,0),"")</f>
      </c>
      <c r="F311" s="10"/>
      <c r="G311" s="11">
        <f>=SUMIF($C$16:$C$501,C311,$F$16:$F$501)</f>
      </c>
      <c r="H311" s="12">
        <f>=F311/3600</f>
      </c>
      <c r="I311" s="13">
        <f>=IFERROR(INDEX(Lists!$C:$C,MATCH(J311,Lists!$D:$D,0)),"")</f>
      </c>
      <c r="J311" s="15">
        <f>=IFERROR(INDEX($J$16:J310,MATCH(C311,$C$16:C310,0)),"")</f>
      </c>
    </row>
    <row r="312" ht="18" customHeight="1" spans="1:10" x14ac:dyDescent="0.25">
      <c r="A312" s="8"/>
      <c r="B312" s="8"/>
      <c r="C312" s="8"/>
      <c r="D312" s="8"/>
      <c r="E312" s="9">
        <f>=IFERROR(VLOOKUP(D312,Lists!$A:$B,2,0),"")</f>
      </c>
      <c r="F312" s="10"/>
      <c r="G312" s="11">
        <f>=SUMIF($C$16:$C$501,C312,$F$16:$F$501)</f>
      </c>
      <c r="H312" s="12">
        <f>=F312/3600</f>
      </c>
      <c r="I312" s="13">
        <f>=IFERROR(INDEX(Lists!$C:$C,MATCH(J312,Lists!$D:$D,0)),"")</f>
      </c>
      <c r="J312" s="15">
        <f>=IFERROR(INDEX($J$16:J311,MATCH(C312,$C$16:C311,0)),"")</f>
      </c>
    </row>
    <row r="313" ht="18" customHeight="1" spans="1:10" x14ac:dyDescent="0.25">
      <c r="A313" s="8"/>
      <c r="B313" s="8"/>
      <c r="C313" s="8"/>
      <c r="D313" s="8"/>
      <c r="E313" s="9">
        <f>=IFERROR(VLOOKUP(D313,Lists!$A:$B,2,0),"")</f>
      </c>
      <c r="F313" s="10"/>
      <c r="G313" s="11">
        <f>=SUMIF($C$16:$C$501,C313,$F$16:$F$501)</f>
      </c>
      <c r="H313" s="12">
        <f>=F313/3600</f>
      </c>
      <c r="I313" s="13">
        <f>=IFERROR(INDEX(Lists!$C:$C,MATCH(J313,Lists!$D:$D,0)),"")</f>
      </c>
      <c r="J313" s="15">
        <f>=IFERROR(INDEX($J$16:J312,MATCH(C313,$C$16:C312,0)),"")</f>
      </c>
    </row>
    <row r="314" ht="18" customHeight="1" spans="1:10" x14ac:dyDescent="0.25">
      <c r="A314" s="8"/>
      <c r="B314" s="8"/>
      <c r="C314" s="8"/>
      <c r="D314" s="8"/>
      <c r="E314" s="9">
        <f>=IFERROR(VLOOKUP(D314,Lists!$A:$B,2,0),"")</f>
      </c>
      <c r="F314" s="10"/>
      <c r="G314" s="11">
        <f>=SUMIF($C$16:$C$501,C314,$F$16:$F$501)</f>
      </c>
      <c r="H314" s="12">
        <f>=F314/3600</f>
      </c>
      <c r="I314" s="13">
        <f>=IFERROR(INDEX(Lists!$C:$C,MATCH(J314,Lists!$D:$D,0)),"")</f>
      </c>
      <c r="J314" s="15">
        <f>=IFERROR(INDEX($J$16:J313,MATCH(C314,$C$16:C313,0)),"")</f>
      </c>
    </row>
    <row r="315" ht="18" customHeight="1" spans="1:10" x14ac:dyDescent="0.25">
      <c r="A315" s="8"/>
      <c r="B315" s="8"/>
      <c r="C315" s="8"/>
      <c r="D315" s="8"/>
      <c r="E315" s="9">
        <f>=IFERROR(VLOOKUP(D315,Lists!$A:$B,2,0),"")</f>
      </c>
      <c r="F315" s="10"/>
      <c r="G315" s="11">
        <f>=SUMIF($C$16:$C$501,C315,$F$16:$F$501)</f>
      </c>
      <c r="H315" s="12">
        <f>=F315/3600</f>
      </c>
      <c r="I315" s="13">
        <f>=IFERROR(INDEX(Lists!$C:$C,MATCH(J315,Lists!$D:$D,0)),"")</f>
      </c>
      <c r="J315" s="15">
        <f>=IFERROR(INDEX($J$16:J314,MATCH(C315,$C$16:C314,0)),"")</f>
      </c>
    </row>
    <row r="316" ht="18" customHeight="1" spans="1:10" x14ac:dyDescent="0.25">
      <c r="A316" s="8"/>
      <c r="B316" s="8"/>
      <c r="C316" s="8"/>
      <c r="D316" s="8"/>
      <c r="E316" s="9">
        <f>=IFERROR(VLOOKUP(D316,Lists!$A:$B,2,0),"")</f>
      </c>
      <c r="F316" s="10"/>
      <c r="G316" s="11">
        <f>=SUMIF($C$16:$C$501,C316,$F$16:$F$501)</f>
      </c>
      <c r="H316" s="12">
        <f>=F316/3600</f>
      </c>
      <c r="I316" s="13">
        <f>=IFERROR(INDEX(Lists!$C:$C,MATCH(J316,Lists!$D:$D,0)),"")</f>
      </c>
      <c r="J316" s="15">
        <f>=IFERROR(INDEX($J$16:J315,MATCH(C316,$C$16:C315,0)),"")</f>
      </c>
    </row>
    <row r="317" ht="18" customHeight="1" spans="1:10" x14ac:dyDescent="0.25">
      <c r="A317" s="8"/>
      <c r="B317" s="8"/>
      <c r="C317" s="8"/>
      <c r="D317" s="8"/>
      <c r="E317" s="9">
        <f>=IFERROR(VLOOKUP(D317,Lists!$A:$B,2,0),"")</f>
      </c>
      <c r="F317" s="10"/>
      <c r="G317" s="11">
        <f>=SUMIF($C$16:$C$501,C317,$F$16:$F$501)</f>
      </c>
      <c r="H317" s="12">
        <f>=F317/3600</f>
      </c>
      <c r="I317" s="13">
        <f>=IFERROR(INDEX(Lists!$C:$C,MATCH(J317,Lists!$D:$D,0)),"")</f>
      </c>
      <c r="J317" s="15">
        <f>=IFERROR(INDEX($J$16:J316,MATCH(C317,$C$16:C316,0)),"")</f>
      </c>
    </row>
    <row r="318" ht="18" customHeight="1" spans="1:10" x14ac:dyDescent="0.25">
      <c r="A318" s="8"/>
      <c r="B318" s="8"/>
      <c r="C318" s="8"/>
      <c r="D318" s="8"/>
      <c r="E318" s="9">
        <f>=IFERROR(VLOOKUP(D318,Lists!$A:$B,2,0),"")</f>
      </c>
      <c r="F318" s="10"/>
      <c r="G318" s="11">
        <f>=SUMIF($C$16:$C$501,C318,$F$16:$F$501)</f>
      </c>
      <c r="H318" s="12">
        <f>=F318/3600</f>
      </c>
      <c r="I318" s="13">
        <f>=IFERROR(INDEX(Lists!$C:$C,MATCH(J318,Lists!$D:$D,0)),"")</f>
      </c>
      <c r="J318" s="15">
        <f>=IFERROR(INDEX($J$16:J317,MATCH(C318,$C$16:C317,0)),"")</f>
      </c>
    </row>
    <row r="319" ht="18" customHeight="1" spans="1:10" x14ac:dyDescent="0.25">
      <c r="A319" s="8"/>
      <c r="B319" s="8"/>
      <c r="C319" s="8"/>
      <c r="D319" s="8"/>
      <c r="E319" s="9">
        <f>=IFERROR(VLOOKUP(D319,Lists!$A:$B,2,0),"")</f>
      </c>
      <c r="F319" s="10"/>
      <c r="G319" s="11">
        <f>=SUMIF($C$16:$C$501,C319,$F$16:$F$501)</f>
      </c>
      <c r="H319" s="12">
        <f>=F319/3600</f>
      </c>
      <c r="I319" s="13">
        <f>=IFERROR(INDEX(Lists!$C:$C,MATCH(J319,Lists!$D:$D,0)),"")</f>
      </c>
      <c r="J319" s="15">
        <f>=IFERROR(INDEX($J$16:J318,MATCH(C319,$C$16:C318,0)),"")</f>
      </c>
    </row>
    <row r="320" ht="18" customHeight="1" spans="1:10" x14ac:dyDescent="0.25">
      <c r="A320" s="8"/>
      <c r="B320" s="8"/>
      <c r="C320" s="8"/>
      <c r="D320" s="8"/>
      <c r="E320" s="9">
        <f>=IFERROR(VLOOKUP(D320,Lists!$A:$B,2,0),"")</f>
      </c>
      <c r="F320" s="10"/>
      <c r="G320" s="11">
        <f>=SUMIF($C$16:$C$501,C320,$F$16:$F$501)</f>
      </c>
      <c r="H320" s="12">
        <f>=F320/3600</f>
      </c>
      <c r="I320" s="13">
        <f>=IFERROR(INDEX(Lists!$C:$C,MATCH(J320,Lists!$D:$D,0)),"")</f>
      </c>
      <c r="J320" s="15">
        <f>=IFERROR(INDEX($J$16:J319,MATCH(C320,$C$16:C319,0)),"")</f>
      </c>
    </row>
    <row r="321" ht="18" customHeight="1" spans="1:10" x14ac:dyDescent="0.25">
      <c r="A321" s="8"/>
      <c r="B321" s="8"/>
      <c r="C321" s="8"/>
      <c r="D321" s="8"/>
      <c r="E321" s="9">
        <f>=IFERROR(VLOOKUP(D321,Lists!$A:$B,2,0),"")</f>
      </c>
      <c r="F321" s="10"/>
      <c r="G321" s="11">
        <f>=SUMIF($C$16:$C$501,C321,$F$16:$F$501)</f>
      </c>
      <c r="H321" s="12">
        <f>=F321/3600</f>
      </c>
      <c r="I321" s="13">
        <f>=IFERROR(INDEX(Lists!$C:$C,MATCH(J321,Lists!$D:$D,0)),"")</f>
      </c>
      <c r="J321" s="15">
        <f>=IFERROR(INDEX($J$16:J320,MATCH(C321,$C$16:C320,0)),"")</f>
      </c>
    </row>
    <row r="322" ht="18" customHeight="1" spans="1:10" x14ac:dyDescent="0.25">
      <c r="A322" s="8"/>
      <c r="B322" s="8"/>
      <c r="C322" s="8"/>
      <c r="D322" s="8"/>
      <c r="E322" s="9">
        <f>=IFERROR(VLOOKUP(D322,Lists!$A:$B,2,0),"")</f>
      </c>
      <c r="F322" s="10"/>
      <c r="G322" s="11">
        <f>=SUMIF($C$16:$C$501,C322,$F$16:$F$501)</f>
      </c>
      <c r="H322" s="12">
        <f>=F322/3600</f>
      </c>
      <c r="I322" s="13">
        <f>=IFERROR(INDEX(Lists!$C:$C,MATCH(J322,Lists!$D:$D,0)),"")</f>
      </c>
      <c r="J322" s="15">
        <f>=IFERROR(INDEX($J$16:J321,MATCH(C322,$C$16:C321,0)),"")</f>
      </c>
    </row>
    <row r="323" ht="18" customHeight="1" spans="1:10" x14ac:dyDescent="0.25">
      <c r="A323" s="8"/>
      <c r="B323" s="8"/>
      <c r="C323" s="8"/>
      <c r="D323" s="8"/>
      <c r="E323" s="9">
        <f>=IFERROR(VLOOKUP(D323,Lists!$A:$B,2,0),"")</f>
      </c>
      <c r="F323" s="10"/>
      <c r="G323" s="11">
        <f>=SUMIF($C$16:$C$501,C323,$F$16:$F$501)</f>
      </c>
      <c r="H323" s="12">
        <f>=F323/3600</f>
      </c>
      <c r="I323" s="13">
        <f>=IFERROR(INDEX(Lists!$C:$C,MATCH(J323,Lists!$D:$D,0)),"")</f>
      </c>
      <c r="J323" s="15">
        <f>=IFERROR(INDEX($J$16:J322,MATCH(C323,$C$16:C322,0)),"")</f>
      </c>
    </row>
    <row r="324" ht="18" customHeight="1" spans="1:10" x14ac:dyDescent="0.25">
      <c r="A324" s="8"/>
      <c r="B324" s="8"/>
      <c r="C324" s="8"/>
      <c r="D324" s="8"/>
      <c r="E324" s="9">
        <f>=IFERROR(VLOOKUP(D324,Lists!$A:$B,2,0),"")</f>
      </c>
      <c r="F324" s="10"/>
      <c r="G324" s="11">
        <f>=SUMIF($C$16:$C$501,C324,$F$16:$F$501)</f>
      </c>
      <c r="H324" s="12">
        <f>=F324/3600</f>
      </c>
      <c r="I324" s="13">
        <f>=IFERROR(INDEX(Lists!$C:$C,MATCH(J324,Lists!$D:$D,0)),"")</f>
      </c>
      <c r="J324" s="15">
        <f>=IFERROR(INDEX($J$16:J323,MATCH(C324,$C$16:C323,0)),"")</f>
      </c>
    </row>
    <row r="325" ht="18" customHeight="1" spans="1:10" x14ac:dyDescent="0.25">
      <c r="A325" s="8"/>
      <c r="B325" s="8"/>
      <c r="C325" s="8"/>
      <c r="D325" s="8"/>
      <c r="E325" s="9">
        <f>=IFERROR(VLOOKUP(D325,Lists!$A:$B,2,0),"")</f>
      </c>
      <c r="F325" s="10"/>
      <c r="G325" s="11">
        <f>=SUMIF($C$16:$C$501,C325,$F$16:$F$501)</f>
      </c>
      <c r="H325" s="12">
        <f>=F325/3600</f>
      </c>
      <c r="I325" s="13">
        <f>=IFERROR(INDEX(Lists!$C:$C,MATCH(J325,Lists!$D:$D,0)),"")</f>
      </c>
      <c r="J325" s="15">
        <f>=IFERROR(INDEX($J$16:J324,MATCH(C325,$C$16:C324,0)),"")</f>
      </c>
    </row>
    <row r="326" ht="18" customHeight="1" spans="1:10" x14ac:dyDescent="0.25">
      <c r="A326" s="8"/>
      <c r="B326" s="8"/>
      <c r="C326" s="8"/>
      <c r="D326" s="8"/>
      <c r="E326" s="9">
        <f>=IFERROR(VLOOKUP(D326,Lists!$A:$B,2,0),"")</f>
      </c>
      <c r="F326" s="10"/>
      <c r="G326" s="11">
        <f>=SUMIF($C$16:$C$501,C326,$F$16:$F$501)</f>
      </c>
      <c r="H326" s="12">
        <f>=F326/3600</f>
      </c>
      <c r="I326" s="13">
        <f>=IFERROR(INDEX(Lists!$C:$C,MATCH(J326,Lists!$D:$D,0)),"")</f>
      </c>
      <c r="J326" s="15">
        <f>=IFERROR(INDEX($J$16:J325,MATCH(C326,$C$16:C325,0)),"")</f>
      </c>
    </row>
    <row r="327" ht="18" customHeight="1" spans="1:10" x14ac:dyDescent="0.25">
      <c r="A327" s="8"/>
      <c r="B327" s="8"/>
      <c r="C327" s="8"/>
      <c r="D327" s="8"/>
      <c r="E327" s="9">
        <f>=IFERROR(VLOOKUP(D327,Lists!$A:$B,2,0),"")</f>
      </c>
      <c r="F327" s="10"/>
      <c r="G327" s="11">
        <f>=SUMIF($C$16:$C$501,C327,$F$16:$F$501)</f>
      </c>
      <c r="H327" s="12">
        <f>=F327/3600</f>
      </c>
      <c r="I327" s="13">
        <f>=IFERROR(INDEX(Lists!$C:$C,MATCH(J327,Lists!$D:$D,0)),"")</f>
      </c>
      <c r="J327" s="15">
        <f>=IFERROR(INDEX($J$16:J326,MATCH(C327,$C$16:C326,0)),"")</f>
      </c>
    </row>
    <row r="328" ht="18" customHeight="1" spans="1:10" x14ac:dyDescent="0.25">
      <c r="A328" s="8"/>
      <c r="B328" s="8"/>
      <c r="C328" s="8"/>
      <c r="D328" s="8"/>
      <c r="E328" s="9">
        <f>=IFERROR(VLOOKUP(D328,Lists!$A:$B,2,0),"")</f>
      </c>
      <c r="F328" s="10"/>
      <c r="G328" s="11">
        <f>=SUMIF($C$16:$C$501,C328,$F$16:$F$501)</f>
      </c>
      <c r="H328" s="12">
        <f>=F328/3600</f>
      </c>
      <c r="I328" s="13">
        <f>=IFERROR(INDEX(Lists!$C:$C,MATCH(J328,Lists!$D:$D,0)),"")</f>
      </c>
      <c r="J328" s="15">
        <f>=IFERROR(INDEX($J$16:J327,MATCH(C328,$C$16:C327,0)),"")</f>
      </c>
    </row>
    <row r="329" ht="18" customHeight="1" spans="1:10" x14ac:dyDescent="0.25">
      <c r="A329" s="8"/>
      <c r="B329" s="8"/>
      <c r="C329" s="8"/>
      <c r="D329" s="8"/>
      <c r="E329" s="9">
        <f>=IFERROR(VLOOKUP(D329,Lists!$A:$B,2,0),"")</f>
      </c>
      <c r="F329" s="10"/>
      <c r="G329" s="11">
        <f>=SUMIF($C$16:$C$501,C329,$F$16:$F$501)</f>
      </c>
      <c r="H329" s="12">
        <f>=F329/3600</f>
      </c>
      <c r="I329" s="13">
        <f>=IFERROR(INDEX(Lists!$C:$C,MATCH(J329,Lists!$D:$D,0)),"")</f>
      </c>
      <c r="J329" s="15">
        <f>=IFERROR(INDEX($J$16:J328,MATCH(C329,$C$16:C328,0)),"")</f>
      </c>
    </row>
    <row r="330" ht="18" customHeight="1" spans="1:10" x14ac:dyDescent="0.25">
      <c r="A330" s="8"/>
      <c r="B330" s="8"/>
      <c r="C330" s="8"/>
      <c r="D330" s="8"/>
      <c r="E330" s="9">
        <f>=IFERROR(VLOOKUP(D330,Lists!$A:$B,2,0),"")</f>
      </c>
      <c r="F330" s="10"/>
      <c r="G330" s="11">
        <f>=SUMIF($C$16:$C$501,C330,$F$16:$F$501)</f>
      </c>
      <c r="H330" s="12">
        <f>=F330/3600</f>
      </c>
      <c r="I330" s="13">
        <f>=IFERROR(INDEX(Lists!$C:$C,MATCH(J330,Lists!$D:$D,0)),"")</f>
      </c>
      <c r="J330" s="15">
        <f>=IFERROR(INDEX($J$16:J329,MATCH(C330,$C$16:C329,0)),"")</f>
      </c>
    </row>
    <row r="331" ht="18" customHeight="1" spans="1:10" x14ac:dyDescent="0.25">
      <c r="A331" s="8"/>
      <c r="B331" s="8"/>
      <c r="C331" s="8"/>
      <c r="D331" s="8"/>
      <c r="E331" s="9">
        <f>=IFERROR(VLOOKUP(D331,Lists!$A:$B,2,0),"")</f>
      </c>
      <c r="F331" s="10"/>
      <c r="G331" s="11">
        <f>=SUMIF($C$16:$C$501,C331,$F$16:$F$501)</f>
      </c>
      <c r="H331" s="12">
        <f>=F331/3600</f>
      </c>
      <c r="I331" s="13">
        <f>=IFERROR(INDEX(Lists!$C:$C,MATCH(J331,Lists!$D:$D,0)),"")</f>
      </c>
      <c r="J331" s="15">
        <f>=IFERROR(INDEX($J$16:J330,MATCH(C331,$C$16:C330,0)),"")</f>
      </c>
    </row>
    <row r="332" ht="18" customHeight="1" spans="1:10" x14ac:dyDescent="0.25">
      <c r="A332" s="8"/>
      <c r="B332" s="8"/>
      <c r="C332" s="8"/>
      <c r="D332" s="8"/>
      <c r="E332" s="9">
        <f>=IFERROR(VLOOKUP(D332,Lists!$A:$B,2,0),"")</f>
      </c>
      <c r="F332" s="10"/>
      <c r="G332" s="11">
        <f>=SUMIF($C$16:$C$501,C332,$F$16:$F$501)</f>
      </c>
      <c r="H332" s="12">
        <f>=F332/3600</f>
      </c>
      <c r="I332" s="13">
        <f>=IFERROR(INDEX(Lists!$C:$C,MATCH(J332,Lists!$D:$D,0)),"")</f>
      </c>
      <c r="J332" s="15">
        <f>=IFERROR(INDEX($J$16:J331,MATCH(C332,$C$16:C331,0)),"")</f>
      </c>
    </row>
    <row r="333" ht="18" customHeight="1" spans="1:10" x14ac:dyDescent="0.25">
      <c r="A333" s="8"/>
      <c r="B333" s="8"/>
      <c r="C333" s="8"/>
      <c r="D333" s="8"/>
      <c r="E333" s="9">
        <f>=IFERROR(VLOOKUP(D333,Lists!$A:$B,2,0),"")</f>
      </c>
      <c r="F333" s="10"/>
      <c r="G333" s="11">
        <f>=SUMIF($C$16:$C$501,C333,$F$16:$F$501)</f>
      </c>
      <c r="H333" s="12">
        <f>=F333/3600</f>
      </c>
      <c r="I333" s="13">
        <f>=IFERROR(INDEX(Lists!$C:$C,MATCH(J333,Lists!$D:$D,0)),"")</f>
      </c>
      <c r="J333" s="15">
        <f>=IFERROR(INDEX($J$16:J332,MATCH(C333,$C$16:C332,0)),"")</f>
      </c>
    </row>
    <row r="334" ht="18" customHeight="1" spans="1:10" x14ac:dyDescent="0.25">
      <c r="A334" s="8"/>
      <c r="B334" s="8"/>
      <c r="C334" s="8"/>
      <c r="D334" s="8"/>
      <c r="E334" s="9">
        <f>=IFERROR(VLOOKUP(D334,Lists!$A:$B,2,0),"")</f>
      </c>
      <c r="F334" s="10"/>
      <c r="G334" s="11">
        <f>=SUMIF($C$16:$C$501,C334,$F$16:$F$501)</f>
      </c>
      <c r="H334" s="12">
        <f>=F334/3600</f>
      </c>
      <c r="I334" s="13">
        <f>=IFERROR(INDEX(Lists!$C:$C,MATCH(J334,Lists!$D:$D,0)),"")</f>
      </c>
      <c r="J334" s="15">
        <f>=IFERROR(INDEX($J$16:J333,MATCH(C334,$C$16:C333,0)),"")</f>
      </c>
    </row>
    <row r="335" ht="18" customHeight="1" spans="1:10" x14ac:dyDescent="0.25">
      <c r="A335" s="8"/>
      <c r="B335" s="8"/>
      <c r="C335" s="8"/>
      <c r="D335" s="8"/>
      <c r="E335" s="9">
        <f>=IFERROR(VLOOKUP(D335,Lists!$A:$B,2,0),"")</f>
      </c>
      <c r="F335" s="10"/>
      <c r="G335" s="11">
        <f>=SUMIF($C$16:$C$501,C335,$F$16:$F$501)</f>
      </c>
      <c r="H335" s="12">
        <f>=F335/3600</f>
      </c>
      <c r="I335" s="13">
        <f>=IFERROR(INDEX(Lists!$C:$C,MATCH(J335,Lists!$D:$D,0)),"")</f>
      </c>
      <c r="J335" s="15">
        <f>=IFERROR(INDEX($J$16:J334,MATCH(C335,$C$16:C334,0)),"")</f>
      </c>
    </row>
    <row r="336" ht="18" customHeight="1" spans="1:10" x14ac:dyDescent="0.25">
      <c r="A336" s="8"/>
      <c r="B336" s="8"/>
      <c r="C336" s="8"/>
      <c r="D336" s="8"/>
      <c r="E336" s="9">
        <f>=IFERROR(VLOOKUP(D336,Lists!$A:$B,2,0),"")</f>
      </c>
      <c r="F336" s="10"/>
      <c r="G336" s="11">
        <f>=SUMIF($C$16:$C$501,C336,$F$16:$F$501)</f>
      </c>
      <c r="H336" s="12">
        <f>=F336/3600</f>
      </c>
      <c r="I336" s="13">
        <f>=IFERROR(INDEX(Lists!$C:$C,MATCH(J336,Lists!$D:$D,0)),"")</f>
      </c>
      <c r="J336" s="15">
        <f>=IFERROR(INDEX($J$16:J335,MATCH(C336,$C$16:C335,0)),"")</f>
      </c>
    </row>
    <row r="337" ht="18" customHeight="1" spans="1:10" x14ac:dyDescent="0.25">
      <c r="A337" s="8"/>
      <c r="B337" s="8"/>
      <c r="C337" s="8"/>
      <c r="D337" s="8"/>
      <c r="E337" s="9">
        <f>=IFERROR(VLOOKUP(D337,Lists!$A:$B,2,0),"")</f>
      </c>
      <c r="F337" s="10"/>
      <c r="G337" s="11">
        <f>=SUMIF($C$16:$C$501,C337,$F$16:$F$501)</f>
      </c>
      <c r="H337" s="12">
        <f>=F337/3600</f>
      </c>
      <c r="I337" s="13">
        <f>=IFERROR(INDEX(Lists!$C:$C,MATCH(J337,Lists!$D:$D,0)),"")</f>
      </c>
      <c r="J337" s="15">
        <f>=IFERROR(INDEX($J$16:J336,MATCH(C337,$C$16:C336,0)),"")</f>
      </c>
    </row>
    <row r="338" ht="18" customHeight="1" spans="1:10" x14ac:dyDescent="0.25">
      <c r="A338" s="8"/>
      <c r="B338" s="8"/>
      <c r="C338" s="8"/>
      <c r="D338" s="8"/>
      <c r="E338" s="9">
        <f>=IFERROR(VLOOKUP(D338,Lists!$A:$B,2,0),"")</f>
      </c>
      <c r="F338" s="10"/>
      <c r="G338" s="11">
        <f>=SUMIF($C$16:$C$501,C338,$F$16:$F$501)</f>
      </c>
      <c r="H338" s="12">
        <f>=F338/3600</f>
      </c>
      <c r="I338" s="13">
        <f>=IFERROR(INDEX(Lists!$C:$C,MATCH(J338,Lists!$D:$D,0)),"")</f>
      </c>
      <c r="J338" s="15">
        <f>=IFERROR(INDEX($J$16:J337,MATCH(C338,$C$16:C337,0)),"")</f>
      </c>
    </row>
    <row r="339" ht="18" customHeight="1" spans="1:10" x14ac:dyDescent="0.25">
      <c r="A339" s="8"/>
      <c r="B339" s="8"/>
      <c r="C339" s="8"/>
      <c r="D339" s="8"/>
      <c r="E339" s="9">
        <f>=IFERROR(VLOOKUP(D339,Lists!$A:$B,2,0),"")</f>
      </c>
      <c r="F339" s="10"/>
      <c r="G339" s="11">
        <f>=SUMIF($C$16:$C$501,C339,$F$16:$F$501)</f>
      </c>
      <c r="H339" s="12">
        <f>=F339/3600</f>
      </c>
      <c r="I339" s="13">
        <f>=IFERROR(INDEX(Lists!$C:$C,MATCH(J339,Lists!$D:$D,0)),"")</f>
      </c>
      <c r="J339" s="15">
        <f>=IFERROR(INDEX($J$16:J338,MATCH(C339,$C$16:C338,0)),"")</f>
      </c>
    </row>
    <row r="340" ht="18" customHeight="1" spans="1:10" x14ac:dyDescent="0.25">
      <c r="A340" s="8"/>
      <c r="B340" s="8"/>
      <c r="C340" s="8"/>
      <c r="D340" s="8"/>
      <c r="E340" s="9">
        <f>=IFERROR(VLOOKUP(D340,Lists!$A:$B,2,0),"")</f>
      </c>
      <c r="F340" s="10"/>
      <c r="G340" s="11">
        <f>=SUMIF($C$16:$C$501,C340,$F$16:$F$501)</f>
      </c>
      <c r="H340" s="12">
        <f>=F340/3600</f>
      </c>
      <c r="I340" s="13">
        <f>=IFERROR(INDEX(Lists!$C:$C,MATCH(J340,Lists!$D:$D,0)),"")</f>
      </c>
      <c r="J340" s="15">
        <f>=IFERROR(INDEX($J$16:J339,MATCH(C340,$C$16:C339,0)),"")</f>
      </c>
    </row>
    <row r="341" ht="18" customHeight="1" spans="1:10" x14ac:dyDescent="0.25">
      <c r="A341" s="8"/>
      <c r="B341" s="8"/>
      <c r="C341" s="8"/>
      <c r="D341" s="8"/>
      <c r="E341" s="9">
        <f>=IFERROR(VLOOKUP(D341,Lists!$A:$B,2,0),"")</f>
      </c>
      <c r="F341" s="10"/>
      <c r="G341" s="11">
        <f>=SUMIF($C$16:$C$501,C341,$F$16:$F$501)</f>
      </c>
      <c r="H341" s="12">
        <f>=F341/3600</f>
      </c>
      <c r="I341" s="13">
        <f>=IFERROR(INDEX(Lists!$C:$C,MATCH(J341,Lists!$D:$D,0)),"")</f>
      </c>
      <c r="J341" s="15">
        <f>=IFERROR(INDEX($J$16:J340,MATCH(C341,$C$16:C340,0)),"")</f>
      </c>
    </row>
    <row r="342" ht="18" customHeight="1" spans="1:10" x14ac:dyDescent="0.25">
      <c r="A342" s="8"/>
      <c r="B342" s="8"/>
      <c r="C342" s="8"/>
      <c r="D342" s="8"/>
      <c r="E342" s="9">
        <f>=IFERROR(VLOOKUP(D342,Lists!$A:$B,2,0),"")</f>
      </c>
      <c r="F342" s="10"/>
      <c r="G342" s="11">
        <f>=SUMIF($C$16:$C$501,C342,$F$16:$F$501)</f>
      </c>
      <c r="H342" s="12">
        <f>=F342/3600</f>
      </c>
      <c r="I342" s="13">
        <f>=IFERROR(INDEX(Lists!$C:$C,MATCH(J342,Lists!$D:$D,0)),"")</f>
      </c>
      <c r="J342" s="15">
        <f>=IFERROR(INDEX($J$16:J341,MATCH(C342,$C$16:C341,0)),"")</f>
      </c>
    </row>
    <row r="343" ht="18" customHeight="1" spans="1:10" x14ac:dyDescent="0.25">
      <c r="A343" s="8"/>
      <c r="B343" s="8"/>
      <c r="C343" s="8"/>
      <c r="D343" s="8"/>
      <c r="E343" s="9">
        <f>=IFERROR(VLOOKUP(D343,Lists!$A:$B,2,0),"")</f>
      </c>
      <c r="F343" s="10"/>
      <c r="G343" s="11">
        <f>=SUMIF($C$16:$C$501,C343,$F$16:$F$501)</f>
      </c>
      <c r="H343" s="12">
        <f>=F343/3600</f>
      </c>
      <c r="I343" s="13">
        <f>=IFERROR(INDEX(Lists!$C:$C,MATCH(J343,Lists!$D:$D,0)),"")</f>
      </c>
      <c r="J343" s="15">
        <f>=IFERROR(INDEX($J$16:J342,MATCH(C343,$C$16:C342,0)),"")</f>
      </c>
    </row>
    <row r="344" ht="18" customHeight="1" spans="1:10" x14ac:dyDescent="0.25">
      <c r="A344" s="8"/>
      <c r="B344" s="8"/>
      <c r="C344" s="8"/>
      <c r="D344" s="8"/>
      <c r="E344" s="9">
        <f>=IFERROR(VLOOKUP(D344,Lists!$A:$B,2,0),"")</f>
      </c>
      <c r="F344" s="10"/>
      <c r="G344" s="11">
        <f>=SUMIF($C$16:$C$501,C344,$F$16:$F$501)</f>
      </c>
      <c r="H344" s="12">
        <f>=F344/3600</f>
      </c>
      <c r="I344" s="13">
        <f>=IFERROR(INDEX(Lists!$C:$C,MATCH(J344,Lists!$D:$D,0)),"")</f>
      </c>
      <c r="J344" s="15">
        <f>=IFERROR(INDEX($J$16:J343,MATCH(C344,$C$16:C343,0)),"")</f>
      </c>
    </row>
    <row r="345" ht="18" customHeight="1" spans="1:10" x14ac:dyDescent="0.25">
      <c r="A345" s="8"/>
      <c r="B345" s="8"/>
      <c r="C345" s="8"/>
      <c r="D345" s="8"/>
      <c r="E345" s="9">
        <f>=IFERROR(VLOOKUP(D345,Lists!$A:$B,2,0),"")</f>
      </c>
      <c r="F345" s="10"/>
      <c r="G345" s="11">
        <f>=SUMIF($C$16:$C$501,C345,$F$16:$F$501)</f>
      </c>
      <c r="H345" s="12">
        <f>=F345/3600</f>
      </c>
      <c r="I345" s="13">
        <f>=IFERROR(INDEX(Lists!$C:$C,MATCH(J345,Lists!$D:$D,0)),"")</f>
      </c>
      <c r="J345" s="15">
        <f>=IFERROR(INDEX($J$16:J344,MATCH(C345,$C$16:C344,0)),"")</f>
      </c>
    </row>
    <row r="346" ht="18" customHeight="1" spans="1:10" x14ac:dyDescent="0.25">
      <c r="A346" s="8"/>
      <c r="B346" s="8"/>
      <c r="C346" s="8"/>
      <c r="D346" s="8"/>
      <c r="E346" s="9">
        <f>=IFERROR(VLOOKUP(D346,Lists!$A:$B,2,0),"")</f>
      </c>
      <c r="F346" s="10"/>
      <c r="G346" s="11">
        <f>=SUMIF($C$16:$C$501,C346,$F$16:$F$501)</f>
      </c>
      <c r="H346" s="12">
        <f>=F346/3600</f>
      </c>
      <c r="I346" s="13">
        <f>=IFERROR(INDEX(Lists!$C:$C,MATCH(J346,Lists!$D:$D,0)),"")</f>
      </c>
      <c r="J346" s="15">
        <f>=IFERROR(INDEX($J$16:J345,MATCH(C346,$C$16:C345,0)),"")</f>
      </c>
    </row>
    <row r="347" ht="18" customHeight="1" spans="1:10" x14ac:dyDescent="0.25">
      <c r="A347" s="8"/>
      <c r="B347" s="8"/>
      <c r="C347" s="8"/>
      <c r="D347" s="8"/>
      <c r="E347" s="9">
        <f>=IFERROR(VLOOKUP(D347,Lists!$A:$B,2,0),"")</f>
      </c>
      <c r="F347" s="10"/>
      <c r="G347" s="11">
        <f>=SUMIF($C$16:$C$501,C347,$F$16:$F$501)</f>
      </c>
      <c r="H347" s="12">
        <f>=F347/3600</f>
      </c>
      <c r="I347" s="13">
        <f>=IFERROR(INDEX(Lists!$C:$C,MATCH(J347,Lists!$D:$D,0)),"")</f>
      </c>
      <c r="J347" s="15">
        <f>=IFERROR(INDEX($J$16:J346,MATCH(C347,$C$16:C346,0)),"")</f>
      </c>
    </row>
    <row r="348" ht="18" customHeight="1" spans="1:10" x14ac:dyDescent="0.25">
      <c r="A348" s="8"/>
      <c r="B348" s="8"/>
      <c r="C348" s="8"/>
      <c r="D348" s="8"/>
      <c r="E348" s="9">
        <f>=IFERROR(VLOOKUP(D348,Lists!$A:$B,2,0),"")</f>
      </c>
      <c r="F348" s="10"/>
      <c r="G348" s="11">
        <f>=SUMIF($C$16:$C$501,C348,$F$16:$F$501)</f>
      </c>
      <c r="H348" s="12">
        <f>=F348/3600</f>
      </c>
      <c r="I348" s="13">
        <f>=IFERROR(INDEX(Lists!$C:$C,MATCH(J348,Lists!$D:$D,0)),"")</f>
      </c>
      <c r="J348" s="15">
        <f>=IFERROR(INDEX($J$16:J347,MATCH(C348,$C$16:C347,0)),"")</f>
      </c>
    </row>
    <row r="349" ht="18" customHeight="1" spans="1:10" x14ac:dyDescent="0.25">
      <c r="A349" s="8"/>
      <c r="B349" s="8"/>
      <c r="C349" s="8"/>
      <c r="D349" s="8"/>
      <c r="E349" s="9">
        <f>=IFERROR(VLOOKUP(D349,Lists!$A:$B,2,0),"")</f>
      </c>
      <c r="F349" s="10"/>
      <c r="G349" s="11">
        <f>=SUMIF($C$16:$C$501,C349,$F$16:$F$501)</f>
      </c>
      <c r="H349" s="12">
        <f>=F349/3600</f>
      </c>
      <c r="I349" s="13">
        <f>=IFERROR(INDEX(Lists!$C:$C,MATCH(J349,Lists!$D:$D,0)),"")</f>
      </c>
      <c r="J349" s="15">
        <f>=IFERROR(INDEX($J$16:J348,MATCH(C349,$C$16:C348,0)),"")</f>
      </c>
    </row>
    <row r="350" ht="18" customHeight="1" spans="1:10" x14ac:dyDescent="0.25">
      <c r="A350" s="8"/>
      <c r="B350" s="8"/>
      <c r="C350" s="8"/>
      <c r="D350" s="8"/>
      <c r="E350" s="9">
        <f>=IFERROR(VLOOKUP(D350,Lists!$A:$B,2,0),"")</f>
      </c>
      <c r="F350" s="10"/>
      <c r="G350" s="11">
        <f>=SUMIF($C$16:$C$501,C350,$F$16:$F$501)</f>
      </c>
      <c r="H350" s="12">
        <f>=F350/3600</f>
      </c>
      <c r="I350" s="13">
        <f>=IFERROR(INDEX(Lists!$C:$C,MATCH(J350,Lists!$D:$D,0)),"")</f>
      </c>
      <c r="J350" s="15">
        <f>=IFERROR(INDEX($J$16:J349,MATCH(C350,$C$16:C349,0)),"")</f>
      </c>
    </row>
    <row r="351" ht="18" customHeight="1" spans="1:10" x14ac:dyDescent="0.25">
      <c r="A351" s="8"/>
      <c r="B351" s="8"/>
      <c r="C351" s="8"/>
      <c r="D351" s="8"/>
      <c r="E351" s="9">
        <f>=IFERROR(VLOOKUP(D351,Lists!$A:$B,2,0),"")</f>
      </c>
      <c r="F351" s="10"/>
      <c r="G351" s="11">
        <f>=SUMIF($C$16:$C$501,C351,$F$16:$F$501)</f>
      </c>
      <c r="H351" s="12">
        <f>=F351/3600</f>
      </c>
      <c r="I351" s="13">
        <f>=IFERROR(INDEX(Lists!$C:$C,MATCH(J351,Lists!$D:$D,0)),"")</f>
      </c>
      <c r="J351" s="15">
        <f>=IFERROR(INDEX($J$16:J350,MATCH(C351,$C$16:C350,0)),"")</f>
      </c>
    </row>
    <row r="352" ht="18" customHeight="1" spans="1:10" x14ac:dyDescent="0.25">
      <c r="A352" s="8"/>
      <c r="B352" s="8"/>
      <c r="C352" s="8"/>
      <c r="D352" s="8"/>
      <c r="E352" s="9">
        <f>=IFERROR(VLOOKUP(D352,Lists!$A:$B,2,0),"")</f>
      </c>
      <c r="F352" s="10"/>
      <c r="G352" s="11">
        <f>=SUMIF($C$16:$C$501,C352,$F$16:$F$501)</f>
      </c>
      <c r="H352" s="12">
        <f>=F352/3600</f>
      </c>
      <c r="I352" s="13">
        <f>=IFERROR(INDEX(Lists!$C:$C,MATCH(J352,Lists!$D:$D,0)),"")</f>
      </c>
      <c r="J352" s="15">
        <f>=IFERROR(INDEX($J$16:J351,MATCH(C352,$C$16:C351,0)),"")</f>
      </c>
    </row>
    <row r="353" ht="18" customHeight="1" spans="1:10" x14ac:dyDescent="0.25">
      <c r="A353" s="8"/>
      <c r="B353" s="8"/>
      <c r="C353" s="8"/>
      <c r="D353" s="8"/>
      <c r="E353" s="9">
        <f>=IFERROR(VLOOKUP(D353,Lists!$A:$B,2,0),"")</f>
      </c>
      <c r="F353" s="10"/>
      <c r="G353" s="11">
        <f>=SUMIF($C$16:$C$501,C353,$F$16:$F$501)</f>
      </c>
      <c r="H353" s="12">
        <f>=F353/3600</f>
      </c>
      <c r="I353" s="13">
        <f>=IFERROR(INDEX(Lists!$C:$C,MATCH(J353,Lists!$D:$D,0)),"")</f>
      </c>
      <c r="J353" s="15">
        <f>=IFERROR(INDEX($J$16:J352,MATCH(C353,$C$16:C352,0)),"")</f>
      </c>
    </row>
    <row r="354" ht="18" customHeight="1" spans="1:10" x14ac:dyDescent="0.25">
      <c r="A354" s="8"/>
      <c r="B354" s="8"/>
      <c r="C354" s="8"/>
      <c r="D354" s="8"/>
      <c r="E354" s="9">
        <f>=IFERROR(VLOOKUP(D354,Lists!$A:$B,2,0),"")</f>
      </c>
      <c r="F354" s="10"/>
      <c r="G354" s="11">
        <f>=SUMIF($C$16:$C$501,C354,$F$16:$F$501)</f>
      </c>
      <c r="H354" s="12">
        <f>=F354/3600</f>
      </c>
      <c r="I354" s="13">
        <f>=IFERROR(INDEX(Lists!$C:$C,MATCH(J354,Lists!$D:$D,0)),"")</f>
      </c>
      <c r="J354" s="15">
        <f>=IFERROR(INDEX($J$16:J353,MATCH(C354,$C$16:C353,0)),"")</f>
      </c>
    </row>
    <row r="355" ht="18" customHeight="1" spans="1:10" x14ac:dyDescent="0.25">
      <c r="A355" s="8"/>
      <c r="B355" s="8"/>
      <c r="C355" s="8"/>
      <c r="D355" s="8"/>
      <c r="E355" s="9">
        <f>=IFERROR(VLOOKUP(D355,Lists!$A:$B,2,0),"")</f>
      </c>
      <c r="F355" s="10"/>
      <c r="G355" s="11">
        <f>=SUMIF($C$16:$C$501,C355,$F$16:$F$501)</f>
      </c>
      <c r="H355" s="12">
        <f>=F355/3600</f>
      </c>
      <c r="I355" s="13">
        <f>=IFERROR(INDEX(Lists!$C:$C,MATCH(J355,Lists!$D:$D,0)),"")</f>
      </c>
      <c r="J355" s="15">
        <f>=IFERROR(INDEX($J$16:J354,MATCH(C355,$C$16:C354,0)),"")</f>
      </c>
    </row>
    <row r="356" ht="18" customHeight="1" spans="1:10" x14ac:dyDescent="0.25">
      <c r="A356" s="8"/>
      <c r="B356" s="8"/>
      <c r="C356" s="8"/>
      <c r="D356" s="8"/>
      <c r="E356" s="9">
        <f>=IFERROR(VLOOKUP(D356,Lists!$A:$B,2,0),"")</f>
      </c>
      <c r="F356" s="10"/>
      <c r="G356" s="11">
        <f>=SUMIF($C$16:$C$501,C356,$F$16:$F$501)</f>
      </c>
      <c r="H356" s="12">
        <f>=F356/3600</f>
      </c>
      <c r="I356" s="13">
        <f>=IFERROR(INDEX(Lists!$C:$C,MATCH(J356,Lists!$D:$D,0)),"")</f>
      </c>
      <c r="J356" s="15">
        <f>=IFERROR(INDEX($J$16:J355,MATCH(C356,$C$16:C355,0)),"")</f>
      </c>
    </row>
    <row r="357" ht="18" customHeight="1" spans="1:10" x14ac:dyDescent="0.25">
      <c r="A357" s="8"/>
      <c r="B357" s="8"/>
      <c r="C357" s="8"/>
      <c r="D357" s="8"/>
      <c r="E357" s="9">
        <f>=IFERROR(VLOOKUP(D357,Lists!$A:$B,2,0),"")</f>
      </c>
      <c r="F357" s="10"/>
      <c r="G357" s="11">
        <f>=SUMIF($C$16:$C$501,C357,$F$16:$F$501)</f>
      </c>
      <c r="H357" s="12">
        <f>=F357/3600</f>
      </c>
      <c r="I357" s="13">
        <f>=IFERROR(INDEX(Lists!$C:$C,MATCH(J357,Lists!$D:$D,0)),"")</f>
      </c>
      <c r="J357" s="15">
        <f>=IFERROR(INDEX($J$16:J356,MATCH(C357,$C$16:C356,0)),"")</f>
      </c>
    </row>
    <row r="358" ht="18" customHeight="1" spans="1:10" x14ac:dyDescent="0.25">
      <c r="A358" s="8"/>
      <c r="B358" s="8"/>
      <c r="C358" s="8"/>
      <c r="D358" s="8"/>
      <c r="E358" s="9">
        <f>=IFERROR(VLOOKUP(D358,Lists!$A:$B,2,0),"")</f>
      </c>
      <c r="F358" s="10"/>
      <c r="G358" s="11">
        <f>=SUMIF($C$16:$C$501,C358,$F$16:$F$501)</f>
      </c>
      <c r="H358" s="12">
        <f>=F358/3600</f>
      </c>
      <c r="I358" s="13">
        <f>=IFERROR(INDEX(Lists!$C:$C,MATCH(J358,Lists!$D:$D,0)),"")</f>
      </c>
      <c r="J358" s="15">
        <f>=IFERROR(INDEX($J$16:J357,MATCH(C358,$C$16:C357,0)),"")</f>
      </c>
    </row>
    <row r="359" ht="18" customHeight="1" spans="1:10" x14ac:dyDescent="0.25">
      <c r="A359" s="8"/>
      <c r="B359" s="8"/>
      <c r="C359" s="8"/>
      <c r="D359" s="8"/>
      <c r="E359" s="9">
        <f>=IFERROR(VLOOKUP(D359,Lists!$A:$B,2,0),"")</f>
      </c>
      <c r="F359" s="10"/>
      <c r="G359" s="11">
        <f>=SUMIF($C$16:$C$501,C359,$F$16:$F$501)</f>
      </c>
      <c r="H359" s="12">
        <f>=F359/3600</f>
      </c>
      <c r="I359" s="13">
        <f>=IFERROR(INDEX(Lists!$C:$C,MATCH(J359,Lists!$D:$D,0)),"")</f>
      </c>
      <c r="J359" s="15">
        <f>=IFERROR(INDEX($J$16:J358,MATCH(C359,$C$16:C358,0)),"")</f>
      </c>
    </row>
    <row r="360" ht="18" customHeight="1" spans="1:10" x14ac:dyDescent="0.25">
      <c r="A360" s="8"/>
      <c r="B360" s="8"/>
      <c r="C360" s="8"/>
      <c r="D360" s="8"/>
      <c r="E360" s="9">
        <f>=IFERROR(VLOOKUP(D360,Lists!$A:$B,2,0),"")</f>
      </c>
      <c r="F360" s="10"/>
      <c r="G360" s="11">
        <f>=SUMIF($C$16:$C$501,C360,$F$16:$F$501)</f>
      </c>
      <c r="H360" s="12">
        <f>=F360/3600</f>
      </c>
      <c r="I360" s="13">
        <f>=IFERROR(INDEX(Lists!$C:$C,MATCH(J360,Lists!$D:$D,0)),"")</f>
      </c>
      <c r="J360" s="15">
        <f>=IFERROR(INDEX($J$16:J359,MATCH(C360,$C$16:C359,0)),"")</f>
      </c>
    </row>
    <row r="361" ht="18" customHeight="1" spans="1:10" x14ac:dyDescent="0.25">
      <c r="A361" s="8"/>
      <c r="B361" s="8"/>
      <c r="C361" s="8"/>
      <c r="D361" s="8"/>
      <c r="E361" s="9">
        <f>=IFERROR(VLOOKUP(D361,Lists!$A:$B,2,0),"")</f>
      </c>
      <c r="F361" s="10"/>
      <c r="G361" s="11">
        <f>=SUMIF($C$16:$C$501,C361,$F$16:$F$501)</f>
      </c>
      <c r="H361" s="12">
        <f>=F361/3600</f>
      </c>
      <c r="I361" s="13">
        <f>=IFERROR(INDEX(Lists!$C:$C,MATCH(J361,Lists!$D:$D,0)),"")</f>
      </c>
      <c r="J361" s="15">
        <f>=IFERROR(INDEX($J$16:J360,MATCH(C361,$C$16:C360,0)),"")</f>
      </c>
    </row>
    <row r="362" ht="18" customHeight="1" spans="1:10" x14ac:dyDescent="0.25">
      <c r="A362" s="8"/>
      <c r="B362" s="8"/>
      <c r="C362" s="8"/>
      <c r="D362" s="8"/>
      <c r="E362" s="9">
        <f>=IFERROR(VLOOKUP(D362,Lists!$A:$B,2,0),"")</f>
      </c>
      <c r="F362" s="10"/>
      <c r="G362" s="11">
        <f>=SUMIF($C$16:$C$501,C362,$F$16:$F$501)</f>
      </c>
      <c r="H362" s="12">
        <f>=F362/3600</f>
      </c>
      <c r="I362" s="13">
        <f>=IFERROR(INDEX(Lists!$C:$C,MATCH(J362,Lists!$D:$D,0)),"")</f>
      </c>
      <c r="J362" s="15">
        <f>=IFERROR(INDEX($J$16:J361,MATCH(C362,$C$16:C361,0)),"")</f>
      </c>
    </row>
    <row r="363" ht="18" customHeight="1" spans="1:10" x14ac:dyDescent="0.25">
      <c r="A363" s="8"/>
      <c r="B363" s="8"/>
      <c r="C363" s="8"/>
      <c r="D363" s="8"/>
      <c r="E363" s="9">
        <f>=IFERROR(VLOOKUP(D363,Lists!$A:$B,2,0),"")</f>
      </c>
      <c r="F363" s="10"/>
      <c r="G363" s="11">
        <f>=SUMIF($C$16:$C$501,C363,$F$16:$F$501)</f>
      </c>
      <c r="H363" s="12">
        <f>=F363/3600</f>
      </c>
      <c r="I363" s="13">
        <f>=IFERROR(INDEX(Lists!$C:$C,MATCH(J363,Lists!$D:$D,0)),"")</f>
      </c>
      <c r="J363" s="15">
        <f>=IFERROR(INDEX($J$16:J362,MATCH(C363,$C$16:C362,0)),"")</f>
      </c>
    </row>
    <row r="364" ht="18" customHeight="1" spans="1:10" x14ac:dyDescent="0.25">
      <c r="A364" s="8"/>
      <c r="B364" s="8"/>
      <c r="C364" s="8"/>
      <c r="D364" s="8"/>
      <c r="E364" s="9">
        <f>=IFERROR(VLOOKUP(D364,Lists!$A:$B,2,0),"")</f>
      </c>
      <c r="F364" s="10"/>
      <c r="G364" s="11">
        <f>=SUMIF($C$16:$C$501,C364,$F$16:$F$501)</f>
      </c>
      <c r="H364" s="12">
        <f>=F364/3600</f>
      </c>
      <c r="I364" s="13">
        <f>=IFERROR(INDEX(Lists!$C:$C,MATCH(J364,Lists!$D:$D,0)),"")</f>
      </c>
      <c r="J364" s="15">
        <f>=IFERROR(INDEX($J$16:J363,MATCH(C364,$C$16:C363,0)),"")</f>
      </c>
    </row>
    <row r="365" ht="18" customHeight="1" spans="1:10" x14ac:dyDescent="0.25">
      <c r="A365" s="8"/>
      <c r="B365" s="8"/>
      <c r="C365" s="8"/>
      <c r="D365" s="8"/>
      <c r="E365" s="9">
        <f>=IFERROR(VLOOKUP(D365,Lists!$A:$B,2,0),"")</f>
      </c>
      <c r="F365" s="10"/>
      <c r="G365" s="11">
        <f>=SUMIF($C$16:$C$501,C365,$F$16:$F$501)</f>
      </c>
      <c r="H365" s="12">
        <f>=F365/3600</f>
      </c>
      <c r="I365" s="13">
        <f>=IFERROR(INDEX(Lists!$C:$C,MATCH(J365,Lists!$D:$D,0)),"")</f>
      </c>
      <c r="J365" s="15">
        <f>=IFERROR(INDEX($J$16:J364,MATCH(C365,$C$16:C364,0)),"")</f>
      </c>
    </row>
    <row r="366" ht="18" customHeight="1" spans="1:10" x14ac:dyDescent="0.25">
      <c r="A366" s="8"/>
      <c r="B366" s="8"/>
      <c r="C366" s="8"/>
      <c r="D366" s="8"/>
      <c r="E366" s="9">
        <f>=IFERROR(VLOOKUP(D366,Lists!$A:$B,2,0),"")</f>
      </c>
      <c r="F366" s="10"/>
      <c r="G366" s="11">
        <f>=SUMIF($C$16:$C$501,C366,$F$16:$F$501)</f>
      </c>
      <c r="H366" s="12">
        <f>=F366/3600</f>
      </c>
      <c r="I366" s="13">
        <f>=IFERROR(INDEX(Lists!$C:$C,MATCH(J366,Lists!$D:$D,0)),"")</f>
      </c>
      <c r="J366" s="15">
        <f>=IFERROR(INDEX($J$16:J365,MATCH(C366,$C$16:C365,0)),"")</f>
      </c>
    </row>
    <row r="367" ht="18" customHeight="1" spans="1:10" x14ac:dyDescent="0.25">
      <c r="A367" s="8"/>
      <c r="B367" s="8"/>
      <c r="C367" s="8"/>
      <c r="D367" s="8"/>
      <c r="E367" s="9">
        <f>=IFERROR(VLOOKUP(D367,Lists!$A:$B,2,0),"")</f>
      </c>
      <c r="F367" s="10"/>
      <c r="G367" s="11">
        <f>=SUMIF($C$16:$C$501,C367,$F$16:$F$501)</f>
      </c>
      <c r="H367" s="12">
        <f>=F367/3600</f>
      </c>
      <c r="I367" s="13">
        <f>=IFERROR(INDEX(Lists!$C:$C,MATCH(J367,Lists!$D:$D,0)),"")</f>
      </c>
      <c r="J367" s="15">
        <f>=IFERROR(INDEX($J$16:J366,MATCH(C367,$C$16:C366,0)),"")</f>
      </c>
    </row>
    <row r="368" ht="18" customHeight="1" spans="1:10" x14ac:dyDescent="0.25">
      <c r="A368" s="8"/>
      <c r="B368" s="8"/>
      <c r="C368" s="8"/>
      <c r="D368" s="8"/>
      <c r="E368" s="9">
        <f>=IFERROR(VLOOKUP(D368,Lists!$A:$B,2,0),"")</f>
      </c>
      <c r="F368" s="10"/>
      <c r="G368" s="11">
        <f>=SUMIF($C$16:$C$501,C368,$F$16:$F$501)</f>
      </c>
      <c r="H368" s="12">
        <f>=F368/3600</f>
      </c>
      <c r="I368" s="13">
        <f>=IFERROR(INDEX(Lists!$C:$C,MATCH(J368,Lists!$D:$D,0)),"")</f>
      </c>
      <c r="J368" s="15">
        <f>=IFERROR(INDEX($J$16:J367,MATCH(C368,$C$16:C367,0)),"")</f>
      </c>
    </row>
    <row r="369" ht="18" customHeight="1" spans="1:10" x14ac:dyDescent="0.25">
      <c r="A369" s="8"/>
      <c r="B369" s="8"/>
      <c r="C369" s="8"/>
      <c r="D369" s="8"/>
      <c r="E369" s="9">
        <f>=IFERROR(VLOOKUP(D369,Lists!$A:$B,2,0),"")</f>
      </c>
      <c r="F369" s="10"/>
      <c r="G369" s="11">
        <f>=SUMIF($C$16:$C$501,C369,$F$16:$F$501)</f>
      </c>
      <c r="H369" s="12">
        <f>=F369/3600</f>
      </c>
      <c r="I369" s="13">
        <f>=IFERROR(INDEX(Lists!$C:$C,MATCH(J369,Lists!$D:$D,0)),"")</f>
      </c>
      <c r="J369" s="15">
        <f>=IFERROR(INDEX($J$16:J368,MATCH(C369,$C$16:C368,0)),"")</f>
      </c>
    </row>
    <row r="370" ht="18" customHeight="1" spans="1:10" x14ac:dyDescent="0.25">
      <c r="A370" s="8"/>
      <c r="B370" s="8"/>
      <c r="C370" s="8"/>
      <c r="D370" s="8"/>
      <c r="E370" s="9">
        <f>=IFERROR(VLOOKUP(D370,Lists!$A:$B,2,0),"")</f>
      </c>
      <c r="F370" s="10"/>
      <c r="G370" s="11">
        <f>=SUMIF($C$16:$C$501,C370,$F$16:$F$501)</f>
      </c>
      <c r="H370" s="12">
        <f>=F370/3600</f>
      </c>
      <c r="I370" s="13">
        <f>=IFERROR(INDEX(Lists!$C:$C,MATCH(J370,Lists!$D:$D,0)),"")</f>
      </c>
      <c r="J370" s="15">
        <f>=IFERROR(INDEX($J$16:J369,MATCH(C370,$C$16:C369,0)),"")</f>
      </c>
    </row>
    <row r="371" ht="18" customHeight="1" spans="1:10" x14ac:dyDescent="0.25">
      <c r="A371" s="8"/>
      <c r="B371" s="8"/>
      <c r="C371" s="8"/>
      <c r="D371" s="8"/>
      <c r="E371" s="9">
        <f>=IFERROR(VLOOKUP(D371,Lists!$A:$B,2,0),"")</f>
      </c>
      <c r="F371" s="10"/>
      <c r="G371" s="11">
        <f>=SUMIF($C$16:$C$501,C371,$F$16:$F$501)</f>
      </c>
      <c r="H371" s="12">
        <f>=F371/3600</f>
      </c>
      <c r="I371" s="13">
        <f>=IFERROR(INDEX(Lists!$C:$C,MATCH(J371,Lists!$D:$D,0)),"")</f>
      </c>
      <c r="J371" s="15">
        <f>=IFERROR(INDEX($J$16:J370,MATCH(C371,$C$16:C370,0)),"")</f>
      </c>
    </row>
    <row r="372" ht="18" customHeight="1" spans="1:10" x14ac:dyDescent="0.25">
      <c r="A372" s="8"/>
      <c r="B372" s="8"/>
      <c r="C372" s="8"/>
      <c r="D372" s="8"/>
      <c r="E372" s="9">
        <f>=IFERROR(VLOOKUP(D372,Lists!$A:$B,2,0),"")</f>
      </c>
      <c r="F372" s="10"/>
      <c r="G372" s="11">
        <f>=SUMIF($C$16:$C$501,C372,$F$16:$F$501)</f>
      </c>
      <c r="H372" s="12">
        <f>=F372/3600</f>
      </c>
      <c r="I372" s="13">
        <f>=IFERROR(INDEX(Lists!$C:$C,MATCH(J372,Lists!$D:$D,0)),"")</f>
      </c>
      <c r="J372" s="15">
        <f>=IFERROR(INDEX($J$16:J371,MATCH(C372,$C$16:C371,0)),"")</f>
      </c>
    </row>
    <row r="373" ht="18" customHeight="1" spans="1:10" x14ac:dyDescent="0.25">
      <c r="A373" s="8"/>
      <c r="B373" s="8"/>
      <c r="C373" s="8"/>
      <c r="D373" s="8"/>
      <c r="E373" s="9">
        <f>=IFERROR(VLOOKUP(D373,Lists!$A:$B,2,0),"")</f>
      </c>
      <c r="F373" s="10"/>
      <c r="G373" s="11">
        <f>=SUMIF($C$16:$C$501,C373,$F$16:$F$501)</f>
      </c>
      <c r="H373" s="12">
        <f>=F373/3600</f>
      </c>
      <c r="I373" s="13">
        <f>=IFERROR(INDEX(Lists!$C:$C,MATCH(J373,Lists!$D:$D,0)),"")</f>
      </c>
      <c r="J373" s="15">
        <f>=IFERROR(INDEX($J$16:J372,MATCH(C373,$C$16:C372,0)),"")</f>
      </c>
    </row>
    <row r="374" ht="18" customHeight="1" spans="1:10" x14ac:dyDescent="0.25">
      <c r="A374" s="8"/>
      <c r="B374" s="8"/>
      <c r="C374" s="8"/>
      <c r="D374" s="8"/>
      <c r="E374" s="9">
        <f>=IFERROR(VLOOKUP(D374,Lists!$A:$B,2,0),"")</f>
      </c>
      <c r="F374" s="10"/>
      <c r="G374" s="11">
        <f>=SUMIF($C$16:$C$501,C374,$F$16:$F$501)</f>
      </c>
      <c r="H374" s="12">
        <f>=F374/3600</f>
      </c>
      <c r="I374" s="13">
        <f>=IFERROR(INDEX(Lists!$C:$C,MATCH(J374,Lists!$D:$D,0)),"")</f>
      </c>
      <c r="J374" s="15">
        <f>=IFERROR(INDEX($J$16:J373,MATCH(C374,$C$16:C373,0)),"")</f>
      </c>
    </row>
    <row r="375" ht="18" customHeight="1" spans="1:10" x14ac:dyDescent="0.25">
      <c r="A375" s="8"/>
      <c r="B375" s="8"/>
      <c r="C375" s="8"/>
      <c r="D375" s="8"/>
      <c r="E375" s="9">
        <f>=IFERROR(VLOOKUP(D375,Lists!$A:$B,2,0),"")</f>
      </c>
      <c r="F375" s="10"/>
      <c r="G375" s="11">
        <f>=SUMIF($C$16:$C$501,C375,$F$16:$F$501)</f>
      </c>
      <c r="H375" s="12">
        <f>=F375/3600</f>
      </c>
      <c r="I375" s="13">
        <f>=IFERROR(INDEX(Lists!$C:$C,MATCH(J375,Lists!$D:$D,0)),"")</f>
      </c>
      <c r="J375" s="15">
        <f>=IFERROR(INDEX($J$16:J374,MATCH(C375,$C$16:C374,0)),"")</f>
      </c>
    </row>
    <row r="376" ht="18" customHeight="1" spans="1:10" x14ac:dyDescent="0.25">
      <c r="A376" s="8"/>
      <c r="B376" s="8"/>
      <c r="C376" s="8"/>
      <c r="D376" s="8"/>
      <c r="E376" s="9">
        <f>=IFERROR(VLOOKUP(D376,Lists!$A:$B,2,0),"")</f>
      </c>
      <c r="F376" s="10"/>
      <c r="G376" s="11">
        <f>=SUMIF($C$16:$C$501,C376,$F$16:$F$501)</f>
      </c>
      <c r="H376" s="12">
        <f>=F376/3600</f>
      </c>
      <c r="I376" s="13">
        <f>=IFERROR(INDEX(Lists!$C:$C,MATCH(J376,Lists!$D:$D,0)),"")</f>
      </c>
      <c r="J376" s="15">
        <f>=IFERROR(INDEX($J$16:J375,MATCH(C376,$C$16:C375,0)),"")</f>
      </c>
    </row>
    <row r="377" ht="18" customHeight="1" spans="1:10" x14ac:dyDescent="0.25">
      <c r="A377" s="8"/>
      <c r="B377" s="8"/>
      <c r="C377" s="8"/>
      <c r="D377" s="8"/>
      <c r="E377" s="9">
        <f>=IFERROR(VLOOKUP(D377,Lists!$A:$B,2,0),"")</f>
      </c>
      <c r="F377" s="10"/>
      <c r="G377" s="11">
        <f>=SUMIF($C$16:$C$501,C377,$F$16:$F$501)</f>
      </c>
      <c r="H377" s="12">
        <f>=F377/3600</f>
      </c>
      <c r="I377" s="13">
        <f>=IFERROR(INDEX(Lists!$C:$C,MATCH(J377,Lists!$D:$D,0)),"")</f>
      </c>
      <c r="J377" s="15">
        <f>=IFERROR(INDEX($J$16:J376,MATCH(C377,$C$16:C376,0)),"")</f>
      </c>
    </row>
    <row r="378" ht="18" customHeight="1" spans="1:10" x14ac:dyDescent="0.25">
      <c r="A378" s="8"/>
      <c r="B378" s="8"/>
      <c r="C378" s="8"/>
      <c r="D378" s="8"/>
      <c r="E378" s="9">
        <f>=IFERROR(VLOOKUP(D378,Lists!$A:$B,2,0),"")</f>
      </c>
      <c r="F378" s="10"/>
      <c r="G378" s="11">
        <f>=SUMIF($C$16:$C$501,C378,$F$16:$F$501)</f>
      </c>
      <c r="H378" s="12">
        <f>=F378/3600</f>
      </c>
      <c r="I378" s="13">
        <f>=IFERROR(INDEX(Lists!$C:$C,MATCH(J378,Lists!$D:$D,0)),"")</f>
      </c>
      <c r="J378" s="15">
        <f>=IFERROR(INDEX($J$16:J377,MATCH(C378,$C$16:C377,0)),"")</f>
      </c>
    </row>
    <row r="379" ht="18" customHeight="1" spans="1:10" x14ac:dyDescent="0.25">
      <c r="A379" s="8"/>
      <c r="B379" s="8"/>
      <c r="C379" s="8"/>
      <c r="D379" s="8"/>
      <c r="E379" s="9">
        <f>=IFERROR(VLOOKUP(D379,Lists!$A:$B,2,0),"")</f>
      </c>
      <c r="F379" s="10"/>
      <c r="G379" s="11">
        <f>=SUMIF($C$16:$C$501,C379,$F$16:$F$501)</f>
      </c>
      <c r="H379" s="12">
        <f>=F379/3600</f>
      </c>
      <c r="I379" s="13">
        <f>=IFERROR(INDEX(Lists!$C:$C,MATCH(J379,Lists!$D:$D,0)),"")</f>
      </c>
      <c r="J379" s="15">
        <f>=IFERROR(INDEX($J$16:J378,MATCH(C379,$C$16:C378,0)),"")</f>
      </c>
    </row>
    <row r="380" ht="18" customHeight="1" spans="1:10" x14ac:dyDescent="0.25">
      <c r="A380" s="8"/>
      <c r="B380" s="8"/>
      <c r="C380" s="8"/>
      <c r="D380" s="8"/>
      <c r="E380" s="9">
        <f>=IFERROR(VLOOKUP(D380,Lists!$A:$B,2,0),"")</f>
      </c>
      <c r="F380" s="10"/>
      <c r="G380" s="11">
        <f>=SUMIF($C$16:$C$501,C380,$F$16:$F$501)</f>
      </c>
      <c r="H380" s="12">
        <f>=F380/3600</f>
      </c>
      <c r="I380" s="13">
        <f>=IFERROR(INDEX(Lists!$C:$C,MATCH(J380,Lists!$D:$D,0)),"")</f>
      </c>
      <c r="J380" s="15">
        <f>=IFERROR(INDEX($J$16:J379,MATCH(C380,$C$16:C379,0)),"")</f>
      </c>
    </row>
    <row r="381" ht="18" customHeight="1" spans="1:10" x14ac:dyDescent="0.25">
      <c r="A381" s="8"/>
      <c r="B381" s="8"/>
      <c r="C381" s="8"/>
      <c r="D381" s="8"/>
      <c r="E381" s="9">
        <f>=IFERROR(VLOOKUP(D381,Lists!$A:$B,2,0),"")</f>
      </c>
      <c r="F381" s="10"/>
      <c r="G381" s="11">
        <f>=SUMIF($C$16:$C$501,C381,$F$16:$F$501)</f>
      </c>
      <c r="H381" s="12">
        <f>=F381/3600</f>
      </c>
      <c r="I381" s="13">
        <f>=IFERROR(INDEX(Lists!$C:$C,MATCH(J381,Lists!$D:$D,0)),"")</f>
      </c>
      <c r="J381" s="15">
        <f>=IFERROR(INDEX($J$16:J380,MATCH(C381,$C$16:C380,0)),"")</f>
      </c>
    </row>
    <row r="382" ht="18" customHeight="1" spans="1:10" x14ac:dyDescent="0.25">
      <c r="A382" s="8"/>
      <c r="B382" s="8"/>
      <c r="C382" s="8"/>
      <c r="D382" s="8"/>
      <c r="E382" s="9">
        <f>=IFERROR(VLOOKUP(D382,Lists!$A:$B,2,0),"")</f>
      </c>
      <c r="F382" s="10"/>
      <c r="G382" s="11">
        <f>=SUMIF($C$16:$C$501,C382,$F$16:$F$501)</f>
      </c>
      <c r="H382" s="12">
        <f>=F382/3600</f>
      </c>
      <c r="I382" s="13">
        <f>=IFERROR(INDEX(Lists!$C:$C,MATCH(J382,Lists!$D:$D,0)),"")</f>
      </c>
      <c r="J382" s="15">
        <f>=IFERROR(INDEX($J$16:J381,MATCH(C382,$C$16:C381,0)),"")</f>
      </c>
    </row>
    <row r="383" ht="18" customHeight="1" spans="1:10" x14ac:dyDescent="0.25">
      <c r="A383" s="8"/>
      <c r="B383" s="8"/>
      <c r="C383" s="8"/>
      <c r="D383" s="8"/>
      <c r="E383" s="9">
        <f>=IFERROR(VLOOKUP(D383,Lists!$A:$B,2,0),"")</f>
      </c>
      <c r="F383" s="10"/>
      <c r="G383" s="11">
        <f>=SUMIF($C$16:$C$501,C383,$F$16:$F$501)</f>
      </c>
      <c r="H383" s="12">
        <f>=F383/3600</f>
      </c>
      <c r="I383" s="13">
        <f>=IFERROR(INDEX(Lists!$C:$C,MATCH(J383,Lists!$D:$D,0)),"")</f>
      </c>
      <c r="J383" s="15">
        <f>=IFERROR(INDEX($J$16:J382,MATCH(C383,$C$16:C382,0)),"")</f>
      </c>
    </row>
    <row r="384" ht="18" customHeight="1" spans="1:10" x14ac:dyDescent="0.25">
      <c r="A384" s="8"/>
      <c r="B384" s="8"/>
      <c r="C384" s="8"/>
      <c r="D384" s="8"/>
      <c r="E384" s="9">
        <f>=IFERROR(VLOOKUP(D384,Lists!$A:$B,2,0),"")</f>
      </c>
      <c r="F384" s="10"/>
      <c r="G384" s="11">
        <f>=SUMIF($C$16:$C$501,C384,$F$16:$F$501)</f>
      </c>
      <c r="H384" s="12">
        <f>=F384/3600</f>
      </c>
      <c r="I384" s="13">
        <f>=IFERROR(INDEX(Lists!$C:$C,MATCH(J384,Lists!$D:$D,0)),"")</f>
      </c>
      <c r="J384" s="15">
        <f>=IFERROR(INDEX($J$16:J383,MATCH(C384,$C$16:C383,0)),"")</f>
      </c>
    </row>
    <row r="385" ht="18" customHeight="1" spans="1:10" x14ac:dyDescent="0.25">
      <c r="A385" s="8"/>
      <c r="B385" s="8"/>
      <c r="C385" s="8"/>
      <c r="D385" s="8"/>
      <c r="E385" s="9">
        <f>=IFERROR(VLOOKUP(D385,Lists!$A:$B,2,0),"")</f>
      </c>
      <c r="F385" s="10"/>
      <c r="G385" s="11">
        <f>=SUMIF($C$16:$C$501,C385,$F$16:$F$501)</f>
      </c>
      <c r="H385" s="12">
        <f>=F385/3600</f>
      </c>
      <c r="I385" s="13">
        <f>=IFERROR(INDEX(Lists!$C:$C,MATCH(J385,Lists!$D:$D,0)),"")</f>
      </c>
      <c r="J385" s="15">
        <f>=IFERROR(INDEX($J$16:J384,MATCH(C385,$C$16:C384,0)),"")</f>
      </c>
    </row>
    <row r="386" ht="18" customHeight="1" spans="1:10" x14ac:dyDescent="0.25">
      <c r="A386" s="8"/>
      <c r="B386" s="8"/>
      <c r="C386" s="8"/>
      <c r="D386" s="8"/>
      <c r="E386" s="9">
        <f>=IFERROR(VLOOKUP(D386,Lists!$A:$B,2,0),"")</f>
      </c>
      <c r="F386" s="10"/>
      <c r="G386" s="11">
        <f>=SUMIF($C$16:$C$501,C386,$F$16:$F$501)</f>
      </c>
      <c r="H386" s="12">
        <f>=F386/3600</f>
      </c>
      <c r="I386" s="13">
        <f>=IFERROR(INDEX(Lists!$C:$C,MATCH(J386,Lists!$D:$D,0)),"")</f>
      </c>
      <c r="J386" s="15">
        <f>=IFERROR(INDEX($J$16:J385,MATCH(C386,$C$16:C385,0)),"")</f>
      </c>
    </row>
    <row r="387" ht="18" customHeight="1" spans="1:10" x14ac:dyDescent="0.25">
      <c r="A387" s="8"/>
      <c r="B387" s="8"/>
      <c r="C387" s="8"/>
      <c r="D387" s="8"/>
      <c r="E387" s="9">
        <f>=IFERROR(VLOOKUP(D387,Lists!$A:$B,2,0),"")</f>
      </c>
      <c r="F387" s="10"/>
      <c r="G387" s="11">
        <f>=SUMIF($C$16:$C$501,C387,$F$16:$F$501)</f>
      </c>
      <c r="H387" s="12">
        <f>=F387/3600</f>
      </c>
      <c r="I387" s="13">
        <f>=IFERROR(INDEX(Lists!$C:$C,MATCH(J387,Lists!$D:$D,0)),"")</f>
      </c>
      <c r="J387" s="15">
        <f>=IFERROR(INDEX($J$16:J386,MATCH(C387,$C$16:C386,0)),"")</f>
      </c>
    </row>
    <row r="388" ht="18" customHeight="1" spans="1:10" x14ac:dyDescent="0.25">
      <c r="A388" s="8"/>
      <c r="B388" s="8"/>
      <c r="C388" s="8"/>
      <c r="D388" s="8"/>
      <c r="E388" s="9">
        <f>=IFERROR(VLOOKUP(D388,Lists!$A:$B,2,0),"")</f>
      </c>
      <c r="F388" s="10"/>
      <c r="G388" s="11">
        <f>=SUMIF($C$16:$C$501,C388,$F$16:$F$501)</f>
      </c>
      <c r="H388" s="12">
        <f>=F388/3600</f>
      </c>
      <c r="I388" s="13">
        <f>=IFERROR(INDEX(Lists!$C:$C,MATCH(J388,Lists!$D:$D,0)),"")</f>
      </c>
      <c r="J388" s="15">
        <f>=IFERROR(INDEX($J$16:J387,MATCH(C388,$C$16:C387,0)),"")</f>
      </c>
    </row>
    <row r="389" ht="18" customHeight="1" spans="1:10" x14ac:dyDescent="0.25">
      <c r="A389" s="8"/>
      <c r="B389" s="8"/>
      <c r="C389" s="8"/>
      <c r="D389" s="8"/>
      <c r="E389" s="9">
        <f>=IFERROR(VLOOKUP(D389,Lists!$A:$B,2,0),"")</f>
      </c>
      <c r="F389" s="10"/>
      <c r="G389" s="11">
        <f>=SUMIF($C$16:$C$501,C389,$F$16:$F$501)</f>
      </c>
      <c r="H389" s="12">
        <f>=F389/3600</f>
      </c>
      <c r="I389" s="13">
        <f>=IFERROR(INDEX(Lists!$C:$C,MATCH(J389,Lists!$D:$D,0)),"")</f>
      </c>
      <c r="J389" s="15">
        <f>=IFERROR(INDEX($J$16:J388,MATCH(C389,$C$16:C388,0)),"")</f>
      </c>
    </row>
    <row r="390" ht="18" customHeight="1" spans="1:10" x14ac:dyDescent="0.25">
      <c r="A390" s="8"/>
      <c r="B390" s="8"/>
      <c r="C390" s="8"/>
      <c r="D390" s="8"/>
      <c r="E390" s="9">
        <f>=IFERROR(VLOOKUP(D390,Lists!$A:$B,2,0),"")</f>
      </c>
      <c r="F390" s="10"/>
      <c r="G390" s="11">
        <f>=SUMIF($C$16:$C$501,C390,$F$16:$F$501)</f>
      </c>
      <c r="H390" s="12">
        <f>=F390/3600</f>
      </c>
      <c r="I390" s="13">
        <f>=IFERROR(INDEX(Lists!$C:$C,MATCH(J390,Lists!$D:$D,0)),"")</f>
      </c>
      <c r="J390" s="15">
        <f>=IFERROR(INDEX($J$16:J389,MATCH(C390,$C$16:C389,0)),"")</f>
      </c>
    </row>
    <row r="391" ht="18" customHeight="1" spans="1:10" x14ac:dyDescent="0.25">
      <c r="A391" s="8"/>
      <c r="B391" s="8"/>
      <c r="C391" s="8"/>
      <c r="D391" s="8"/>
      <c r="E391" s="9">
        <f>=IFERROR(VLOOKUP(D391,Lists!$A:$B,2,0),"")</f>
      </c>
      <c r="F391" s="10"/>
      <c r="G391" s="11">
        <f>=SUMIF($C$16:$C$501,C391,$F$16:$F$501)</f>
      </c>
      <c r="H391" s="12">
        <f>=F391/3600</f>
      </c>
      <c r="I391" s="13">
        <f>=IFERROR(INDEX(Lists!$C:$C,MATCH(J391,Lists!$D:$D,0)),"")</f>
      </c>
      <c r="J391" s="15">
        <f>=IFERROR(INDEX($J$16:J390,MATCH(C391,$C$16:C390,0)),"")</f>
      </c>
    </row>
    <row r="392" ht="18" customHeight="1" spans="1:10" x14ac:dyDescent="0.25">
      <c r="A392" s="8"/>
      <c r="B392" s="8"/>
      <c r="C392" s="8"/>
      <c r="D392" s="8"/>
      <c r="E392" s="9">
        <f>=IFERROR(VLOOKUP(D392,Lists!$A:$B,2,0),"")</f>
      </c>
      <c r="F392" s="10"/>
      <c r="G392" s="11">
        <f>=SUMIF($C$16:$C$501,C392,$F$16:$F$501)</f>
      </c>
      <c r="H392" s="12">
        <f>=F392/3600</f>
      </c>
      <c r="I392" s="13">
        <f>=IFERROR(INDEX(Lists!$C:$C,MATCH(J392,Lists!$D:$D,0)),"")</f>
      </c>
      <c r="J392" s="15">
        <f>=IFERROR(INDEX($J$16:J391,MATCH(C392,$C$16:C391,0)),"")</f>
      </c>
    </row>
    <row r="393" ht="18" customHeight="1" spans="1:10" x14ac:dyDescent="0.25">
      <c r="A393" s="8"/>
      <c r="B393" s="8"/>
      <c r="C393" s="8"/>
      <c r="D393" s="8"/>
      <c r="E393" s="9">
        <f>=IFERROR(VLOOKUP(D393,Lists!$A:$B,2,0),"")</f>
      </c>
      <c r="F393" s="10"/>
      <c r="G393" s="11">
        <f>=SUMIF($C$16:$C$501,C393,$F$16:$F$501)</f>
      </c>
      <c r="H393" s="12">
        <f>=F393/3600</f>
      </c>
      <c r="I393" s="13">
        <f>=IFERROR(INDEX(Lists!$C:$C,MATCH(J393,Lists!$D:$D,0)),"")</f>
      </c>
      <c r="J393" s="15">
        <f>=IFERROR(INDEX($J$16:J392,MATCH(C393,$C$16:C392,0)),"")</f>
      </c>
    </row>
    <row r="394" ht="18" customHeight="1" spans="1:10" x14ac:dyDescent="0.25">
      <c r="A394" s="8"/>
      <c r="B394" s="8"/>
      <c r="C394" s="8"/>
      <c r="D394" s="8"/>
      <c r="E394" s="9">
        <f>=IFERROR(VLOOKUP(D394,Lists!$A:$B,2,0),"")</f>
      </c>
      <c r="F394" s="10"/>
      <c r="G394" s="11">
        <f>=SUMIF($C$16:$C$501,C394,$F$16:$F$501)</f>
      </c>
      <c r="H394" s="12">
        <f>=F394/3600</f>
      </c>
      <c r="I394" s="13">
        <f>=IFERROR(INDEX(Lists!$C:$C,MATCH(J394,Lists!$D:$D,0)),"")</f>
      </c>
      <c r="J394" s="15">
        <f>=IFERROR(INDEX($J$16:J393,MATCH(C394,$C$16:C393,0)),"")</f>
      </c>
    </row>
    <row r="395" ht="18" customHeight="1" spans="1:10" x14ac:dyDescent="0.25">
      <c r="A395" s="8"/>
      <c r="B395" s="8"/>
      <c r="C395" s="8"/>
      <c r="D395" s="8"/>
      <c r="E395" s="9">
        <f>=IFERROR(VLOOKUP(D395,Lists!$A:$B,2,0),"")</f>
      </c>
      <c r="F395" s="10"/>
      <c r="G395" s="11">
        <f>=SUMIF($C$16:$C$501,C395,$F$16:$F$501)</f>
      </c>
      <c r="H395" s="12">
        <f>=F395/3600</f>
      </c>
      <c r="I395" s="13">
        <f>=IFERROR(INDEX(Lists!$C:$C,MATCH(J395,Lists!$D:$D,0)),"")</f>
      </c>
      <c r="J395" s="15">
        <f>=IFERROR(INDEX($J$16:J394,MATCH(C395,$C$16:C394,0)),"")</f>
      </c>
    </row>
    <row r="396" ht="18" customHeight="1" spans="1:10" x14ac:dyDescent="0.25">
      <c r="A396" s="8"/>
      <c r="B396" s="8"/>
      <c r="C396" s="8"/>
      <c r="D396" s="8"/>
      <c r="E396" s="9">
        <f>=IFERROR(VLOOKUP(D396,Lists!$A:$B,2,0),"")</f>
      </c>
      <c r="F396" s="10"/>
      <c r="G396" s="11">
        <f>=SUMIF($C$16:$C$501,C396,$F$16:$F$501)</f>
      </c>
      <c r="H396" s="12">
        <f>=F396/3600</f>
      </c>
      <c r="I396" s="13">
        <f>=IFERROR(INDEX(Lists!$C:$C,MATCH(J396,Lists!$D:$D,0)),"")</f>
      </c>
      <c r="J396" s="15">
        <f>=IFERROR(INDEX($J$16:J395,MATCH(C396,$C$16:C395,0)),"")</f>
      </c>
    </row>
    <row r="397" ht="18" customHeight="1" spans="1:10" x14ac:dyDescent="0.25">
      <c r="A397" s="8"/>
      <c r="B397" s="8"/>
      <c r="C397" s="8"/>
      <c r="D397" s="8"/>
      <c r="E397" s="9">
        <f>=IFERROR(VLOOKUP(D397,Lists!$A:$B,2,0),"")</f>
      </c>
      <c r="F397" s="10"/>
      <c r="G397" s="11">
        <f>=SUMIF($C$16:$C$501,C397,$F$16:$F$501)</f>
      </c>
      <c r="H397" s="12">
        <f>=F397/3600</f>
      </c>
      <c r="I397" s="13">
        <f>=IFERROR(INDEX(Lists!$C:$C,MATCH(J397,Lists!$D:$D,0)),"")</f>
      </c>
      <c r="J397" s="15">
        <f>=IFERROR(INDEX($J$16:J396,MATCH(C397,$C$16:C396,0)),"")</f>
      </c>
    </row>
    <row r="398" ht="18" customHeight="1" spans="1:10" x14ac:dyDescent="0.25">
      <c r="A398" s="8"/>
      <c r="B398" s="8"/>
      <c r="C398" s="8"/>
      <c r="D398" s="8"/>
      <c r="E398" s="9">
        <f>=IFERROR(VLOOKUP(D398,Lists!$A:$B,2,0),"")</f>
      </c>
      <c r="F398" s="10"/>
      <c r="G398" s="11">
        <f>=SUMIF($C$16:$C$501,C398,$F$16:$F$501)</f>
      </c>
      <c r="H398" s="12">
        <f>=F398/3600</f>
      </c>
      <c r="I398" s="13">
        <f>=IFERROR(INDEX(Lists!$C:$C,MATCH(J398,Lists!$D:$D,0)),"")</f>
      </c>
      <c r="J398" s="15">
        <f>=IFERROR(INDEX($J$16:J397,MATCH(C398,$C$16:C397,0)),"")</f>
      </c>
    </row>
    <row r="399" ht="18" customHeight="1" spans="1:10" x14ac:dyDescent="0.25">
      <c r="A399" s="8"/>
      <c r="B399" s="8"/>
      <c r="C399" s="8"/>
      <c r="D399" s="8"/>
      <c r="E399" s="9">
        <f>=IFERROR(VLOOKUP(D399,Lists!$A:$B,2,0),"")</f>
      </c>
      <c r="F399" s="10"/>
      <c r="G399" s="11">
        <f>=SUMIF($C$16:$C$501,C399,$F$16:$F$501)</f>
      </c>
      <c r="H399" s="12">
        <f>=F399/3600</f>
      </c>
      <c r="I399" s="13">
        <f>=IFERROR(INDEX(Lists!$C:$C,MATCH(J399,Lists!$D:$D,0)),"")</f>
      </c>
      <c r="J399" s="15">
        <f>=IFERROR(INDEX($J$16:J398,MATCH(C399,$C$16:C398,0)),"")</f>
      </c>
    </row>
    <row r="400" ht="18" customHeight="1" spans="1:10" x14ac:dyDescent="0.25">
      <c r="A400" s="8"/>
      <c r="B400" s="8"/>
      <c r="C400" s="8"/>
      <c r="D400" s="8"/>
      <c r="E400" s="9">
        <f>=IFERROR(VLOOKUP(D400,Lists!$A:$B,2,0),"")</f>
      </c>
      <c r="F400" s="10"/>
      <c r="G400" s="11">
        <f>=SUMIF($C$16:$C$501,C400,$F$16:$F$501)</f>
      </c>
      <c r="H400" s="12">
        <f>=F400/3600</f>
      </c>
      <c r="I400" s="13">
        <f>=IFERROR(INDEX(Lists!$C:$C,MATCH(J400,Lists!$D:$D,0)),"")</f>
      </c>
      <c r="J400" s="15">
        <f>=IFERROR(INDEX($J$16:J399,MATCH(C400,$C$16:C399,0)),"")</f>
      </c>
    </row>
    <row r="401" ht="18" customHeight="1" spans="1:10" x14ac:dyDescent="0.25">
      <c r="A401" s="8"/>
      <c r="B401" s="8"/>
      <c r="C401" s="8"/>
      <c r="D401" s="8"/>
      <c r="E401" s="9">
        <f>=IFERROR(VLOOKUP(D401,Lists!$A:$B,2,0),"")</f>
      </c>
      <c r="F401" s="10"/>
      <c r="G401" s="11">
        <f>=SUMIF($C$16:$C$501,C401,$F$16:$F$501)</f>
      </c>
      <c r="H401" s="12">
        <f>=F401/3600</f>
      </c>
      <c r="I401" s="13">
        <f>=IFERROR(INDEX(Lists!$C:$C,MATCH(J401,Lists!$D:$D,0)),"")</f>
      </c>
      <c r="J401" s="15">
        <f>=IFERROR(INDEX($J$16:J400,MATCH(C401,$C$16:C400,0)),"")</f>
      </c>
    </row>
    <row r="402" ht="18" customHeight="1" spans="1:10" x14ac:dyDescent="0.25">
      <c r="A402" s="8"/>
      <c r="B402" s="8"/>
      <c r="C402" s="8"/>
      <c r="D402" s="8"/>
      <c r="E402" s="9">
        <f>=IFERROR(VLOOKUP(D402,Lists!$A:$B,2,0),"")</f>
      </c>
      <c r="F402" s="10"/>
      <c r="G402" s="11">
        <f>=SUMIF($C$16:$C$501,C402,$F$16:$F$501)</f>
      </c>
      <c r="H402" s="12">
        <f>=F402/3600</f>
      </c>
      <c r="I402" s="13">
        <f>=IFERROR(INDEX(Lists!$C:$C,MATCH(J402,Lists!$D:$D,0)),"")</f>
      </c>
      <c r="J402" s="15">
        <f>=IFERROR(INDEX($J$16:J401,MATCH(C402,$C$16:C401,0)),"")</f>
      </c>
    </row>
    <row r="403" ht="18" customHeight="1" spans="1:10" x14ac:dyDescent="0.25">
      <c r="A403" s="8"/>
      <c r="B403" s="8"/>
      <c r="C403" s="8"/>
      <c r="D403" s="8"/>
      <c r="E403" s="9">
        <f>=IFERROR(VLOOKUP(D403,Lists!$A:$B,2,0),"")</f>
      </c>
      <c r="F403" s="10"/>
      <c r="G403" s="11">
        <f>=SUMIF($C$16:$C$501,C403,$F$16:$F$501)</f>
      </c>
      <c r="H403" s="12">
        <f>=F403/3600</f>
      </c>
      <c r="I403" s="13">
        <f>=IFERROR(INDEX(Lists!$C:$C,MATCH(J403,Lists!$D:$D,0)),"")</f>
      </c>
      <c r="J403" s="15">
        <f>=IFERROR(INDEX($J$16:J402,MATCH(C403,$C$16:C402,0)),"")</f>
      </c>
    </row>
    <row r="404" ht="18" customHeight="1" spans="1:10" x14ac:dyDescent="0.25">
      <c r="A404" s="8"/>
      <c r="B404" s="8"/>
      <c r="C404" s="8"/>
      <c r="D404" s="8"/>
      <c r="E404" s="9">
        <f>=IFERROR(VLOOKUP(D404,Lists!$A:$B,2,0),"")</f>
      </c>
      <c r="F404" s="10"/>
      <c r="G404" s="11">
        <f>=SUMIF($C$16:$C$501,C404,$F$16:$F$501)</f>
      </c>
      <c r="H404" s="12">
        <f>=F404/3600</f>
      </c>
      <c r="I404" s="13">
        <f>=IFERROR(INDEX(Lists!$C:$C,MATCH(J404,Lists!$D:$D,0)),"")</f>
      </c>
      <c r="J404" s="15">
        <f>=IFERROR(INDEX($J$16:J403,MATCH(C404,$C$16:C403,0)),"")</f>
      </c>
    </row>
    <row r="405" ht="18" customHeight="1" spans="1:10" x14ac:dyDescent="0.25">
      <c r="A405" s="8"/>
      <c r="B405" s="8"/>
      <c r="C405" s="8"/>
      <c r="D405" s="8"/>
      <c r="E405" s="9">
        <f>=IFERROR(VLOOKUP(D405,Lists!$A:$B,2,0),"")</f>
      </c>
      <c r="F405" s="10"/>
      <c r="G405" s="11">
        <f>=SUMIF($C$16:$C$501,C405,$F$16:$F$501)</f>
      </c>
      <c r="H405" s="12">
        <f>=F405/3600</f>
      </c>
      <c r="I405" s="13">
        <f>=IFERROR(INDEX(Lists!$C:$C,MATCH(J405,Lists!$D:$D,0)),"")</f>
      </c>
      <c r="J405" s="15">
        <f>=IFERROR(INDEX($J$16:J404,MATCH(C405,$C$16:C404,0)),"")</f>
      </c>
    </row>
    <row r="406" ht="18" customHeight="1" spans="1:10" x14ac:dyDescent="0.25">
      <c r="A406" s="8"/>
      <c r="B406" s="8"/>
      <c r="C406" s="8"/>
      <c r="D406" s="8"/>
      <c r="E406" s="9">
        <f>=IFERROR(VLOOKUP(D406,Lists!$A:$B,2,0),"")</f>
      </c>
      <c r="F406" s="10"/>
      <c r="G406" s="11">
        <f>=SUMIF($C$16:$C$501,C406,$F$16:$F$501)</f>
      </c>
      <c r="H406" s="12">
        <f>=F406/3600</f>
      </c>
      <c r="I406" s="13">
        <f>=IFERROR(INDEX(Lists!$C:$C,MATCH(J406,Lists!$D:$D,0)),"")</f>
      </c>
      <c r="J406" s="15">
        <f>=IFERROR(INDEX($J$16:J405,MATCH(C406,$C$16:C405,0)),"")</f>
      </c>
    </row>
    <row r="407" ht="18" customHeight="1" spans="1:10" x14ac:dyDescent="0.25">
      <c r="A407" s="8"/>
      <c r="B407" s="8"/>
      <c r="C407" s="8"/>
      <c r="D407" s="8"/>
      <c r="E407" s="9">
        <f>=IFERROR(VLOOKUP(D407,Lists!$A:$B,2,0),"")</f>
      </c>
      <c r="F407" s="10"/>
      <c r="G407" s="11">
        <f>=SUMIF($C$16:$C$501,C407,$F$16:$F$501)</f>
      </c>
      <c r="H407" s="12">
        <f>=F407/3600</f>
      </c>
      <c r="I407" s="13">
        <f>=IFERROR(INDEX(Lists!$C:$C,MATCH(J407,Lists!$D:$D,0)),"")</f>
      </c>
      <c r="J407" s="15">
        <f>=IFERROR(INDEX($J$16:J406,MATCH(C407,$C$16:C406,0)),"")</f>
      </c>
    </row>
    <row r="408" ht="18" customHeight="1" spans="1:10" x14ac:dyDescent="0.25">
      <c r="A408" s="8"/>
      <c r="B408" s="8"/>
      <c r="C408" s="8"/>
      <c r="D408" s="8"/>
      <c r="E408" s="9">
        <f>=IFERROR(VLOOKUP(D408,Lists!$A:$B,2,0),"")</f>
      </c>
      <c r="F408" s="10"/>
      <c r="G408" s="11">
        <f>=SUMIF($C$16:$C$501,C408,$F$16:$F$501)</f>
      </c>
      <c r="H408" s="12">
        <f>=F408/3600</f>
      </c>
      <c r="I408" s="13">
        <f>=IFERROR(INDEX(Lists!$C:$C,MATCH(J408,Lists!$D:$D,0)),"")</f>
      </c>
      <c r="J408" s="15">
        <f>=IFERROR(INDEX($J$16:J407,MATCH(C408,$C$16:C407,0)),"")</f>
      </c>
    </row>
    <row r="409" ht="18" customHeight="1" spans="1:10" x14ac:dyDescent="0.25">
      <c r="A409" s="8"/>
      <c r="B409" s="8"/>
      <c r="C409" s="8"/>
      <c r="D409" s="8"/>
      <c r="E409" s="9">
        <f>=IFERROR(VLOOKUP(D409,Lists!$A:$B,2,0),"")</f>
      </c>
      <c r="F409" s="10"/>
      <c r="G409" s="11">
        <f>=SUMIF($C$16:$C$501,C409,$F$16:$F$501)</f>
      </c>
      <c r="H409" s="12">
        <f>=F409/3600</f>
      </c>
      <c r="I409" s="13">
        <f>=IFERROR(INDEX(Lists!$C:$C,MATCH(J409,Lists!$D:$D,0)),"")</f>
      </c>
      <c r="J409" s="15">
        <f>=IFERROR(INDEX($J$16:J408,MATCH(C409,$C$16:C408,0)),"")</f>
      </c>
    </row>
    <row r="410" ht="18" customHeight="1" spans="1:10" x14ac:dyDescent="0.25">
      <c r="A410" s="8"/>
      <c r="B410" s="8"/>
      <c r="C410" s="8"/>
      <c r="D410" s="8"/>
      <c r="E410" s="9">
        <f>=IFERROR(VLOOKUP(D410,Lists!$A:$B,2,0),"")</f>
      </c>
      <c r="F410" s="10"/>
      <c r="G410" s="11">
        <f>=SUMIF($C$16:$C$501,C410,$F$16:$F$501)</f>
      </c>
      <c r="H410" s="12">
        <f>=F410/3600</f>
      </c>
      <c r="I410" s="13">
        <f>=IFERROR(INDEX(Lists!$C:$C,MATCH(J410,Lists!$D:$D,0)),"")</f>
      </c>
      <c r="J410" s="15">
        <f>=IFERROR(INDEX($J$16:J409,MATCH(C410,$C$16:C409,0)),"")</f>
      </c>
    </row>
    <row r="411" ht="18" customHeight="1" spans="1:10" x14ac:dyDescent="0.25">
      <c r="A411" s="8"/>
      <c r="B411" s="8"/>
      <c r="C411" s="8"/>
      <c r="D411" s="8"/>
      <c r="E411" s="9">
        <f>=IFERROR(VLOOKUP(D411,Lists!$A:$B,2,0),"")</f>
      </c>
      <c r="F411" s="10"/>
      <c r="G411" s="11">
        <f>=SUMIF($C$16:$C$501,C411,$F$16:$F$501)</f>
      </c>
      <c r="H411" s="12">
        <f>=F411/3600</f>
      </c>
      <c r="I411" s="13">
        <f>=IFERROR(INDEX(Lists!$C:$C,MATCH(J411,Lists!$D:$D,0)),"")</f>
      </c>
      <c r="J411" s="15">
        <f>=IFERROR(INDEX($J$16:J410,MATCH(C411,$C$16:C410,0)),"")</f>
      </c>
    </row>
    <row r="412" ht="18" customHeight="1" spans="1:10" x14ac:dyDescent="0.25">
      <c r="A412" s="8"/>
      <c r="B412" s="8"/>
      <c r="C412" s="8"/>
      <c r="D412" s="8"/>
      <c r="E412" s="9">
        <f>=IFERROR(VLOOKUP(D412,Lists!$A:$B,2,0),"")</f>
      </c>
      <c r="F412" s="10"/>
      <c r="G412" s="11">
        <f>=SUMIF($C$16:$C$501,C412,$F$16:$F$501)</f>
      </c>
      <c r="H412" s="12">
        <f>=F412/3600</f>
      </c>
      <c r="I412" s="13">
        <f>=IFERROR(INDEX(Lists!$C:$C,MATCH(J412,Lists!$D:$D,0)),"")</f>
      </c>
      <c r="J412" s="15">
        <f>=IFERROR(INDEX($J$16:J411,MATCH(C412,$C$16:C411,0)),"")</f>
      </c>
    </row>
    <row r="413" ht="18" customHeight="1" spans="1:10" x14ac:dyDescent="0.25">
      <c r="A413" s="8"/>
      <c r="B413" s="8"/>
      <c r="C413" s="8"/>
      <c r="D413" s="8"/>
      <c r="E413" s="9">
        <f>=IFERROR(VLOOKUP(D413,Lists!$A:$B,2,0),"")</f>
      </c>
      <c r="F413" s="10"/>
      <c r="G413" s="11">
        <f>=SUMIF($C$16:$C$501,C413,$F$16:$F$501)</f>
      </c>
      <c r="H413" s="12">
        <f>=F413/3600</f>
      </c>
      <c r="I413" s="13">
        <f>=IFERROR(INDEX(Lists!$C:$C,MATCH(J413,Lists!$D:$D,0)),"")</f>
      </c>
      <c r="J413" s="15">
        <f>=IFERROR(INDEX($J$16:J412,MATCH(C413,$C$16:C412,0)),"")</f>
      </c>
    </row>
    <row r="414" ht="18" customHeight="1" spans="1:10" x14ac:dyDescent="0.25">
      <c r="A414" s="8"/>
      <c r="B414" s="8"/>
      <c r="C414" s="8"/>
      <c r="D414" s="8"/>
      <c r="E414" s="9">
        <f>=IFERROR(VLOOKUP(D414,Lists!$A:$B,2,0),"")</f>
      </c>
      <c r="F414" s="10"/>
      <c r="G414" s="11">
        <f>=SUMIF($C$16:$C$501,C414,$F$16:$F$501)</f>
      </c>
      <c r="H414" s="12">
        <f>=F414/3600</f>
      </c>
      <c r="I414" s="13">
        <f>=IFERROR(INDEX(Lists!$C:$C,MATCH(J414,Lists!$D:$D,0)),"")</f>
      </c>
      <c r="J414" s="15">
        <f>=IFERROR(INDEX($J$16:J413,MATCH(C414,$C$16:C413,0)),"")</f>
      </c>
    </row>
    <row r="415" ht="18" customHeight="1" spans="1:10" x14ac:dyDescent="0.25">
      <c r="A415" s="8"/>
      <c r="B415" s="8"/>
      <c r="C415" s="8"/>
      <c r="D415" s="8"/>
      <c r="E415" s="9">
        <f>=IFERROR(VLOOKUP(D415,Lists!$A:$B,2,0),"")</f>
      </c>
      <c r="F415" s="10"/>
      <c r="G415" s="11">
        <f>=SUMIF($C$16:$C$501,C415,$F$16:$F$501)</f>
      </c>
      <c r="H415" s="12">
        <f>=F415/3600</f>
      </c>
      <c r="I415" s="13">
        <f>=IFERROR(INDEX(Lists!$C:$C,MATCH(J415,Lists!$D:$D,0)),"")</f>
      </c>
      <c r="J415" s="15">
        <f>=IFERROR(INDEX($J$16:J414,MATCH(C415,$C$16:C414,0)),"")</f>
      </c>
    </row>
    <row r="416" ht="18" customHeight="1" spans="1:10" x14ac:dyDescent="0.25">
      <c r="A416" s="8"/>
      <c r="B416" s="8"/>
      <c r="C416" s="8"/>
      <c r="D416" s="8"/>
      <c r="E416" s="9">
        <f>=IFERROR(VLOOKUP(D416,Lists!$A:$B,2,0),"")</f>
      </c>
      <c r="F416" s="10"/>
      <c r="G416" s="11">
        <f>=SUMIF($C$16:$C$501,C416,$F$16:$F$501)</f>
      </c>
      <c r="H416" s="12">
        <f>=F416/3600</f>
      </c>
      <c r="I416" s="13">
        <f>=IFERROR(INDEX(Lists!$C:$C,MATCH(J416,Lists!$D:$D,0)),"")</f>
      </c>
      <c r="J416" s="15">
        <f>=IFERROR(INDEX($J$16:J415,MATCH(C416,$C$16:C415,0)),"")</f>
      </c>
    </row>
    <row r="417" ht="18" customHeight="1" spans="1:10" x14ac:dyDescent="0.25">
      <c r="A417" s="8"/>
      <c r="B417" s="8"/>
      <c r="C417" s="8"/>
      <c r="D417" s="8"/>
      <c r="E417" s="9">
        <f>=IFERROR(VLOOKUP(D417,Lists!$A:$B,2,0),"")</f>
      </c>
      <c r="F417" s="10"/>
      <c r="G417" s="11">
        <f>=SUMIF($C$16:$C$501,C417,$F$16:$F$501)</f>
      </c>
      <c r="H417" s="12">
        <f>=F417/3600</f>
      </c>
      <c r="I417" s="13">
        <f>=IFERROR(INDEX(Lists!$C:$C,MATCH(J417,Lists!$D:$D,0)),"")</f>
      </c>
      <c r="J417" s="15">
        <f>=IFERROR(INDEX($J$16:J416,MATCH(C417,$C$16:C416,0)),"")</f>
      </c>
    </row>
    <row r="418" ht="18" customHeight="1" spans="1:10" x14ac:dyDescent="0.25">
      <c r="A418" s="8"/>
      <c r="B418" s="8"/>
      <c r="C418" s="8"/>
      <c r="D418" s="8"/>
      <c r="E418" s="9">
        <f>=IFERROR(VLOOKUP(D418,Lists!$A:$B,2,0),"")</f>
      </c>
      <c r="F418" s="10"/>
      <c r="G418" s="11">
        <f>=SUMIF($C$16:$C$501,C418,$F$16:$F$501)</f>
      </c>
      <c r="H418" s="12">
        <f>=F418/3600</f>
      </c>
      <c r="I418" s="13">
        <f>=IFERROR(INDEX(Lists!$C:$C,MATCH(J418,Lists!$D:$D,0)),"")</f>
      </c>
      <c r="J418" s="15">
        <f>=IFERROR(INDEX($J$16:J417,MATCH(C418,$C$16:C417,0)),"")</f>
      </c>
    </row>
    <row r="419" ht="18" customHeight="1" spans="1:10" x14ac:dyDescent="0.25">
      <c r="A419" s="8"/>
      <c r="B419" s="8"/>
      <c r="C419" s="8"/>
      <c r="D419" s="8"/>
      <c r="E419" s="9">
        <f>=IFERROR(VLOOKUP(D419,Lists!$A:$B,2,0),"")</f>
      </c>
      <c r="F419" s="10"/>
      <c r="G419" s="11">
        <f>=SUMIF($C$16:$C$501,C419,$F$16:$F$501)</f>
      </c>
      <c r="H419" s="12">
        <f>=F419/3600</f>
      </c>
      <c r="I419" s="13">
        <f>=IFERROR(INDEX(Lists!$C:$C,MATCH(J419,Lists!$D:$D,0)),"")</f>
      </c>
      <c r="J419" s="15">
        <f>=IFERROR(INDEX($J$16:J418,MATCH(C419,$C$16:C418,0)),"")</f>
      </c>
    </row>
    <row r="420" ht="18" customHeight="1" spans="1:10" x14ac:dyDescent="0.25">
      <c r="A420" s="8"/>
      <c r="B420" s="8"/>
      <c r="C420" s="8"/>
      <c r="D420" s="8"/>
      <c r="E420" s="9">
        <f>=IFERROR(VLOOKUP(D420,Lists!$A:$B,2,0),"")</f>
      </c>
      <c r="F420" s="10"/>
      <c r="G420" s="11">
        <f>=SUMIF($C$16:$C$501,C420,$F$16:$F$501)</f>
      </c>
      <c r="H420" s="12">
        <f>=F420/3600</f>
      </c>
      <c r="I420" s="13">
        <f>=IFERROR(INDEX(Lists!$C:$C,MATCH(J420,Lists!$D:$D,0)),"")</f>
      </c>
      <c r="J420" s="15">
        <f>=IFERROR(INDEX($J$16:J419,MATCH(C420,$C$16:C419,0)),"")</f>
      </c>
    </row>
    <row r="421" ht="18" customHeight="1" spans="1:10" x14ac:dyDescent="0.25">
      <c r="A421" s="8"/>
      <c r="B421" s="8"/>
      <c r="C421" s="8"/>
      <c r="D421" s="8"/>
      <c r="E421" s="9">
        <f>=IFERROR(VLOOKUP(D421,Lists!$A:$B,2,0),"")</f>
      </c>
      <c r="F421" s="10"/>
      <c r="G421" s="11">
        <f>=SUMIF($C$16:$C$501,C421,$F$16:$F$501)</f>
      </c>
      <c r="H421" s="12">
        <f>=F421/3600</f>
      </c>
      <c r="I421" s="13">
        <f>=IFERROR(INDEX(Lists!$C:$C,MATCH(J421,Lists!$D:$D,0)),"")</f>
      </c>
      <c r="J421" s="15">
        <f>=IFERROR(INDEX($J$16:J420,MATCH(C421,$C$16:C420,0)),"")</f>
      </c>
    </row>
    <row r="422" ht="18" customHeight="1" spans="1:10" x14ac:dyDescent="0.25">
      <c r="A422" s="8"/>
      <c r="B422" s="8"/>
      <c r="C422" s="8"/>
      <c r="D422" s="8"/>
      <c r="E422" s="9">
        <f>=IFERROR(VLOOKUP(D422,Lists!$A:$B,2,0),"")</f>
      </c>
      <c r="F422" s="10"/>
      <c r="G422" s="11">
        <f>=SUMIF($C$16:$C$501,C422,$F$16:$F$501)</f>
      </c>
      <c r="H422" s="12">
        <f>=F422/3600</f>
      </c>
      <c r="I422" s="13">
        <f>=IFERROR(INDEX(Lists!$C:$C,MATCH(J422,Lists!$D:$D,0)),"")</f>
      </c>
      <c r="J422" s="15">
        <f>=IFERROR(INDEX($J$16:J421,MATCH(C422,$C$16:C421,0)),"")</f>
      </c>
    </row>
    <row r="423" ht="18" customHeight="1" spans="1:10" x14ac:dyDescent="0.25">
      <c r="A423" s="8"/>
      <c r="B423" s="8"/>
      <c r="C423" s="8"/>
      <c r="D423" s="8"/>
      <c r="E423" s="9">
        <f>=IFERROR(VLOOKUP(D423,Lists!$A:$B,2,0),"")</f>
      </c>
      <c r="F423" s="10"/>
      <c r="G423" s="11">
        <f>=SUMIF($C$16:$C$501,C423,$F$16:$F$501)</f>
      </c>
      <c r="H423" s="12">
        <f>=F423/3600</f>
      </c>
      <c r="I423" s="13">
        <f>=IFERROR(INDEX(Lists!$C:$C,MATCH(J423,Lists!$D:$D,0)),"")</f>
      </c>
      <c r="J423" s="15">
        <f>=IFERROR(INDEX($J$16:J422,MATCH(C423,$C$16:C422,0)),"")</f>
      </c>
    </row>
    <row r="424" ht="18" customHeight="1" spans="1:10" x14ac:dyDescent="0.25">
      <c r="A424" s="8"/>
      <c r="B424" s="8"/>
      <c r="C424" s="8"/>
      <c r="D424" s="8"/>
      <c r="E424" s="9">
        <f>=IFERROR(VLOOKUP(D424,Lists!$A:$B,2,0),"")</f>
      </c>
      <c r="F424" s="10"/>
      <c r="G424" s="11">
        <f>=SUMIF($C$16:$C$501,C424,$F$16:$F$501)</f>
      </c>
      <c r="H424" s="12">
        <f>=F424/3600</f>
      </c>
      <c r="I424" s="13">
        <f>=IFERROR(INDEX(Lists!$C:$C,MATCH(J424,Lists!$D:$D,0)),"")</f>
      </c>
      <c r="J424" s="15">
        <f>=IFERROR(INDEX($J$16:J423,MATCH(C424,$C$16:C423,0)),"")</f>
      </c>
    </row>
    <row r="425" ht="18" customHeight="1" spans="1:10" x14ac:dyDescent="0.25">
      <c r="A425" s="8"/>
      <c r="B425" s="8"/>
      <c r="C425" s="8"/>
      <c r="D425" s="8"/>
      <c r="E425" s="9">
        <f>=IFERROR(VLOOKUP(D425,Lists!$A:$B,2,0),"")</f>
      </c>
      <c r="F425" s="10"/>
      <c r="G425" s="11">
        <f>=SUMIF($C$16:$C$501,C425,$F$16:$F$501)</f>
      </c>
      <c r="H425" s="12">
        <f>=F425/3600</f>
      </c>
      <c r="I425" s="13">
        <f>=IFERROR(INDEX(Lists!$C:$C,MATCH(J425,Lists!$D:$D,0)),"")</f>
      </c>
      <c r="J425" s="15">
        <f>=IFERROR(INDEX($J$16:J424,MATCH(C425,$C$16:C424,0)),"")</f>
      </c>
    </row>
    <row r="426" ht="18" customHeight="1" spans="1:10" x14ac:dyDescent="0.25">
      <c r="A426" s="8"/>
      <c r="B426" s="8"/>
      <c r="C426" s="8"/>
      <c r="D426" s="8"/>
      <c r="E426" s="9">
        <f>=IFERROR(VLOOKUP(D426,Lists!$A:$B,2,0),"")</f>
      </c>
      <c r="F426" s="10"/>
      <c r="G426" s="11">
        <f>=SUMIF($C$16:$C$501,C426,$F$16:$F$501)</f>
      </c>
      <c r="H426" s="12">
        <f>=F426/3600</f>
      </c>
      <c r="I426" s="13">
        <f>=IFERROR(INDEX(Lists!$C:$C,MATCH(J426,Lists!$D:$D,0)),"")</f>
      </c>
      <c r="J426" s="15">
        <f>=IFERROR(INDEX($J$16:J425,MATCH(C426,$C$16:C425,0)),"")</f>
      </c>
    </row>
    <row r="427" ht="18" customHeight="1" spans="1:10" x14ac:dyDescent="0.25">
      <c r="A427" s="8"/>
      <c r="B427" s="8"/>
      <c r="C427" s="8"/>
      <c r="D427" s="8"/>
      <c r="E427" s="9">
        <f>=IFERROR(VLOOKUP(D427,Lists!$A:$B,2,0),"")</f>
      </c>
      <c r="F427" s="10"/>
      <c r="G427" s="11">
        <f>=SUMIF($C$16:$C$501,C427,$F$16:$F$501)</f>
      </c>
      <c r="H427" s="12">
        <f>=F427/3600</f>
      </c>
      <c r="I427" s="13">
        <f>=IFERROR(INDEX(Lists!$C:$C,MATCH(J427,Lists!$D:$D,0)),"")</f>
      </c>
      <c r="J427" s="15">
        <f>=IFERROR(INDEX($J$16:J426,MATCH(C427,$C$16:C426,0)),"")</f>
      </c>
    </row>
    <row r="428" ht="18" customHeight="1" spans="1:10" x14ac:dyDescent="0.25">
      <c r="A428" s="8"/>
      <c r="B428" s="8"/>
      <c r="C428" s="8"/>
      <c r="D428" s="8"/>
      <c r="E428" s="9">
        <f>=IFERROR(VLOOKUP(D428,Lists!$A:$B,2,0),"")</f>
      </c>
      <c r="F428" s="10"/>
      <c r="G428" s="11">
        <f>=SUMIF($C$16:$C$501,C428,$F$16:$F$501)</f>
      </c>
      <c r="H428" s="12">
        <f>=F428/3600</f>
      </c>
      <c r="I428" s="13">
        <f>=IFERROR(INDEX(Lists!$C:$C,MATCH(J428,Lists!$D:$D,0)),"")</f>
      </c>
      <c r="J428" s="15">
        <f>=IFERROR(INDEX($J$16:J427,MATCH(C428,$C$16:C427,0)),"")</f>
      </c>
    </row>
    <row r="429" ht="18" customHeight="1" spans="1:10" x14ac:dyDescent="0.25">
      <c r="A429" s="8"/>
      <c r="B429" s="8"/>
      <c r="C429" s="8"/>
      <c r="D429" s="8"/>
      <c r="E429" s="9">
        <f>=IFERROR(VLOOKUP(D429,Lists!$A:$B,2,0),"")</f>
      </c>
      <c r="F429" s="10"/>
      <c r="G429" s="11">
        <f>=SUMIF($C$16:$C$501,C429,$F$16:$F$501)</f>
      </c>
      <c r="H429" s="12">
        <f>=F429/3600</f>
      </c>
      <c r="I429" s="13">
        <f>=IFERROR(INDEX(Lists!$C:$C,MATCH(J429,Lists!$D:$D,0)),"")</f>
      </c>
      <c r="J429" s="15">
        <f>=IFERROR(INDEX($J$16:J428,MATCH(C429,$C$16:C428,0)),"")</f>
      </c>
    </row>
    <row r="430" ht="18" customHeight="1" spans="1:10" x14ac:dyDescent="0.25">
      <c r="A430" s="8"/>
      <c r="B430" s="8"/>
      <c r="C430" s="8"/>
      <c r="D430" s="8"/>
      <c r="E430" s="9">
        <f>=IFERROR(VLOOKUP(D430,Lists!$A:$B,2,0),"")</f>
      </c>
      <c r="F430" s="10"/>
      <c r="G430" s="11">
        <f>=SUMIF($C$16:$C$501,C430,$F$16:$F$501)</f>
      </c>
      <c r="H430" s="12">
        <f>=F430/3600</f>
      </c>
      <c r="I430" s="13">
        <f>=IFERROR(INDEX(Lists!$C:$C,MATCH(J430,Lists!$D:$D,0)),"")</f>
      </c>
      <c r="J430" s="15">
        <f>=IFERROR(INDEX($J$16:J429,MATCH(C430,$C$16:C429,0)),"")</f>
      </c>
    </row>
    <row r="431" ht="18" customHeight="1" spans="1:10" x14ac:dyDescent="0.25">
      <c r="A431" s="8"/>
      <c r="B431" s="8"/>
      <c r="C431" s="8"/>
      <c r="D431" s="8"/>
      <c r="E431" s="9">
        <f>=IFERROR(VLOOKUP(D431,Lists!$A:$B,2,0),"")</f>
      </c>
      <c r="F431" s="10"/>
      <c r="G431" s="11">
        <f>=SUMIF($C$16:$C$501,C431,$F$16:$F$501)</f>
      </c>
      <c r="H431" s="12">
        <f>=F431/3600</f>
      </c>
      <c r="I431" s="13">
        <f>=IFERROR(INDEX(Lists!$C:$C,MATCH(J431,Lists!$D:$D,0)),"")</f>
      </c>
      <c r="J431" s="15">
        <f>=IFERROR(INDEX($J$16:J430,MATCH(C431,$C$16:C430,0)),"")</f>
      </c>
    </row>
    <row r="432" ht="18" customHeight="1" spans="1:10" x14ac:dyDescent="0.25">
      <c r="A432" s="8"/>
      <c r="B432" s="8"/>
      <c r="C432" s="8"/>
      <c r="D432" s="8"/>
      <c r="E432" s="9">
        <f>=IFERROR(VLOOKUP(D432,Lists!$A:$B,2,0),"")</f>
      </c>
      <c r="F432" s="10"/>
      <c r="G432" s="11">
        <f>=SUMIF($C$16:$C$501,C432,$F$16:$F$501)</f>
      </c>
      <c r="H432" s="12">
        <f>=F432/3600</f>
      </c>
      <c r="I432" s="13">
        <f>=IFERROR(INDEX(Lists!$C:$C,MATCH(J432,Lists!$D:$D,0)),"")</f>
      </c>
      <c r="J432" s="15">
        <f>=IFERROR(INDEX($J$16:J431,MATCH(C432,$C$16:C431,0)),"")</f>
      </c>
    </row>
    <row r="433" ht="18" customHeight="1" spans="1:10" x14ac:dyDescent="0.25">
      <c r="A433" s="8"/>
      <c r="B433" s="8"/>
      <c r="C433" s="8"/>
      <c r="D433" s="8"/>
      <c r="E433" s="9">
        <f>=IFERROR(VLOOKUP(D433,Lists!$A:$B,2,0),"")</f>
      </c>
      <c r="F433" s="10"/>
      <c r="G433" s="11">
        <f>=SUMIF($C$16:$C$501,C433,$F$16:$F$501)</f>
      </c>
      <c r="H433" s="12">
        <f>=F433/3600</f>
      </c>
      <c r="I433" s="13">
        <f>=IFERROR(INDEX(Lists!$C:$C,MATCH(J433,Lists!$D:$D,0)),"")</f>
      </c>
      <c r="J433" s="15">
        <f>=IFERROR(INDEX($J$16:J432,MATCH(C433,$C$16:C432,0)),"")</f>
      </c>
    </row>
    <row r="434" ht="18" customHeight="1" spans="1:10" x14ac:dyDescent="0.25">
      <c r="A434" s="8"/>
      <c r="B434" s="8"/>
      <c r="C434" s="8"/>
      <c r="D434" s="8"/>
      <c r="E434" s="9">
        <f>=IFERROR(VLOOKUP(D434,Lists!$A:$B,2,0),"")</f>
      </c>
      <c r="F434" s="10"/>
      <c r="G434" s="11">
        <f>=SUMIF($C$16:$C$501,C434,$F$16:$F$501)</f>
      </c>
      <c r="H434" s="12">
        <f>=F434/3600</f>
      </c>
      <c r="I434" s="13">
        <f>=IFERROR(INDEX(Lists!$C:$C,MATCH(J434,Lists!$D:$D,0)),"")</f>
      </c>
      <c r="J434" s="15">
        <f>=IFERROR(INDEX($J$16:J433,MATCH(C434,$C$16:C433,0)),"")</f>
      </c>
    </row>
    <row r="435" ht="18" customHeight="1" spans="1:10" x14ac:dyDescent="0.25">
      <c r="A435" s="8"/>
      <c r="B435" s="8"/>
      <c r="C435" s="8"/>
      <c r="D435" s="8"/>
      <c r="E435" s="9">
        <f>=IFERROR(VLOOKUP(D435,Lists!$A:$B,2,0),"")</f>
      </c>
      <c r="F435" s="10"/>
      <c r="G435" s="11">
        <f>=SUMIF($C$16:$C$501,C435,$F$16:$F$501)</f>
      </c>
      <c r="H435" s="12">
        <f>=F435/3600</f>
      </c>
      <c r="I435" s="13">
        <f>=IFERROR(INDEX(Lists!$C:$C,MATCH(J435,Lists!$D:$D,0)),"")</f>
      </c>
      <c r="J435" s="15">
        <f>=IFERROR(INDEX($J$16:J434,MATCH(C435,$C$16:C434,0)),"")</f>
      </c>
    </row>
    <row r="436" ht="18" customHeight="1" spans="1:10" x14ac:dyDescent="0.25">
      <c r="A436" s="8"/>
      <c r="B436" s="8"/>
      <c r="C436" s="8"/>
      <c r="D436" s="8"/>
      <c r="E436" s="9">
        <f>=IFERROR(VLOOKUP(D436,Lists!$A:$B,2,0),"")</f>
      </c>
      <c r="F436" s="10"/>
      <c r="G436" s="11">
        <f>=SUMIF($C$16:$C$501,C436,$F$16:$F$501)</f>
      </c>
      <c r="H436" s="12">
        <f>=F436/3600</f>
      </c>
      <c r="I436" s="13">
        <f>=IFERROR(INDEX(Lists!$C:$C,MATCH(J436,Lists!$D:$D,0)),"")</f>
      </c>
      <c r="J436" s="15">
        <f>=IFERROR(INDEX($J$16:J435,MATCH(C436,$C$16:C435,0)),"")</f>
      </c>
    </row>
    <row r="437" ht="18" customHeight="1" spans="1:10" x14ac:dyDescent="0.25">
      <c r="A437" s="8"/>
      <c r="B437" s="8"/>
      <c r="C437" s="8"/>
      <c r="D437" s="8"/>
      <c r="E437" s="9">
        <f>=IFERROR(VLOOKUP(D437,Lists!$A:$B,2,0),"")</f>
      </c>
      <c r="F437" s="10"/>
      <c r="G437" s="11">
        <f>=SUMIF($C$16:$C$501,C437,$F$16:$F$501)</f>
      </c>
      <c r="H437" s="12">
        <f>=F437/3600</f>
      </c>
      <c r="I437" s="13">
        <f>=IFERROR(INDEX(Lists!$C:$C,MATCH(J437,Lists!$D:$D,0)),"")</f>
      </c>
      <c r="J437" s="15">
        <f>=IFERROR(INDEX($J$16:J436,MATCH(C437,$C$16:C436,0)),"")</f>
      </c>
    </row>
    <row r="438" ht="18" customHeight="1" spans="1:10" x14ac:dyDescent="0.25">
      <c r="A438" s="8"/>
      <c r="B438" s="8"/>
      <c r="C438" s="8"/>
      <c r="D438" s="8"/>
      <c r="E438" s="9">
        <f>=IFERROR(VLOOKUP(D438,Lists!$A:$B,2,0),"")</f>
      </c>
      <c r="F438" s="10"/>
      <c r="G438" s="11">
        <f>=SUMIF($C$16:$C$501,C438,$F$16:$F$501)</f>
      </c>
      <c r="H438" s="12">
        <f>=F438/3600</f>
      </c>
      <c r="I438" s="13">
        <f>=IFERROR(INDEX(Lists!$C:$C,MATCH(J438,Lists!$D:$D,0)),"")</f>
      </c>
      <c r="J438" s="15">
        <f>=IFERROR(INDEX($J$16:J437,MATCH(C438,$C$16:C437,0)),"")</f>
      </c>
    </row>
    <row r="439" ht="18" customHeight="1" spans="1:10" x14ac:dyDescent="0.25">
      <c r="A439" s="8"/>
      <c r="B439" s="8"/>
      <c r="C439" s="8"/>
      <c r="D439" s="8"/>
      <c r="E439" s="9">
        <f>=IFERROR(VLOOKUP(D439,Lists!$A:$B,2,0),"")</f>
      </c>
      <c r="F439" s="10"/>
      <c r="G439" s="11">
        <f>=SUMIF($C$16:$C$501,C439,$F$16:$F$501)</f>
      </c>
      <c r="H439" s="12">
        <f>=F439/3600</f>
      </c>
      <c r="I439" s="13">
        <f>=IFERROR(INDEX(Lists!$C:$C,MATCH(J439,Lists!$D:$D,0)),"")</f>
      </c>
      <c r="J439" s="15">
        <f>=IFERROR(INDEX($J$16:J438,MATCH(C439,$C$16:C438,0)),"")</f>
      </c>
    </row>
    <row r="440" ht="18" customHeight="1" spans="1:10" x14ac:dyDescent="0.25">
      <c r="A440" s="8"/>
      <c r="B440" s="8"/>
      <c r="C440" s="8"/>
      <c r="D440" s="8"/>
      <c r="E440" s="9">
        <f>=IFERROR(VLOOKUP(D440,Lists!$A:$B,2,0),"")</f>
      </c>
      <c r="F440" s="10"/>
      <c r="G440" s="11">
        <f>=SUMIF($C$16:$C$501,C440,$F$16:$F$501)</f>
      </c>
      <c r="H440" s="12">
        <f>=F440/3600</f>
      </c>
      <c r="I440" s="13">
        <f>=IFERROR(INDEX(Lists!$C:$C,MATCH(J440,Lists!$D:$D,0)),"")</f>
      </c>
      <c r="J440" s="15">
        <f>=IFERROR(INDEX($J$16:J439,MATCH(C440,$C$16:C439,0)),"")</f>
      </c>
    </row>
    <row r="441" ht="18" customHeight="1" spans="1:10" x14ac:dyDescent="0.25">
      <c r="A441" s="8"/>
      <c r="B441" s="8"/>
      <c r="C441" s="8"/>
      <c r="D441" s="8"/>
      <c r="E441" s="9">
        <f>=IFERROR(VLOOKUP(D441,Lists!$A:$B,2,0),"")</f>
      </c>
      <c r="F441" s="10"/>
      <c r="G441" s="11">
        <f>=SUMIF($C$16:$C$501,C441,$F$16:$F$501)</f>
      </c>
      <c r="H441" s="12">
        <f>=F441/3600</f>
      </c>
      <c r="I441" s="13">
        <f>=IFERROR(INDEX(Lists!$C:$C,MATCH(J441,Lists!$D:$D,0)),"")</f>
      </c>
      <c r="J441" s="15">
        <f>=IFERROR(INDEX($J$16:J440,MATCH(C441,$C$16:C440,0)),"")</f>
      </c>
    </row>
    <row r="442" ht="18" customHeight="1" spans="1:10" x14ac:dyDescent="0.25">
      <c r="A442" s="8"/>
      <c r="B442" s="8"/>
      <c r="C442" s="8"/>
      <c r="D442" s="8"/>
      <c r="E442" s="9">
        <f>=IFERROR(VLOOKUP(D442,Lists!$A:$B,2,0),"")</f>
      </c>
      <c r="F442" s="10"/>
      <c r="G442" s="11">
        <f>=SUMIF($C$16:$C$501,C442,$F$16:$F$501)</f>
      </c>
      <c r="H442" s="12">
        <f>=F442/3600</f>
      </c>
      <c r="I442" s="13">
        <f>=IFERROR(INDEX(Lists!$C:$C,MATCH(J442,Lists!$D:$D,0)),"")</f>
      </c>
      <c r="J442" s="15">
        <f>=IFERROR(INDEX($J$16:J441,MATCH(C442,$C$16:C441,0)),"")</f>
      </c>
    </row>
    <row r="443" ht="18" customHeight="1" spans="1:10" x14ac:dyDescent="0.25">
      <c r="A443" s="8"/>
      <c r="B443" s="8"/>
      <c r="C443" s="8"/>
      <c r="D443" s="8"/>
      <c r="E443" s="9">
        <f>=IFERROR(VLOOKUP(D443,Lists!$A:$B,2,0),"")</f>
      </c>
      <c r="F443" s="10"/>
      <c r="G443" s="11">
        <f>=SUMIF($C$16:$C$501,C443,$F$16:$F$501)</f>
      </c>
      <c r="H443" s="12">
        <f>=F443/3600</f>
      </c>
      <c r="I443" s="13">
        <f>=IFERROR(INDEX(Lists!$C:$C,MATCH(J443,Lists!$D:$D,0)),"")</f>
      </c>
      <c r="J443" s="15">
        <f>=IFERROR(INDEX($J$16:J442,MATCH(C443,$C$16:C442,0)),"")</f>
      </c>
    </row>
    <row r="444" ht="18" customHeight="1" spans="1:10" x14ac:dyDescent="0.25">
      <c r="A444" s="8"/>
      <c r="B444" s="8"/>
      <c r="C444" s="8"/>
      <c r="D444" s="8"/>
      <c r="E444" s="9">
        <f>=IFERROR(VLOOKUP(D444,Lists!$A:$B,2,0),"")</f>
      </c>
      <c r="F444" s="10"/>
      <c r="G444" s="11">
        <f>=SUMIF($C$16:$C$501,C444,$F$16:$F$501)</f>
      </c>
      <c r="H444" s="12">
        <f>=F444/3600</f>
      </c>
      <c r="I444" s="13">
        <f>=IFERROR(INDEX(Lists!$C:$C,MATCH(J444,Lists!$D:$D,0)),"")</f>
      </c>
      <c r="J444" s="15">
        <f>=IFERROR(INDEX($J$16:J443,MATCH(C444,$C$16:C443,0)),"")</f>
      </c>
    </row>
    <row r="445" ht="18" customHeight="1" spans="1:10" x14ac:dyDescent="0.25">
      <c r="A445" s="8"/>
      <c r="B445" s="8"/>
      <c r="C445" s="8"/>
      <c r="D445" s="8"/>
      <c r="E445" s="9">
        <f>=IFERROR(VLOOKUP(D445,Lists!$A:$B,2,0),"")</f>
      </c>
      <c r="F445" s="10"/>
      <c r="G445" s="11">
        <f>=SUMIF($C$16:$C$501,C445,$F$16:$F$501)</f>
      </c>
      <c r="H445" s="12">
        <f>=F445/3600</f>
      </c>
      <c r="I445" s="13">
        <f>=IFERROR(INDEX(Lists!$C:$C,MATCH(J445,Lists!$D:$D,0)),"")</f>
      </c>
      <c r="J445" s="15">
        <f>=IFERROR(INDEX($J$16:J444,MATCH(C445,$C$16:C444,0)),"")</f>
      </c>
    </row>
    <row r="446" ht="18" customHeight="1" spans="1:10" x14ac:dyDescent="0.25">
      <c r="A446" s="8"/>
      <c r="B446" s="8"/>
      <c r="C446" s="8"/>
      <c r="D446" s="8"/>
      <c r="E446" s="9">
        <f>=IFERROR(VLOOKUP(D446,Lists!$A:$B,2,0),"")</f>
      </c>
      <c r="F446" s="10"/>
      <c r="G446" s="11">
        <f>=SUMIF($C$16:$C$501,C446,$F$16:$F$501)</f>
      </c>
      <c r="H446" s="12">
        <f>=F446/3600</f>
      </c>
      <c r="I446" s="13">
        <f>=IFERROR(INDEX(Lists!$C:$C,MATCH(J446,Lists!$D:$D,0)),"")</f>
      </c>
      <c r="J446" s="15">
        <f>=IFERROR(INDEX($J$16:J445,MATCH(C446,$C$16:C445,0)),"")</f>
      </c>
    </row>
    <row r="447" ht="18" customHeight="1" spans="1:10" x14ac:dyDescent="0.25">
      <c r="A447" s="8"/>
      <c r="B447" s="8"/>
      <c r="C447" s="8"/>
      <c r="D447" s="8"/>
      <c r="E447" s="9">
        <f>=IFERROR(VLOOKUP(D447,Lists!$A:$B,2,0),"")</f>
      </c>
      <c r="F447" s="10"/>
      <c r="G447" s="11">
        <f>=SUMIF($C$16:$C$501,C447,$F$16:$F$501)</f>
      </c>
      <c r="H447" s="12">
        <f>=F447/3600</f>
      </c>
      <c r="I447" s="13">
        <f>=IFERROR(INDEX(Lists!$C:$C,MATCH(J447,Lists!$D:$D,0)),"")</f>
      </c>
      <c r="J447" s="15">
        <f>=IFERROR(INDEX($J$16:J446,MATCH(C447,$C$16:C446,0)),"")</f>
      </c>
    </row>
    <row r="448" ht="18" customHeight="1" spans="1:10" x14ac:dyDescent="0.25">
      <c r="A448" s="8"/>
      <c r="B448" s="8"/>
      <c r="C448" s="8"/>
      <c r="D448" s="8"/>
      <c r="E448" s="9">
        <f>=IFERROR(VLOOKUP(D448,Lists!$A:$B,2,0),"")</f>
      </c>
      <c r="F448" s="10"/>
      <c r="G448" s="11">
        <f>=SUMIF($C$16:$C$501,C448,$F$16:$F$501)</f>
      </c>
      <c r="H448" s="12">
        <f>=F448/3600</f>
      </c>
      <c r="I448" s="13">
        <f>=IFERROR(INDEX(Lists!$C:$C,MATCH(J448,Lists!$D:$D,0)),"")</f>
      </c>
      <c r="J448" s="15">
        <f>=IFERROR(INDEX($J$16:J447,MATCH(C448,$C$16:C447,0)),"")</f>
      </c>
    </row>
    <row r="449" ht="18" customHeight="1" spans="1:10" x14ac:dyDescent="0.25">
      <c r="A449" s="8"/>
      <c r="B449" s="8"/>
      <c r="C449" s="8"/>
      <c r="D449" s="8"/>
      <c r="E449" s="9">
        <f>=IFERROR(VLOOKUP(D449,Lists!$A:$B,2,0),"")</f>
      </c>
      <c r="F449" s="10"/>
      <c r="G449" s="11">
        <f>=SUMIF($C$16:$C$501,C449,$F$16:$F$501)</f>
      </c>
      <c r="H449" s="12">
        <f>=F449/3600</f>
      </c>
      <c r="I449" s="13">
        <f>=IFERROR(INDEX(Lists!$C:$C,MATCH(J449,Lists!$D:$D,0)),"")</f>
      </c>
      <c r="J449" s="15">
        <f>=IFERROR(INDEX($J$16:J448,MATCH(C449,$C$16:C448,0)),"")</f>
      </c>
    </row>
    <row r="450" ht="18" customHeight="1" spans="1:10" x14ac:dyDescent="0.25">
      <c r="A450" s="8"/>
      <c r="B450" s="8"/>
      <c r="C450" s="8"/>
      <c r="D450" s="8"/>
      <c r="E450" s="9">
        <f>=IFERROR(VLOOKUP(D450,Lists!$A:$B,2,0),"")</f>
      </c>
      <c r="F450" s="10"/>
      <c r="G450" s="11">
        <f>=SUMIF($C$16:$C$501,C450,$F$16:$F$501)</f>
      </c>
      <c r="H450" s="12">
        <f>=F450/3600</f>
      </c>
      <c r="I450" s="13">
        <f>=IFERROR(INDEX(Lists!$C:$C,MATCH(J450,Lists!$D:$D,0)),"")</f>
      </c>
      <c r="J450" s="15">
        <f>=IFERROR(INDEX($J$16:J449,MATCH(C450,$C$16:C449,0)),"")</f>
      </c>
    </row>
    <row r="451" ht="18" customHeight="1" spans="1:10" x14ac:dyDescent="0.25">
      <c r="A451" s="8"/>
      <c r="B451" s="8"/>
      <c r="C451" s="8"/>
      <c r="D451" s="8"/>
      <c r="E451" s="9">
        <f>=IFERROR(VLOOKUP(D451,Lists!$A:$B,2,0),"")</f>
      </c>
      <c r="F451" s="10"/>
      <c r="G451" s="11">
        <f>=SUMIF($C$16:$C$501,C451,$F$16:$F$501)</f>
      </c>
      <c r="H451" s="12">
        <f>=F451/3600</f>
      </c>
      <c r="I451" s="13">
        <f>=IFERROR(INDEX(Lists!$C:$C,MATCH(J451,Lists!$D:$D,0)),"")</f>
      </c>
      <c r="J451" s="15">
        <f>=IFERROR(INDEX($J$16:J450,MATCH(C451,$C$16:C450,0)),"")</f>
      </c>
    </row>
    <row r="452" ht="18" customHeight="1" spans="1:10" x14ac:dyDescent="0.25">
      <c r="A452" s="8"/>
      <c r="B452" s="8"/>
      <c r="C452" s="8"/>
      <c r="D452" s="8"/>
      <c r="E452" s="9">
        <f>=IFERROR(VLOOKUP(D452,Lists!$A:$B,2,0),"")</f>
      </c>
      <c r="F452" s="10"/>
      <c r="G452" s="11">
        <f>=SUMIF($C$16:$C$501,C452,$F$16:$F$501)</f>
      </c>
      <c r="H452" s="12">
        <f>=F452/3600</f>
      </c>
      <c r="I452" s="13">
        <f>=IFERROR(INDEX(Lists!$C:$C,MATCH(J452,Lists!$D:$D,0)),"")</f>
      </c>
      <c r="J452" s="15">
        <f>=IFERROR(INDEX($J$16:J451,MATCH(C452,$C$16:C451,0)),"")</f>
      </c>
    </row>
    <row r="453" ht="18" customHeight="1" spans="1:10" x14ac:dyDescent="0.25">
      <c r="A453" s="8"/>
      <c r="B453" s="8"/>
      <c r="C453" s="8"/>
      <c r="D453" s="8"/>
      <c r="E453" s="9">
        <f>=IFERROR(VLOOKUP(D453,Lists!$A:$B,2,0),"")</f>
      </c>
      <c r="F453" s="10"/>
      <c r="G453" s="11">
        <f>=SUMIF($C$16:$C$501,C453,$F$16:$F$501)</f>
      </c>
      <c r="H453" s="12">
        <f>=F453/3600</f>
      </c>
      <c r="I453" s="13">
        <f>=IFERROR(INDEX(Lists!$C:$C,MATCH(J453,Lists!$D:$D,0)),"")</f>
      </c>
      <c r="J453" s="15">
        <f>=IFERROR(INDEX($J$16:J452,MATCH(C453,$C$16:C452,0)),"")</f>
      </c>
    </row>
    <row r="454" ht="18" customHeight="1" spans="1:10" x14ac:dyDescent="0.25">
      <c r="A454" s="8"/>
      <c r="B454" s="8"/>
      <c r="C454" s="8"/>
      <c r="D454" s="8"/>
      <c r="E454" s="9">
        <f>=IFERROR(VLOOKUP(D454,Lists!$A:$B,2,0),"")</f>
      </c>
      <c r="F454" s="10"/>
      <c r="G454" s="11">
        <f>=SUMIF($C$16:$C$501,C454,$F$16:$F$501)</f>
      </c>
      <c r="H454" s="12">
        <f>=F454/3600</f>
      </c>
      <c r="I454" s="13">
        <f>=IFERROR(INDEX(Lists!$C:$C,MATCH(J454,Lists!$D:$D,0)),"")</f>
      </c>
      <c r="J454" s="15">
        <f>=IFERROR(INDEX($J$16:J453,MATCH(C454,$C$16:C453,0)),"")</f>
      </c>
    </row>
    <row r="455" ht="18" customHeight="1" spans="1:10" x14ac:dyDescent="0.25">
      <c r="A455" s="8"/>
      <c r="B455" s="8"/>
      <c r="C455" s="8"/>
      <c r="D455" s="8"/>
      <c r="E455" s="9">
        <f>=IFERROR(VLOOKUP(D455,Lists!$A:$B,2,0),"")</f>
      </c>
      <c r="F455" s="10"/>
      <c r="G455" s="11">
        <f>=SUMIF($C$16:$C$501,C455,$F$16:$F$501)</f>
      </c>
      <c r="H455" s="12">
        <f>=F455/3600</f>
      </c>
      <c r="I455" s="13">
        <f>=IFERROR(INDEX(Lists!$C:$C,MATCH(J455,Lists!$D:$D,0)),"")</f>
      </c>
      <c r="J455" s="15">
        <f>=IFERROR(INDEX($J$16:J454,MATCH(C455,$C$16:C454,0)),"")</f>
      </c>
    </row>
    <row r="456" ht="18" customHeight="1" spans="1:10" x14ac:dyDescent="0.25">
      <c r="A456" s="8"/>
      <c r="B456" s="8"/>
      <c r="C456" s="8"/>
      <c r="D456" s="8"/>
      <c r="E456" s="9">
        <f>=IFERROR(VLOOKUP(D456,Lists!$A:$B,2,0),"")</f>
      </c>
      <c r="F456" s="10"/>
      <c r="G456" s="11">
        <f>=SUMIF($C$16:$C$501,C456,$F$16:$F$501)</f>
      </c>
      <c r="H456" s="12">
        <f>=F456/3600</f>
      </c>
      <c r="I456" s="13">
        <f>=IFERROR(INDEX(Lists!$C:$C,MATCH(J456,Lists!$D:$D,0)),"")</f>
      </c>
      <c r="J456" s="15">
        <f>=IFERROR(INDEX($J$16:J455,MATCH(C456,$C$16:C455,0)),"")</f>
      </c>
    </row>
    <row r="457" ht="18" customHeight="1" spans="1:10" x14ac:dyDescent="0.25">
      <c r="A457" s="8"/>
      <c r="B457" s="8"/>
      <c r="C457" s="8"/>
      <c r="D457" s="8"/>
      <c r="E457" s="9">
        <f>=IFERROR(VLOOKUP(D457,Lists!$A:$B,2,0),"")</f>
      </c>
      <c r="F457" s="10"/>
      <c r="G457" s="11">
        <f>=SUMIF($C$16:$C$501,C457,$F$16:$F$501)</f>
      </c>
      <c r="H457" s="12">
        <f>=F457/3600</f>
      </c>
      <c r="I457" s="13">
        <f>=IFERROR(INDEX(Lists!$C:$C,MATCH(J457,Lists!$D:$D,0)),"")</f>
      </c>
      <c r="J457" s="15">
        <f>=IFERROR(INDEX($J$16:J456,MATCH(C457,$C$16:C456,0)),"")</f>
      </c>
    </row>
    <row r="458" ht="18" customHeight="1" spans="1:10" x14ac:dyDescent="0.25">
      <c r="A458" s="8"/>
      <c r="B458" s="8"/>
      <c r="C458" s="8"/>
      <c r="D458" s="8"/>
      <c r="E458" s="9">
        <f>=IFERROR(VLOOKUP(D458,Lists!$A:$B,2,0),"")</f>
      </c>
      <c r="F458" s="10"/>
      <c r="G458" s="11">
        <f>=SUMIF($C$16:$C$501,C458,$F$16:$F$501)</f>
      </c>
      <c r="H458" s="12">
        <f>=F458/3600</f>
      </c>
      <c r="I458" s="13">
        <f>=IFERROR(INDEX(Lists!$C:$C,MATCH(J458,Lists!$D:$D,0)),"")</f>
      </c>
      <c r="J458" s="15">
        <f>=IFERROR(INDEX($J$16:J457,MATCH(C458,$C$16:C457,0)),"")</f>
      </c>
    </row>
    <row r="459" ht="18" customHeight="1" spans="1:10" x14ac:dyDescent="0.25">
      <c r="A459" s="8"/>
      <c r="B459" s="8"/>
      <c r="C459" s="8"/>
      <c r="D459" s="8"/>
      <c r="E459" s="9">
        <f>=IFERROR(VLOOKUP(D459,Lists!$A:$B,2,0),"")</f>
      </c>
      <c r="F459" s="10"/>
      <c r="G459" s="11">
        <f>=SUMIF($C$16:$C$501,C459,$F$16:$F$501)</f>
      </c>
      <c r="H459" s="12">
        <f>=F459/3600</f>
      </c>
      <c r="I459" s="13">
        <f>=IFERROR(INDEX(Lists!$C:$C,MATCH(J459,Lists!$D:$D,0)),"")</f>
      </c>
      <c r="J459" s="15">
        <f>=IFERROR(INDEX($J$16:J458,MATCH(C459,$C$16:C458,0)),"")</f>
      </c>
    </row>
    <row r="460" ht="18" customHeight="1" spans="1:10" x14ac:dyDescent="0.25">
      <c r="A460" s="8"/>
      <c r="B460" s="8"/>
      <c r="C460" s="8"/>
      <c r="D460" s="8"/>
      <c r="E460" s="9">
        <f>=IFERROR(VLOOKUP(D460,Lists!$A:$B,2,0),"")</f>
      </c>
      <c r="F460" s="10"/>
      <c r="G460" s="11">
        <f>=SUMIF($C$16:$C$501,C460,$F$16:$F$501)</f>
      </c>
      <c r="H460" s="12">
        <f>=F460/3600</f>
      </c>
      <c r="I460" s="13">
        <f>=IFERROR(INDEX(Lists!$C:$C,MATCH(J460,Lists!$D:$D,0)),"")</f>
      </c>
      <c r="J460" s="15">
        <f>=IFERROR(INDEX($J$16:J459,MATCH(C460,$C$16:C459,0)),"")</f>
      </c>
    </row>
    <row r="461" ht="18" customHeight="1" spans="1:10" x14ac:dyDescent="0.25">
      <c r="A461" s="8"/>
      <c r="B461" s="8"/>
      <c r="C461" s="8"/>
      <c r="D461" s="8"/>
      <c r="E461" s="9">
        <f>=IFERROR(VLOOKUP(D461,Lists!$A:$B,2,0),"")</f>
      </c>
      <c r="F461" s="10"/>
      <c r="G461" s="11">
        <f>=SUMIF($C$16:$C$501,C461,$F$16:$F$501)</f>
      </c>
      <c r="H461" s="12">
        <f>=F461/3600</f>
      </c>
      <c r="I461" s="13">
        <f>=IFERROR(INDEX(Lists!$C:$C,MATCH(J461,Lists!$D:$D,0)),"")</f>
      </c>
      <c r="J461" s="15">
        <f>=IFERROR(INDEX($J$16:J460,MATCH(C461,$C$16:C460,0)),"")</f>
      </c>
    </row>
    <row r="462" ht="18" customHeight="1" spans="1:10" x14ac:dyDescent="0.25">
      <c r="A462" s="8"/>
      <c r="B462" s="8"/>
      <c r="C462" s="8"/>
      <c r="D462" s="8"/>
      <c r="E462" s="9">
        <f>=IFERROR(VLOOKUP(D462,Lists!$A:$B,2,0),"")</f>
      </c>
      <c r="F462" s="10"/>
      <c r="G462" s="11">
        <f>=SUMIF($C$16:$C$501,C462,$F$16:$F$501)</f>
      </c>
      <c r="H462" s="12">
        <f>=F462/3600</f>
      </c>
      <c r="I462" s="13">
        <f>=IFERROR(INDEX(Lists!$C:$C,MATCH(J462,Lists!$D:$D,0)),"")</f>
      </c>
      <c r="J462" s="15">
        <f>=IFERROR(INDEX($J$16:J461,MATCH(C462,$C$16:C461,0)),"")</f>
      </c>
    </row>
    <row r="463" ht="18" customHeight="1" spans="1:10" x14ac:dyDescent="0.25">
      <c r="A463" s="8"/>
      <c r="B463" s="8"/>
      <c r="C463" s="8"/>
      <c r="D463" s="8"/>
      <c r="E463" s="9">
        <f>=IFERROR(VLOOKUP(D463,Lists!$A:$B,2,0),"")</f>
      </c>
      <c r="F463" s="10"/>
      <c r="G463" s="11">
        <f>=SUMIF($C$16:$C$501,C463,$F$16:$F$501)</f>
      </c>
      <c r="H463" s="12">
        <f>=F463/3600</f>
      </c>
      <c r="I463" s="13">
        <f>=IFERROR(INDEX(Lists!$C:$C,MATCH(J463,Lists!$D:$D,0)),"")</f>
      </c>
      <c r="J463" s="15">
        <f>=IFERROR(INDEX($J$16:J462,MATCH(C463,$C$16:C462,0)),"")</f>
      </c>
    </row>
    <row r="464" ht="18" customHeight="1" spans="1:10" x14ac:dyDescent="0.25">
      <c r="A464" s="8"/>
      <c r="B464" s="8"/>
      <c r="C464" s="8"/>
      <c r="D464" s="8"/>
      <c r="E464" s="9">
        <f>=IFERROR(VLOOKUP(D464,Lists!$A:$B,2,0),"")</f>
      </c>
      <c r="F464" s="10"/>
      <c r="G464" s="11">
        <f>=SUMIF($C$16:$C$501,C464,$F$16:$F$501)</f>
      </c>
      <c r="H464" s="12">
        <f>=F464/3600</f>
      </c>
      <c r="I464" s="13">
        <f>=IFERROR(INDEX(Lists!$C:$C,MATCH(J464,Lists!$D:$D,0)),"")</f>
      </c>
      <c r="J464" s="15">
        <f>=IFERROR(INDEX($J$16:J463,MATCH(C464,$C$16:C463,0)),"")</f>
      </c>
    </row>
    <row r="465" ht="18" customHeight="1" spans="1:10" x14ac:dyDescent="0.25">
      <c r="A465" s="8"/>
      <c r="B465" s="8"/>
      <c r="C465" s="8"/>
      <c r="D465" s="8"/>
      <c r="E465" s="9">
        <f>=IFERROR(VLOOKUP(D465,Lists!$A:$B,2,0),"")</f>
      </c>
      <c r="F465" s="10"/>
      <c r="G465" s="11">
        <f>=SUMIF($C$16:$C$501,C465,$F$16:$F$501)</f>
      </c>
      <c r="H465" s="12">
        <f>=F465/3600</f>
      </c>
      <c r="I465" s="13">
        <f>=IFERROR(INDEX(Lists!$C:$C,MATCH(J465,Lists!$D:$D,0)),"")</f>
      </c>
      <c r="J465" s="15">
        <f>=IFERROR(INDEX($J$16:J464,MATCH(C465,$C$16:C464,0)),"")</f>
      </c>
    </row>
    <row r="466" ht="18" customHeight="1" spans="1:10" x14ac:dyDescent="0.25">
      <c r="A466" s="8"/>
      <c r="B466" s="8"/>
      <c r="C466" s="8"/>
      <c r="D466" s="8"/>
      <c r="E466" s="9">
        <f>=IFERROR(VLOOKUP(D466,Lists!$A:$B,2,0),"")</f>
      </c>
      <c r="F466" s="10"/>
      <c r="G466" s="11">
        <f>=SUMIF($C$16:$C$501,C466,$F$16:$F$501)</f>
      </c>
      <c r="H466" s="12">
        <f>=F466/3600</f>
      </c>
      <c r="I466" s="13">
        <f>=IFERROR(INDEX(Lists!$C:$C,MATCH(J466,Lists!$D:$D,0)),"")</f>
      </c>
      <c r="J466" s="15">
        <f>=IFERROR(INDEX($J$16:J465,MATCH(C466,$C$16:C465,0)),"")</f>
      </c>
    </row>
    <row r="467" ht="18" customHeight="1" spans="1:10" x14ac:dyDescent="0.25">
      <c r="A467" s="8"/>
      <c r="B467" s="8"/>
      <c r="C467" s="8"/>
      <c r="D467" s="8"/>
      <c r="E467" s="9">
        <f>=IFERROR(VLOOKUP(D467,Lists!$A:$B,2,0),"")</f>
      </c>
      <c r="F467" s="10"/>
      <c r="G467" s="11">
        <f>=SUMIF($C$16:$C$501,C467,$F$16:$F$501)</f>
      </c>
      <c r="H467" s="12">
        <f>=F467/3600</f>
      </c>
      <c r="I467" s="13">
        <f>=IFERROR(INDEX(Lists!$C:$C,MATCH(J467,Lists!$D:$D,0)),"")</f>
      </c>
      <c r="J467" s="15">
        <f>=IFERROR(INDEX($J$16:J466,MATCH(C467,$C$16:C466,0)),"")</f>
      </c>
    </row>
    <row r="468" ht="18" customHeight="1" spans="1:10" x14ac:dyDescent="0.25">
      <c r="A468" s="8"/>
      <c r="B468" s="8"/>
      <c r="C468" s="8"/>
      <c r="D468" s="8"/>
      <c r="E468" s="9">
        <f>=IFERROR(VLOOKUP(D468,Lists!$A:$B,2,0),"")</f>
      </c>
      <c r="F468" s="10"/>
      <c r="G468" s="11">
        <f>=SUMIF($C$16:$C$501,C468,$F$16:$F$501)</f>
      </c>
      <c r="H468" s="12">
        <f>=F468/3600</f>
      </c>
      <c r="I468" s="13">
        <f>=IFERROR(INDEX(Lists!$C:$C,MATCH(J468,Lists!$D:$D,0)),"")</f>
      </c>
      <c r="J468" s="15">
        <f>=IFERROR(INDEX($J$16:J467,MATCH(C468,$C$16:C467,0)),"")</f>
      </c>
    </row>
    <row r="469" ht="18" customHeight="1" spans="1:10" x14ac:dyDescent="0.25">
      <c r="A469" s="8"/>
      <c r="B469" s="8"/>
      <c r="C469" s="8"/>
      <c r="D469" s="8"/>
      <c r="E469" s="9">
        <f>=IFERROR(VLOOKUP(D469,Lists!$A:$B,2,0),"")</f>
      </c>
      <c r="F469" s="10"/>
      <c r="G469" s="11">
        <f>=SUMIF($C$16:$C$501,C469,$F$16:$F$501)</f>
      </c>
      <c r="H469" s="12">
        <f>=F469/3600</f>
      </c>
      <c r="I469" s="13">
        <f>=IFERROR(INDEX(Lists!$C:$C,MATCH(J469,Lists!$D:$D,0)),"")</f>
      </c>
      <c r="J469" s="15">
        <f>=IFERROR(INDEX($J$16:J468,MATCH(C469,$C$16:C468,0)),"")</f>
      </c>
    </row>
    <row r="470" ht="18" customHeight="1" spans="1:10" x14ac:dyDescent="0.25">
      <c r="A470" s="8"/>
      <c r="B470" s="8"/>
      <c r="C470" s="8"/>
      <c r="D470" s="8"/>
      <c r="E470" s="9">
        <f>=IFERROR(VLOOKUP(D470,Lists!$A:$B,2,0),"")</f>
      </c>
      <c r="F470" s="10"/>
      <c r="G470" s="11">
        <f>=SUMIF($C$16:$C$501,C470,$F$16:$F$501)</f>
      </c>
      <c r="H470" s="12">
        <f>=F470/3600</f>
      </c>
      <c r="I470" s="13">
        <f>=IFERROR(INDEX(Lists!$C:$C,MATCH(J470,Lists!$D:$D,0)),"")</f>
      </c>
      <c r="J470" s="15">
        <f>=IFERROR(INDEX($J$16:J469,MATCH(C470,$C$16:C469,0)),"")</f>
      </c>
    </row>
    <row r="471" ht="18" customHeight="1" spans="1:10" x14ac:dyDescent="0.25">
      <c r="A471" s="8"/>
      <c r="B471" s="8"/>
      <c r="C471" s="8"/>
      <c r="D471" s="8"/>
      <c r="E471" s="9">
        <f>=IFERROR(VLOOKUP(D471,Lists!$A:$B,2,0),"")</f>
      </c>
      <c r="F471" s="10"/>
      <c r="G471" s="11">
        <f>=SUMIF($C$16:$C$501,C471,$F$16:$F$501)</f>
      </c>
      <c r="H471" s="12">
        <f>=F471/3600</f>
      </c>
      <c r="I471" s="13">
        <f>=IFERROR(INDEX(Lists!$C:$C,MATCH(J471,Lists!$D:$D,0)),"")</f>
      </c>
      <c r="J471" s="15">
        <f>=IFERROR(INDEX($J$16:J470,MATCH(C471,$C$16:C470,0)),"")</f>
      </c>
    </row>
    <row r="472" ht="18" customHeight="1" spans="1:10" x14ac:dyDescent="0.25">
      <c r="A472" s="8"/>
      <c r="B472" s="8"/>
      <c r="C472" s="8"/>
      <c r="D472" s="8"/>
      <c r="E472" s="9">
        <f>=IFERROR(VLOOKUP(D472,Lists!$A:$B,2,0),"")</f>
      </c>
      <c r="F472" s="10"/>
      <c r="G472" s="11">
        <f>=SUMIF($C$16:$C$501,C472,$F$16:$F$501)</f>
      </c>
      <c r="H472" s="12">
        <f>=F472/3600</f>
      </c>
      <c r="I472" s="13">
        <f>=IFERROR(INDEX(Lists!$C:$C,MATCH(J472,Lists!$D:$D,0)),"")</f>
      </c>
      <c r="J472" s="15">
        <f>=IFERROR(INDEX($J$16:J471,MATCH(C472,$C$16:C471,0)),"")</f>
      </c>
    </row>
    <row r="473" ht="18" customHeight="1" spans="1:10" x14ac:dyDescent="0.25">
      <c r="A473" s="8"/>
      <c r="B473" s="8"/>
      <c r="C473" s="8"/>
      <c r="D473" s="8"/>
      <c r="E473" s="9">
        <f>=IFERROR(VLOOKUP(D473,Lists!$A:$B,2,0),"")</f>
      </c>
      <c r="F473" s="10"/>
      <c r="G473" s="11">
        <f>=SUMIF($C$16:$C$501,C473,$F$16:$F$501)</f>
      </c>
      <c r="H473" s="12">
        <f>=F473/3600</f>
      </c>
      <c r="I473" s="13">
        <f>=IFERROR(INDEX(Lists!$C:$C,MATCH(J473,Lists!$D:$D,0)),"")</f>
      </c>
      <c r="J473" s="15">
        <f>=IFERROR(INDEX($J$16:J472,MATCH(C473,$C$16:C472,0)),"")</f>
      </c>
    </row>
    <row r="474" ht="18" customHeight="1" spans="1:10" x14ac:dyDescent="0.25">
      <c r="A474" s="8"/>
      <c r="B474" s="8"/>
      <c r="C474" s="8"/>
      <c r="D474" s="8"/>
      <c r="E474" s="9">
        <f>=IFERROR(VLOOKUP(D474,Lists!$A:$B,2,0),"")</f>
      </c>
      <c r="F474" s="10"/>
      <c r="G474" s="11">
        <f>=SUMIF($C$16:$C$501,C474,$F$16:$F$501)</f>
      </c>
      <c r="H474" s="12">
        <f>=F474/3600</f>
      </c>
      <c r="I474" s="13">
        <f>=IFERROR(INDEX(Lists!$C:$C,MATCH(J474,Lists!$D:$D,0)),"")</f>
      </c>
      <c r="J474" s="15">
        <f>=IFERROR(INDEX($J$16:J473,MATCH(C474,$C$16:C473,0)),"")</f>
      </c>
    </row>
    <row r="475" ht="18" customHeight="1" spans="1:10" x14ac:dyDescent="0.25">
      <c r="A475" s="8"/>
      <c r="B475" s="8"/>
      <c r="C475" s="8"/>
      <c r="D475" s="8"/>
      <c r="E475" s="9">
        <f>=IFERROR(VLOOKUP(D475,Lists!$A:$B,2,0),"")</f>
      </c>
      <c r="F475" s="10"/>
      <c r="G475" s="11">
        <f>=SUMIF($C$16:$C$501,C475,$F$16:$F$501)</f>
      </c>
      <c r="H475" s="12">
        <f>=F475/3600</f>
      </c>
      <c r="I475" s="13">
        <f>=IFERROR(INDEX(Lists!$C:$C,MATCH(J475,Lists!$D:$D,0)),"")</f>
      </c>
      <c r="J475" s="15">
        <f>=IFERROR(INDEX($J$16:J474,MATCH(C475,$C$16:C474,0)),"")</f>
      </c>
    </row>
    <row r="476" ht="18" customHeight="1" spans="1:10" x14ac:dyDescent="0.25">
      <c r="A476" s="8"/>
      <c r="B476" s="8"/>
      <c r="C476" s="8"/>
      <c r="D476" s="8"/>
      <c r="E476" s="9">
        <f>=IFERROR(VLOOKUP(D476,Lists!$A:$B,2,0),"")</f>
      </c>
      <c r="F476" s="10"/>
      <c r="G476" s="11">
        <f>=SUMIF($C$16:$C$501,C476,$F$16:$F$501)</f>
      </c>
      <c r="H476" s="12">
        <f>=F476/3600</f>
      </c>
      <c r="I476" s="13">
        <f>=IFERROR(INDEX(Lists!$C:$C,MATCH(J476,Lists!$D:$D,0)),"")</f>
      </c>
      <c r="J476" s="15">
        <f>=IFERROR(INDEX($J$16:J475,MATCH(C476,$C$16:C475,0)),"")</f>
      </c>
    </row>
    <row r="477" ht="18" customHeight="1" spans="1:10" x14ac:dyDescent="0.25">
      <c r="A477" s="8"/>
      <c r="B477" s="8"/>
      <c r="C477" s="8"/>
      <c r="D477" s="8"/>
      <c r="E477" s="9">
        <f>=IFERROR(VLOOKUP(D477,Lists!$A:$B,2,0),"")</f>
      </c>
      <c r="F477" s="10"/>
      <c r="G477" s="11">
        <f>=SUMIF($C$16:$C$501,C477,$F$16:$F$501)</f>
      </c>
      <c r="H477" s="12">
        <f>=F477/3600</f>
      </c>
      <c r="I477" s="13">
        <f>=IFERROR(INDEX(Lists!$C:$C,MATCH(J477,Lists!$D:$D,0)),"")</f>
      </c>
      <c r="J477" s="15">
        <f>=IFERROR(INDEX($J$16:J476,MATCH(C477,$C$16:C476,0)),"")</f>
      </c>
    </row>
    <row r="478" ht="18" customHeight="1" spans="1:10" x14ac:dyDescent="0.25">
      <c r="A478" s="8"/>
      <c r="B478" s="8"/>
      <c r="C478" s="8"/>
      <c r="D478" s="8"/>
      <c r="E478" s="9">
        <f>=IFERROR(VLOOKUP(D478,Lists!$A:$B,2,0),"")</f>
      </c>
      <c r="F478" s="10"/>
      <c r="G478" s="11">
        <f>=SUMIF($C$16:$C$501,C478,$F$16:$F$501)</f>
      </c>
      <c r="H478" s="12">
        <f>=F478/3600</f>
      </c>
      <c r="I478" s="13">
        <f>=IFERROR(INDEX(Lists!$C:$C,MATCH(J478,Lists!$D:$D,0)),"")</f>
      </c>
      <c r="J478" s="15">
        <f>=IFERROR(INDEX($J$16:J477,MATCH(C478,$C$16:C477,0)),"")</f>
      </c>
    </row>
    <row r="479" ht="18" customHeight="1" spans="1:10" x14ac:dyDescent="0.25">
      <c r="A479" s="8"/>
      <c r="B479" s="8"/>
      <c r="C479" s="8"/>
      <c r="D479" s="8"/>
      <c r="E479" s="9">
        <f>=IFERROR(VLOOKUP(D479,Lists!$A:$B,2,0),"")</f>
      </c>
      <c r="F479" s="10"/>
      <c r="G479" s="11">
        <f>=SUMIF($C$16:$C$501,C479,$F$16:$F$501)</f>
      </c>
      <c r="H479" s="12">
        <f>=F479/3600</f>
      </c>
      <c r="I479" s="13">
        <f>=IFERROR(INDEX(Lists!$C:$C,MATCH(J479,Lists!$D:$D,0)),"")</f>
      </c>
      <c r="J479" s="15">
        <f>=IFERROR(INDEX($J$16:J478,MATCH(C479,$C$16:C478,0)),"")</f>
      </c>
    </row>
    <row r="480" ht="18" customHeight="1" spans="1:10" x14ac:dyDescent="0.25">
      <c r="A480" s="8"/>
      <c r="B480" s="8"/>
      <c r="C480" s="8"/>
      <c r="D480" s="8"/>
      <c r="E480" s="9">
        <f>=IFERROR(VLOOKUP(D480,Lists!$A:$B,2,0),"")</f>
      </c>
      <c r="F480" s="10"/>
      <c r="G480" s="11">
        <f>=SUMIF($C$16:$C$501,C480,$F$16:$F$501)</f>
      </c>
      <c r="H480" s="12">
        <f>=F480/3600</f>
      </c>
      <c r="I480" s="13">
        <f>=IFERROR(INDEX(Lists!$C:$C,MATCH(J480,Lists!$D:$D,0)),"")</f>
      </c>
      <c r="J480" s="15">
        <f>=IFERROR(INDEX($J$16:J479,MATCH(C480,$C$16:C479,0)),"")</f>
      </c>
    </row>
    <row r="481" ht="18" customHeight="1" spans="1:10" x14ac:dyDescent="0.25">
      <c r="A481" s="8"/>
      <c r="B481" s="8"/>
      <c r="C481" s="8"/>
      <c r="D481" s="8"/>
      <c r="E481" s="9">
        <f>=IFERROR(VLOOKUP(D481,Lists!$A:$B,2,0),"")</f>
      </c>
      <c r="F481" s="10"/>
      <c r="G481" s="11">
        <f>=SUMIF($C$16:$C$501,C481,$F$16:$F$501)</f>
      </c>
      <c r="H481" s="12">
        <f>=F481/3600</f>
      </c>
      <c r="I481" s="13">
        <f>=IFERROR(INDEX(Lists!$C:$C,MATCH(J481,Lists!$D:$D,0)),"")</f>
      </c>
      <c r="J481" s="15">
        <f>=IFERROR(INDEX($J$16:J480,MATCH(C481,$C$16:C480,0)),"")</f>
      </c>
    </row>
    <row r="482" ht="18" customHeight="1" spans="1:10" x14ac:dyDescent="0.25">
      <c r="A482" s="8"/>
      <c r="B482" s="8"/>
      <c r="C482" s="8"/>
      <c r="D482" s="8"/>
      <c r="E482" s="9">
        <f>=IFERROR(VLOOKUP(D482,Lists!$A:$B,2,0),"")</f>
      </c>
      <c r="F482" s="10"/>
      <c r="G482" s="11">
        <f>=SUMIF($C$16:$C$501,C482,$F$16:$F$501)</f>
      </c>
      <c r="H482" s="12">
        <f>=F482/3600</f>
      </c>
      <c r="I482" s="13">
        <f>=IFERROR(INDEX(Lists!$C:$C,MATCH(J482,Lists!$D:$D,0)),"")</f>
      </c>
      <c r="J482" s="15">
        <f>=IFERROR(INDEX($J$16:J481,MATCH(C482,$C$16:C481,0)),"")</f>
      </c>
    </row>
    <row r="483" ht="18" customHeight="1" spans="1:10" x14ac:dyDescent="0.25">
      <c r="A483" s="8"/>
      <c r="B483" s="8"/>
      <c r="C483" s="8"/>
      <c r="D483" s="8"/>
      <c r="E483" s="9">
        <f>=IFERROR(VLOOKUP(D483,Lists!$A:$B,2,0),"")</f>
      </c>
      <c r="F483" s="10"/>
      <c r="G483" s="11">
        <f>=SUMIF($C$16:$C$501,C483,$F$16:$F$501)</f>
      </c>
      <c r="H483" s="12">
        <f>=F483/3600</f>
      </c>
      <c r="I483" s="13">
        <f>=IFERROR(INDEX(Lists!$C:$C,MATCH(J483,Lists!$D:$D,0)),"")</f>
      </c>
      <c r="J483" s="15">
        <f>=IFERROR(INDEX($J$16:J482,MATCH(C483,$C$16:C482,0)),"")</f>
      </c>
    </row>
    <row r="484" ht="18" customHeight="1" spans="1:10" x14ac:dyDescent="0.25">
      <c r="A484" s="8"/>
      <c r="B484" s="8"/>
      <c r="C484" s="8"/>
      <c r="D484" s="8"/>
      <c r="E484" s="9">
        <f>=IFERROR(VLOOKUP(D484,Lists!$A:$B,2,0),"")</f>
      </c>
      <c r="F484" s="10"/>
      <c r="G484" s="11">
        <f>=SUMIF($C$16:$C$501,C484,$F$16:$F$501)</f>
      </c>
      <c r="H484" s="12">
        <f>=F484/3600</f>
      </c>
      <c r="I484" s="13">
        <f>=IFERROR(INDEX(Lists!$C:$C,MATCH(J484,Lists!$D:$D,0)),"")</f>
      </c>
      <c r="J484" s="15">
        <f>=IFERROR(INDEX($J$16:J483,MATCH(C484,$C$16:C483,0)),"")</f>
      </c>
    </row>
    <row r="485" ht="18" customHeight="1" spans="1:10" x14ac:dyDescent="0.25">
      <c r="A485" s="8"/>
      <c r="B485" s="8"/>
      <c r="C485" s="8"/>
      <c r="D485" s="8"/>
      <c r="E485" s="9">
        <f>=IFERROR(VLOOKUP(D485,Lists!$A:$B,2,0),"")</f>
      </c>
      <c r="F485" s="10"/>
      <c r="G485" s="11">
        <f>=SUMIF($C$16:$C$501,C485,$F$16:$F$501)</f>
      </c>
      <c r="H485" s="12">
        <f>=F485/3600</f>
      </c>
      <c r="I485" s="13">
        <f>=IFERROR(INDEX(Lists!$C:$C,MATCH(J485,Lists!$D:$D,0)),"")</f>
      </c>
      <c r="J485" s="15">
        <f>=IFERROR(INDEX($J$16:J484,MATCH(C485,$C$16:C484,0)),"")</f>
      </c>
    </row>
    <row r="486" ht="18" customHeight="1" spans="1:10" x14ac:dyDescent="0.25">
      <c r="A486" s="8"/>
      <c r="B486" s="8"/>
      <c r="C486" s="8"/>
      <c r="D486" s="8"/>
      <c r="E486" s="9">
        <f>=IFERROR(VLOOKUP(D486,Lists!$A:$B,2,0),"")</f>
      </c>
      <c r="F486" s="10"/>
      <c r="G486" s="11">
        <f>=SUMIF($C$16:$C$501,C486,$F$16:$F$501)</f>
      </c>
      <c r="H486" s="12">
        <f>=F486/3600</f>
      </c>
      <c r="I486" s="13">
        <f>=IFERROR(INDEX(Lists!$C:$C,MATCH(J486,Lists!$D:$D,0)),"")</f>
      </c>
      <c r="J486" s="15">
        <f>=IFERROR(INDEX($J$16:J485,MATCH(C486,$C$16:C485,0)),"")</f>
      </c>
    </row>
    <row r="487" ht="18" customHeight="1" spans="1:10" x14ac:dyDescent="0.25">
      <c r="A487" s="8"/>
      <c r="B487" s="8"/>
      <c r="C487" s="8"/>
      <c r="D487" s="8"/>
      <c r="E487" s="9">
        <f>=IFERROR(VLOOKUP(D487,Lists!$A:$B,2,0),"")</f>
      </c>
      <c r="F487" s="10"/>
      <c r="G487" s="11">
        <f>=SUMIF($C$16:$C$501,C487,$F$16:$F$501)</f>
      </c>
      <c r="H487" s="12">
        <f>=F487/3600</f>
      </c>
      <c r="I487" s="13">
        <f>=IFERROR(INDEX(Lists!$C:$C,MATCH(J487,Lists!$D:$D,0)),"")</f>
      </c>
      <c r="J487" s="15">
        <f>=IFERROR(INDEX($J$16:J486,MATCH(C487,$C$16:C486,0)),"")</f>
      </c>
    </row>
    <row r="488" ht="18" customHeight="1" spans="1:10" x14ac:dyDescent="0.25">
      <c r="A488" s="8"/>
      <c r="B488" s="8"/>
      <c r="C488" s="8"/>
      <c r="D488" s="8"/>
      <c r="E488" s="9">
        <f>=IFERROR(VLOOKUP(D488,Lists!$A:$B,2,0),"")</f>
      </c>
      <c r="F488" s="10"/>
      <c r="G488" s="11">
        <f>=SUMIF($C$16:$C$501,C488,$F$16:$F$501)</f>
      </c>
      <c r="H488" s="12">
        <f>=F488/3600</f>
      </c>
      <c r="I488" s="13">
        <f>=IFERROR(INDEX(Lists!$C:$C,MATCH(J488,Lists!$D:$D,0)),"")</f>
      </c>
      <c r="J488" s="15">
        <f>=IFERROR(INDEX($J$16:J487,MATCH(C488,$C$16:C487,0)),"")</f>
      </c>
    </row>
    <row r="489" ht="18" customHeight="1" spans="1:10" x14ac:dyDescent="0.25">
      <c r="A489" s="8"/>
      <c r="B489" s="8"/>
      <c r="C489" s="8"/>
      <c r="D489" s="8"/>
      <c r="E489" s="9">
        <f>=IFERROR(VLOOKUP(D489,Lists!$A:$B,2,0),"")</f>
      </c>
      <c r="F489" s="10"/>
      <c r="G489" s="11">
        <f>=SUMIF($C$16:$C$501,C489,$F$16:$F$501)</f>
      </c>
      <c r="H489" s="12">
        <f>=F489/3600</f>
      </c>
      <c r="I489" s="13">
        <f>=IFERROR(INDEX(Lists!$C:$C,MATCH(J489,Lists!$D:$D,0)),"")</f>
      </c>
      <c r="J489" s="15">
        <f>=IFERROR(INDEX($J$16:J488,MATCH(C489,$C$16:C488,0)),"")</f>
      </c>
    </row>
    <row r="490" ht="18" customHeight="1" spans="1:10" x14ac:dyDescent="0.25">
      <c r="A490" s="8"/>
      <c r="B490" s="8"/>
      <c r="C490" s="8"/>
      <c r="D490" s="8"/>
      <c r="E490" s="9">
        <f>=IFERROR(VLOOKUP(D490,Lists!$A:$B,2,0),"")</f>
      </c>
      <c r="F490" s="10"/>
      <c r="G490" s="11">
        <f>=SUMIF($C$16:$C$501,C490,$F$16:$F$501)</f>
      </c>
      <c r="H490" s="12">
        <f>=F490/3600</f>
      </c>
      <c r="I490" s="13">
        <f>=IFERROR(INDEX(Lists!$C:$C,MATCH(J490,Lists!$D:$D,0)),"")</f>
      </c>
      <c r="J490" s="15">
        <f>=IFERROR(INDEX($J$16:J489,MATCH(C490,$C$16:C489,0)),"")</f>
      </c>
    </row>
    <row r="491" ht="18" customHeight="1" spans="1:10" x14ac:dyDescent="0.25">
      <c r="A491" s="8"/>
      <c r="B491" s="8"/>
      <c r="C491" s="8"/>
      <c r="D491" s="8"/>
      <c r="E491" s="9">
        <f>=IFERROR(VLOOKUP(D491,Lists!$A:$B,2,0),"")</f>
      </c>
      <c r="F491" s="10"/>
      <c r="G491" s="11">
        <f>=SUMIF($C$16:$C$501,C491,$F$16:$F$501)</f>
      </c>
      <c r="H491" s="12">
        <f>=F491/3600</f>
      </c>
      <c r="I491" s="13">
        <f>=IFERROR(INDEX(Lists!$C:$C,MATCH(J491,Lists!$D:$D,0)),"")</f>
      </c>
      <c r="J491" s="15">
        <f>=IFERROR(INDEX($J$16:J490,MATCH(C491,$C$16:C490,0)),"")</f>
      </c>
    </row>
    <row r="492" ht="18" customHeight="1" spans="1:10" x14ac:dyDescent="0.25">
      <c r="A492" s="8"/>
      <c r="B492" s="8"/>
      <c r="C492" s="8"/>
      <c r="D492" s="8"/>
      <c r="E492" s="9">
        <f>=IFERROR(VLOOKUP(D492,Lists!$A:$B,2,0),"")</f>
      </c>
      <c r="F492" s="10"/>
      <c r="G492" s="11">
        <f>=SUMIF($C$16:$C$501,C492,$F$16:$F$501)</f>
      </c>
      <c r="H492" s="12">
        <f>=F492/3600</f>
      </c>
      <c r="I492" s="13">
        <f>=IFERROR(INDEX(Lists!$C:$C,MATCH(J492,Lists!$D:$D,0)),"")</f>
      </c>
      <c r="J492" s="15">
        <f>=IFERROR(INDEX($J$16:J491,MATCH(C492,$C$16:C491,0)),"")</f>
      </c>
    </row>
    <row r="493" ht="18" customHeight="1" spans="1:10" x14ac:dyDescent="0.25">
      <c r="A493" s="8"/>
      <c r="B493" s="8"/>
      <c r="C493" s="8"/>
      <c r="D493" s="8"/>
      <c r="E493" s="9">
        <f>=IFERROR(VLOOKUP(D493,Lists!$A:$B,2,0),"")</f>
      </c>
      <c r="F493" s="10"/>
      <c r="G493" s="11">
        <f>=SUMIF($C$16:$C$501,C493,$F$16:$F$501)</f>
      </c>
      <c r="H493" s="12">
        <f>=F493/3600</f>
      </c>
      <c r="I493" s="13">
        <f>=IFERROR(INDEX(Lists!$C:$C,MATCH(J493,Lists!$D:$D,0)),"")</f>
      </c>
      <c r="J493" s="15">
        <f>=IFERROR(INDEX($J$16:J492,MATCH(C493,$C$16:C492,0)),"")</f>
      </c>
    </row>
    <row r="494" ht="18" customHeight="1" spans="1:10" x14ac:dyDescent="0.25">
      <c r="A494" s="8"/>
      <c r="B494" s="8"/>
      <c r="C494" s="8"/>
      <c r="D494" s="8"/>
      <c r="E494" s="9">
        <f>=IFERROR(VLOOKUP(D494,Lists!$A:$B,2,0),"")</f>
      </c>
      <c r="F494" s="10"/>
      <c r="G494" s="11">
        <f>=SUMIF($C$16:$C$501,C494,$F$16:$F$501)</f>
      </c>
      <c r="H494" s="12">
        <f>=F494/3600</f>
      </c>
      <c r="I494" s="13">
        <f>=IFERROR(INDEX(Lists!$C:$C,MATCH(J494,Lists!$D:$D,0)),"")</f>
      </c>
      <c r="J494" s="15">
        <f>=IFERROR(INDEX($J$16:J493,MATCH(C494,$C$16:C493,0)),"")</f>
      </c>
    </row>
    <row r="495" ht="18" customHeight="1" spans="1:10" x14ac:dyDescent="0.25">
      <c r="A495" s="8"/>
      <c r="B495" s="8"/>
      <c r="C495" s="8"/>
      <c r="D495" s="8"/>
      <c r="E495" s="9">
        <f>=IFERROR(VLOOKUP(D495,Lists!$A:$B,2,0),"")</f>
      </c>
      <c r="F495" s="10"/>
      <c r="G495" s="11">
        <f>=SUMIF($C$16:$C$501,C495,$F$16:$F$501)</f>
      </c>
      <c r="H495" s="12">
        <f>=F495/3600</f>
      </c>
      <c r="I495" s="13">
        <f>=IFERROR(INDEX(Lists!$C:$C,MATCH(J495,Lists!$D:$D,0)),"")</f>
      </c>
      <c r="J495" s="15">
        <f>=IFERROR(INDEX($J$16:J494,MATCH(C495,$C$16:C494,0)),"")</f>
      </c>
    </row>
    <row r="496" ht="18" customHeight="1" spans="1:10" x14ac:dyDescent="0.25">
      <c r="A496" s="8"/>
      <c r="B496" s="8"/>
      <c r="C496" s="8"/>
      <c r="D496" s="8"/>
      <c r="E496" s="9">
        <f>=IFERROR(VLOOKUP(D496,Lists!$A:$B,2,0),"")</f>
      </c>
      <c r="F496" s="10"/>
      <c r="G496" s="11">
        <f>=SUMIF($C$16:$C$501,C496,$F$16:$F$501)</f>
      </c>
      <c r="H496" s="12">
        <f>=F496/3600</f>
      </c>
      <c r="I496" s="13">
        <f>=IFERROR(INDEX(Lists!$C:$C,MATCH(J496,Lists!$D:$D,0)),"")</f>
      </c>
      <c r="J496" s="15">
        <f>=IFERROR(INDEX($J$16:J495,MATCH(C496,$C$16:C495,0)),"")</f>
      </c>
    </row>
    <row r="497" ht="18" customHeight="1" spans="1:10" x14ac:dyDescent="0.25">
      <c r="A497" s="8"/>
      <c r="B497" s="8"/>
      <c r="C497" s="8"/>
      <c r="D497" s="8"/>
      <c r="E497" s="9">
        <f>=IFERROR(VLOOKUP(D497,Lists!$A:$B,2,0),"")</f>
      </c>
      <c r="F497" s="10"/>
      <c r="G497" s="11">
        <f>=SUMIF($C$16:$C$501,C497,$F$16:$F$501)</f>
      </c>
      <c r="H497" s="12">
        <f>=F497/3600</f>
      </c>
      <c r="I497" s="13">
        <f>=IFERROR(INDEX(Lists!$C:$C,MATCH(J497,Lists!$D:$D,0)),"")</f>
      </c>
      <c r="J497" s="15">
        <f>=IFERROR(INDEX($J$16:J496,MATCH(C497,$C$16:C496,0)),"")</f>
      </c>
    </row>
    <row r="498" ht="18" customHeight="1" spans="1:10" x14ac:dyDescent="0.25">
      <c r="A498" s="8"/>
      <c r="B498" s="8"/>
      <c r="C498" s="8"/>
      <c r="D498" s="8"/>
      <c r="E498" s="9">
        <f>=IFERROR(VLOOKUP(D498,Lists!$A:$B,2,0),"")</f>
      </c>
      <c r="F498" s="10"/>
      <c r="G498" s="11">
        <f>=SUMIF($C$16:$C$501,C498,$F$16:$F$501)</f>
      </c>
      <c r="H498" s="12">
        <f>=F498/3600</f>
      </c>
      <c r="I498" s="13">
        <f>=IFERROR(INDEX(Lists!$C:$C,MATCH(J498,Lists!$D:$D,0)),"")</f>
      </c>
      <c r="J498" s="15">
        <f>=IFERROR(INDEX($J$16:J497,MATCH(C498,$C$16:C497,0)),"")</f>
      </c>
    </row>
    <row r="499" ht="18" customHeight="1" spans="1:10" x14ac:dyDescent="0.25">
      <c r="A499" s="8"/>
      <c r="B499" s="8"/>
      <c r="C499" s="8"/>
      <c r="D499" s="8"/>
      <c r="E499" s="9">
        <f>=IFERROR(VLOOKUP(D499,Lists!$A:$B,2,0),"")</f>
      </c>
      <c r="F499" s="10"/>
      <c r="G499" s="11">
        <f>=SUMIF($C$16:$C$501,C499,$F$16:$F$501)</f>
      </c>
      <c r="H499" s="12">
        <f>=F499/3600</f>
      </c>
      <c r="I499" s="13">
        <f>=IFERROR(INDEX(Lists!$C:$C,MATCH(J499,Lists!$D:$D,0)),"")</f>
      </c>
      <c r="J499" s="15">
        <f>=IFERROR(INDEX($J$16:J498,MATCH(C499,$C$16:C498,0)),"")</f>
      </c>
    </row>
    <row r="500" ht="18" customHeight="1" spans="1:10" x14ac:dyDescent="0.25">
      <c r="A500" s="8"/>
      <c r="B500" s="8"/>
      <c r="C500" s="8"/>
      <c r="D500" s="8"/>
      <c r="E500" s="9">
        <f>=IFERROR(VLOOKUP(D500,Lists!$A:$B,2,0),"")</f>
      </c>
      <c r="F500" s="10"/>
      <c r="G500" s="11">
        <f>=SUMIF($C$16:$C$501,C500,$F$16:$F$501)</f>
      </c>
      <c r="H500" s="12">
        <f>=F500/3600</f>
      </c>
      <c r="I500" s="13">
        <f>=IFERROR(INDEX(Lists!$C:$C,MATCH(J500,Lists!$D:$D,0)),"")</f>
      </c>
      <c r="J500" s="15">
        <f>=IFERROR(INDEX($J$16:J499,MATCH(C500,$C$16:C499,0)),"")</f>
      </c>
    </row>
    <row r="501" ht="18" customHeight="1" spans="1:10" x14ac:dyDescent="0.25">
      <c r="A501" s="8"/>
      <c r="B501" s="8"/>
      <c r="C501" s="8"/>
      <c r="D501" s="8"/>
      <c r="E501" s="9">
        <f>=IFERROR(VLOOKUP(D501,Lists!$A:$B,2,0),"")</f>
      </c>
      <c r="F501" s="10"/>
      <c r="G501" s="11">
        <f>=SUMIF($C$16:$C$501,C501,$F$16:$F$501)</f>
      </c>
      <c r="H501" s="12">
        <f>=F501/3600</f>
      </c>
      <c r="I501" s="13">
        <f>=IFERROR(INDEX(Lists!$C:$C,MATCH(J501,Lists!$D:$D,0)),"")</f>
      </c>
      <c r="J501" s="15">
        <f>=IFERROR(INDEX($J$16:J500,MATCH(C501,$C$16:C500,0)),"")</f>
      </c>
    </row>
  </sheetData>
  <mergeCells count="12">
    <mergeCell ref="A1:J1"/>
    <mergeCell ref="C3:J3"/>
    <mergeCell ref="C4:J4"/>
    <mergeCell ref="C5:J5"/>
    <mergeCell ref="C6:J6"/>
    <mergeCell ref="C7:J7"/>
    <mergeCell ref="C8:J8"/>
    <mergeCell ref="C9:J9"/>
    <mergeCell ref="C10:J10"/>
    <mergeCell ref="C11:J11"/>
    <mergeCell ref="C12:J12"/>
    <mergeCell ref="C13:J13"/>
  </mergeCells>
  <dataValidations count="2">
    <dataValidation type="list" allowBlank="1" sqref="D16:D501">
      <formula1>Lists!$A$2:$A$85</formula1>
    </dataValidation>
    <dataValidation type="list" allowBlank="1" sqref="J16:J501">
      <formula1>Lists!$D$2:$D$225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FormatPr defaultRowHeight="15" outlineLevelRow="0" outlineLevelCol="0" x14ac:dyDescent="55"/>
  <cols>
    <col min="1" max="1" width="90" customWidth="1"/>
  </cols>
  <sheetData>
    <row r="1" spans="1:1" x14ac:dyDescent="0.25">
      <c r="A1" s="16" t="s">
        <v>60</v>
      </c>
    </row>
    <row r="2" spans="1:1" x14ac:dyDescent="0.25">
      <c r="A2" s="17" t="s">
        <v>17</v>
      </c>
    </row>
    <row r="3" spans="1:1" x14ac:dyDescent="0.25">
      <c r="A3" s="18" t="s">
        <v>61</v>
      </c>
    </row>
    <row r="4" spans="1:1" x14ac:dyDescent="0.25">
      <c r="A4" s="19" t="s">
        <v>62</v>
      </c>
    </row>
    <row r="5" spans="1:1" x14ac:dyDescent="0.25">
      <c r="A5" s="19" t="s">
        <v>63</v>
      </c>
    </row>
    <row r="6" spans="1:1" x14ac:dyDescent="0.25">
      <c r="A6" s="19" t="s">
        <v>64</v>
      </c>
    </row>
    <row r="7" spans="1:1" x14ac:dyDescent="0.25">
      <c r="A7" s="19" t="s">
        <v>65</v>
      </c>
    </row>
    <row r="8" spans="1:1" x14ac:dyDescent="0.25">
      <c r="A8" s="17" t="s">
        <v>17</v>
      </c>
    </row>
    <row r="9" spans="1:1" x14ac:dyDescent="0.25">
      <c r="A9" s="18" t="s">
        <v>66</v>
      </c>
    </row>
    <row r="10" spans="1:1" x14ac:dyDescent="0.25">
      <c r="A10" s="19" t="s">
        <v>67</v>
      </c>
    </row>
    <row r="11" spans="1:1" x14ac:dyDescent="0.25">
      <c r="A11" s="19" t="s">
        <v>68</v>
      </c>
    </row>
    <row r="12" spans="1:1" x14ac:dyDescent="0.25">
      <c r="A12" s="19" t="s">
        <v>69</v>
      </c>
    </row>
    <row r="13" spans="1:1" x14ac:dyDescent="0.25">
      <c r="A13" s="19" t="s">
        <v>70</v>
      </c>
    </row>
    <row r="14" spans="1:1" x14ac:dyDescent="0.25">
      <c r="A14" s="19" t="s">
        <v>71</v>
      </c>
    </row>
    <row r="15" spans="1:1" x14ac:dyDescent="0.25">
      <c r="A15" s="19" t="s">
        <v>72</v>
      </c>
    </row>
    <row r="16" spans="1:1" x14ac:dyDescent="0.25">
      <c r="A16" s="19" t="s">
        <v>73</v>
      </c>
    </row>
    <row r="17" spans="1:1" x14ac:dyDescent="0.25">
      <c r="A17" s="19" t="s">
        <v>74</v>
      </c>
    </row>
    <row r="18" spans="1:1" x14ac:dyDescent="0.25">
      <c r="A18" s="19" t="s">
        <v>75</v>
      </c>
    </row>
    <row r="19" spans="1:1" x14ac:dyDescent="0.25">
      <c r="A19" s="19" t="s">
        <v>76</v>
      </c>
    </row>
    <row r="20" spans="1:1" x14ac:dyDescent="0.25">
      <c r="A20" s="17" t="s">
        <v>17</v>
      </c>
    </row>
    <row r="21" spans="1:1" x14ac:dyDescent="0.25">
      <c r="A21" s="18" t="s">
        <v>77</v>
      </c>
    </row>
    <row r="22" spans="1:1" x14ac:dyDescent="0.25">
      <c r="A22" s="19" t="s">
        <v>78</v>
      </c>
    </row>
    <row r="23" spans="1:1" x14ac:dyDescent="0.25">
      <c r="A23" s="19" t="s">
        <v>79</v>
      </c>
    </row>
    <row r="24" spans="1:1" x14ac:dyDescent="0.25">
      <c r="A24" s="19" t="s">
        <v>80</v>
      </c>
    </row>
    <row r="25" spans="1:1" x14ac:dyDescent="0.25">
      <c r="A25" s="19" t="s">
        <v>81</v>
      </c>
    </row>
    <row r="26" spans="1:1" x14ac:dyDescent="0.25">
      <c r="A26" s="19" t="s">
        <v>82</v>
      </c>
    </row>
    <row r="27" spans="1:1" x14ac:dyDescent="0.25">
      <c r="A27" s="19" t="s">
        <v>83</v>
      </c>
    </row>
    <row r="28" spans="1:1" x14ac:dyDescent="0.25">
      <c r="A28" s="19" t="s">
        <v>84</v>
      </c>
    </row>
    <row r="29" spans="1:1" x14ac:dyDescent="0.25">
      <c r="A29" s="19" t="s">
        <v>85</v>
      </c>
    </row>
    <row r="30" spans="1:1" x14ac:dyDescent="0.25">
      <c r="A30" s="19" t="s">
        <v>86</v>
      </c>
    </row>
    <row r="31" spans="1:1" x14ac:dyDescent="0.25">
      <c r="A31" s="19" t="s">
        <v>87</v>
      </c>
    </row>
    <row r="32" spans="1:1" x14ac:dyDescent="0.25">
      <c r="A32" s="19" t="s">
        <v>88</v>
      </c>
    </row>
    <row r="33" spans="1:1" x14ac:dyDescent="0.25">
      <c r="A33" s="19" t="s">
        <v>89</v>
      </c>
    </row>
    <row r="34" spans="1:1" x14ac:dyDescent="0.25">
      <c r="A34" s="19" t="s">
        <v>90</v>
      </c>
    </row>
    <row r="35" spans="1:1" x14ac:dyDescent="0.25">
      <c r="A35" s="17" t="s">
        <v>17</v>
      </c>
    </row>
    <row r="36" spans="1:1" x14ac:dyDescent="0.25">
      <c r="A36" s="18" t="s">
        <v>91</v>
      </c>
    </row>
    <row r="37" spans="1:1" x14ac:dyDescent="0.25">
      <c r="A37" s="19" t="s">
        <v>92</v>
      </c>
    </row>
    <row r="38" spans="1:1" x14ac:dyDescent="0.25">
      <c r="A38" s="19" t="s">
        <v>93</v>
      </c>
    </row>
    <row r="39" spans="1:1" x14ac:dyDescent="0.25">
      <c r="A39" s="19" t="s">
        <v>94</v>
      </c>
    </row>
    <row r="40" spans="1:1" x14ac:dyDescent="0.25">
      <c r="A40" s="19" t="s">
        <v>95</v>
      </c>
    </row>
    <row r="41" spans="1:1" x14ac:dyDescent="0.25">
      <c r="A41" s="19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5"/>
  <sheetFormatPr defaultRowHeight="15" outlineLevelRow="0" outlineLevelCol="0" x14ac:dyDescent="55"/>
  <sheetData>
    <row r="1" spans="1:4" x14ac:dyDescent="0.25">
      <c r="A1" t="s">
        <v>33</v>
      </c>
      <c r="B1" t="s">
        <v>34</v>
      </c>
      <c r="C1" t="s">
        <v>97</v>
      </c>
      <c r="D1" t="s">
        <v>98</v>
      </c>
    </row>
    <row r="2" spans="1:4" x14ac:dyDescent="0.25">
      <c r="A2" t="s">
        <v>42</v>
      </c>
      <c r="B2" t="s">
        <v>99</v>
      </c>
      <c r="C2" t="s">
        <v>100</v>
      </c>
      <c r="D2" t="s">
        <v>101</v>
      </c>
    </row>
    <row r="3" spans="1:4" x14ac:dyDescent="0.25">
      <c r="A3" t="s">
        <v>43</v>
      </c>
      <c r="B3" t="s">
        <v>102</v>
      </c>
      <c r="C3" t="s">
        <v>103</v>
      </c>
      <c r="D3" t="s">
        <v>104</v>
      </c>
    </row>
    <row r="4" spans="1:4" x14ac:dyDescent="0.25">
      <c r="A4" t="s">
        <v>44</v>
      </c>
      <c r="B4" t="s">
        <v>105</v>
      </c>
      <c r="C4" t="s">
        <v>106</v>
      </c>
      <c r="D4" t="s">
        <v>107</v>
      </c>
    </row>
    <row r="5" spans="1:4" x14ac:dyDescent="0.25">
      <c r="A5" t="s">
        <v>45</v>
      </c>
      <c r="B5" t="s">
        <v>108</v>
      </c>
      <c r="C5" t="s">
        <v>109</v>
      </c>
      <c r="D5" t="s">
        <v>110</v>
      </c>
    </row>
    <row r="6" spans="1:4" x14ac:dyDescent="0.25">
      <c r="A6" t="s">
        <v>47</v>
      </c>
      <c r="B6" t="s">
        <v>111</v>
      </c>
      <c r="C6" t="s">
        <v>112</v>
      </c>
      <c r="D6" t="s">
        <v>113</v>
      </c>
    </row>
    <row r="7" spans="1:4" x14ac:dyDescent="0.25">
      <c r="A7" t="s">
        <v>48</v>
      </c>
      <c r="B7" t="s">
        <v>114</v>
      </c>
      <c r="C7" t="s">
        <v>115</v>
      </c>
      <c r="D7" t="s">
        <v>116</v>
      </c>
    </row>
    <row r="8" spans="1:4" x14ac:dyDescent="0.25">
      <c r="A8" t="s">
        <v>51</v>
      </c>
      <c r="B8" t="s">
        <v>117</v>
      </c>
      <c r="C8" t="s">
        <v>118</v>
      </c>
      <c r="D8" t="s">
        <v>119</v>
      </c>
    </row>
    <row r="9" spans="1:4" x14ac:dyDescent="0.25">
      <c r="A9" t="s">
        <v>52</v>
      </c>
      <c r="B9" t="s">
        <v>120</v>
      </c>
      <c r="C9" t="s">
        <v>121</v>
      </c>
      <c r="D9" t="s">
        <v>122</v>
      </c>
    </row>
    <row r="10" spans="1:4" x14ac:dyDescent="0.25">
      <c r="A10" t="s">
        <v>54</v>
      </c>
      <c r="B10" t="s">
        <v>123</v>
      </c>
      <c r="C10" t="s">
        <v>124</v>
      </c>
      <c r="D10" t="s">
        <v>125</v>
      </c>
    </row>
    <row r="11" spans="1:4" x14ac:dyDescent="0.25">
      <c r="A11" t="s">
        <v>57</v>
      </c>
      <c r="B11" t="s">
        <v>126</v>
      </c>
      <c r="C11" t="s">
        <v>127</v>
      </c>
      <c r="D11" t="s">
        <v>128</v>
      </c>
    </row>
    <row r="12" spans="1:4" x14ac:dyDescent="0.25">
      <c r="A12" t="s">
        <v>59</v>
      </c>
      <c r="B12" t="s">
        <v>129</v>
      </c>
      <c r="C12" t="s">
        <v>130</v>
      </c>
      <c r="D12" t="s">
        <v>131</v>
      </c>
    </row>
    <row r="13" spans="1:4" x14ac:dyDescent="0.25">
      <c r="A13" t="s">
        <v>132</v>
      </c>
      <c r="B13" t="s">
        <v>129</v>
      </c>
      <c r="C13" t="s">
        <v>133</v>
      </c>
      <c r="D13" t="s">
        <v>134</v>
      </c>
    </row>
    <row r="14" spans="1:4" x14ac:dyDescent="0.25">
      <c r="A14" t="s">
        <v>135</v>
      </c>
      <c r="B14" t="s">
        <v>129</v>
      </c>
      <c r="C14" t="s">
        <v>136</v>
      </c>
      <c r="D14" t="s">
        <v>137</v>
      </c>
    </row>
    <row r="15" spans="1:4" x14ac:dyDescent="0.25">
      <c r="A15" t="s">
        <v>138</v>
      </c>
      <c r="B15" t="s">
        <v>139</v>
      </c>
      <c r="C15" t="s">
        <v>140</v>
      </c>
      <c r="D15" t="s">
        <v>141</v>
      </c>
    </row>
    <row r="16" spans="1:4" x14ac:dyDescent="0.25">
      <c r="A16" t="s">
        <v>142</v>
      </c>
      <c r="B16" t="s">
        <v>143</v>
      </c>
      <c r="C16" t="s">
        <v>144</v>
      </c>
      <c r="D16" t="s">
        <v>145</v>
      </c>
    </row>
    <row r="17" spans="1:4" x14ac:dyDescent="0.25">
      <c r="A17" t="s">
        <v>146</v>
      </c>
      <c r="B17" t="s">
        <v>147</v>
      </c>
      <c r="C17" t="s">
        <v>148</v>
      </c>
      <c r="D17" t="s">
        <v>149</v>
      </c>
    </row>
    <row r="18" spans="1:4" x14ac:dyDescent="0.25">
      <c r="A18" t="s">
        <v>150</v>
      </c>
      <c r="B18" t="s">
        <v>151</v>
      </c>
      <c r="C18" t="s">
        <v>152</v>
      </c>
      <c r="D18" t="s">
        <v>153</v>
      </c>
    </row>
    <row r="19" spans="1:4" x14ac:dyDescent="0.25">
      <c r="A19" t="s">
        <v>154</v>
      </c>
      <c r="B19" t="s">
        <v>155</v>
      </c>
      <c r="C19" t="s">
        <v>156</v>
      </c>
      <c r="D19" t="s">
        <v>157</v>
      </c>
    </row>
    <row r="20" spans="1:4" x14ac:dyDescent="0.25">
      <c r="A20" t="s">
        <v>158</v>
      </c>
      <c r="B20" t="s">
        <v>159</v>
      </c>
      <c r="C20" t="s">
        <v>160</v>
      </c>
      <c r="D20" t="s">
        <v>161</v>
      </c>
    </row>
    <row r="21" spans="1:4" x14ac:dyDescent="0.25">
      <c r="A21" t="s">
        <v>162</v>
      </c>
      <c r="B21" t="s">
        <v>163</v>
      </c>
      <c r="C21" t="s">
        <v>164</v>
      </c>
      <c r="D21" t="s">
        <v>165</v>
      </c>
    </row>
    <row r="22" spans="1:4" x14ac:dyDescent="0.25">
      <c r="A22" t="s">
        <v>166</v>
      </c>
      <c r="B22" t="s">
        <v>167</v>
      </c>
      <c r="C22" t="s">
        <v>168</v>
      </c>
      <c r="D22" t="s">
        <v>169</v>
      </c>
    </row>
    <row r="23" spans="1:4" x14ac:dyDescent="0.25">
      <c r="A23" t="s">
        <v>170</v>
      </c>
      <c r="B23" t="s">
        <v>171</v>
      </c>
      <c r="C23" t="s">
        <v>172</v>
      </c>
      <c r="D23" t="s">
        <v>173</v>
      </c>
    </row>
    <row r="24" spans="1:4" x14ac:dyDescent="0.25">
      <c r="A24" t="s">
        <v>174</v>
      </c>
      <c r="B24" t="s">
        <v>175</v>
      </c>
      <c r="C24" t="s">
        <v>176</v>
      </c>
      <c r="D24" t="s">
        <v>177</v>
      </c>
    </row>
    <row r="25" spans="1:4" x14ac:dyDescent="0.25">
      <c r="A25" t="s">
        <v>178</v>
      </c>
      <c r="B25" t="s">
        <v>179</v>
      </c>
      <c r="C25" t="s">
        <v>180</v>
      </c>
      <c r="D25" t="s">
        <v>181</v>
      </c>
    </row>
    <row r="26" spans="1:4" x14ac:dyDescent="0.25">
      <c r="A26" t="s">
        <v>182</v>
      </c>
      <c r="B26" t="s">
        <v>183</v>
      </c>
      <c r="C26" t="s">
        <v>184</v>
      </c>
      <c r="D26" t="s">
        <v>185</v>
      </c>
    </row>
    <row r="27" spans="1:4" x14ac:dyDescent="0.25">
      <c r="A27" t="s">
        <v>186</v>
      </c>
      <c r="B27" t="s">
        <v>187</v>
      </c>
      <c r="C27" t="s">
        <v>188</v>
      </c>
      <c r="D27" t="s">
        <v>189</v>
      </c>
    </row>
    <row r="28" spans="1:4" x14ac:dyDescent="0.25">
      <c r="A28" t="s">
        <v>190</v>
      </c>
      <c r="B28" t="s">
        <v>191</v>
      </c>
      <c r="C28" t="s">
        <v>192</v>
      </c>
      <c r="D28" t="s">
        <v>193</v>
      </c>
    </row>
    <row r="29" spans="1:4" x14ac:dyDescent="0.25">
      <c r="A29" t="s">
        <v>194</v>
      </c>
      <c r="B29" t="s">
        <v>195</v>
      </c>
      <c r="C29" t="s">
        <v>196</v>
      </c>
      <c r="D29" t="s">
        <v>197</v>
      </c>
    </row>
    <row r="30" spans="1:4" x14ac:dyDescent="0.25">
      <c r="A30" t="s">
        <v>198</v>
      </c>
      <c r="B30" t="s">
        <v>199</v>
      </c>
      <c r="C30" t="s">
        <v>200</v>
      </c>
      <c r="D30" t="s">
        <v>201</v>
      </c>
    </row>
    <row r="31" spans="1:4" x14ac:dyDescent="0.25">
      <c r="A31" t="s">
        <v>202</v>
      </c>
      <c r="B31" t="s">
        <v>203</v>
      </c>
      <c r="C31" t="s">
        <v>204</v>
      </c>
      <c r="D31" t="s">
        <v>205</v>
      </c>
    </row>
    <row r="32" spans="1:4" x14ac:dyDescent="0.25">
      <c r="A32" t="s">
        <v>206</v>
      </c>
      <c r="B32" t="s">
        <v>207</v>
      </c>
      <c r="C32" t="s">
        <v>208</v>
      </c>
      <c r="D32" t="s">
        <v>209</v>
      </c>
    </row>
    <row r="33" spans="1:4" x14ac:dyDescent="0.25">
      <c r="A33" t="s">
        <v>210</v>
      </c>
      <c r="B33" t="s">
        <v>211</v>
      </c>
      <c r="C33" t="s">
        <v>212</v>
      </c>
      <c r="D33" t="s">
        <v>213</v>
      </c>
    </row>
    <row r="34" spans="1:4" x14ac:dyDescent="0.25">
      <c r="A34" t="s">
        <v>214</v>
      </c>
      <c r="B34" t="s">
        <v>215</v>
      </c>
      <c r="C34" t="s">
        <v>216</v>
      </c>
      <c r="D34" t="s">
        <v>217</v>
      </c>
    </row>
    <row r="35" spans="1:4" x14ac:dyDescent="0.25">
      <c r="A35" t="s">
        <v>218</v>
      </c>
      <c r="B35" t="s">
        <v>219</v>
      </c>
      <c r="C35" t="s">
        <v>220</v>
      </c>
      <c r="D35" t="s">
        <v>221</v>
      </c>
    </row>
    <row r="36" spans="1:4" x14ac:dyDescent="0.25">
      <c r="A36" t="s">
        <v>222</v>
      </c>
      <c r="B36" t="s">
        <v>223</v>
      </c>
      <c r="C36" t="s">
        <v>224</v>
      </c>
      <c r="D36" t="s">
        <v>225</v>
      </c>
    </row>
    <row r="37" spans="1:4" x14ac:dyDescent="0.25">
      <c r="A37" t="s">
        <v>226</v>
      </c>
      <c r="B37" t="s">
        <v>227</v>
      </c>
      <c r="C37" t="s">
        <v>228</v>
      </c>
      <c r="D37" t="s">
        <v>229</v>
      </c>
    </row>
    <row r="38" spans="1:4" x14ac:dyDescent="0.25">
      <c r="A38" t="s">
        <v>230</v>
      </c>
      <c r="B38" t="s">
        <v>231</v>
      </c>
      <c r="C38" t="s">
        <v>232</v>
      </c>
      <c r="D38" t="s">
        <v>233</v>
      </c>
    </row>
    <row r="39" spans="1:4" x14ac:dyDescent="0.25">
      <c r="A39" t="s">
        <v>234</v>
      </c>
      <c r="B39" t="s">
        <v>235</v>
      </c>
      <c r="C39" t="s">
        <v>236</v>
      </c>
      <c r="D39" t="s">
        <v>237</v>
      </c>
    </row>
    <row r="40" spans="1:4" x14ac:dyDescent="0.25">
      <c r="A40" t="s">
        <v>238</v>
      </c>
      <c r="B40" t="s">
        <v>239</v>
      </c>
      <c r="C40" t="s">
        <v>240</v>
      </c>
      <c r="D40" t="s">
        <v>241</v>
      </c>
    </row>
    <row r="41" spans="1:4" x14ac:dyDescent="0.25">
      <c r="A41" t="s">
        <v>242</v>
      </c>
      <c r="B41" t="s">
        <v>243</v>
      </c>
      <c r="C41" t="s">
        <v>244</v>
      </c>
      <c r="D41" t="s">
        <v>245</v>
      </c>
    </row>
    <row r="42" spans="1:4" x14ac:dyDescent="0.25">
      <c r="A42" t="s">
        <v>246</v>
      </c>
      <c r="B42" t="s">
        <v>247</v>
      </c>
      <c r="C42" t="s">
        <v>248</v>
      </c>
      <c r="D42" t="s">
        <v>249</v>
      </c>
    </row>
    <row r="43" spans="1:4" x14ac:dyDescent="0.25">
      <c r="A43" t="s">
        <v>250</v>
      </c>
      <c r="B43" t="s">
        <v>251</v>
      </c>
      <c r="C43" t="s">
        <v>252</v>
      </c>
      <c r="D43" t="s">
        <v>253</v>
      </c>
    </row>
    <row r="44" spans="1:4" x14ac:dyDescent="0.25">
      <c r="A44" t="s">
        <v>254</v>
      </c>
      <c r="B44" t="s">
        <v>255</v>
      </c>
      <c r="C44" t="s">
        <v>256</v>
      </c>
      <c r="D44" t="s">
        <v>257</v>
      </c>
    </row>
    <row r="45" spans="1:4" x14ac:dyDescent="0.25">
      <c r="A45" t="s">
        <v>258</v>
      </c>
      <c r="B45" t="s">
        <v>259</v>
      </c>
      <c r="C45" t="s">
        <v>260</v>
      </c>
      <c r="D45" t="s">
        <v>261</v>
      </c>
    </row>
    <row r="46" spans="1:4" x14ac:dyDescent="0.25">
      <c r="A46" t="s">
        <v>262</v>
      </c>
      <c r="B46" t="s">
        <v>263</v>
      </c>
      <c r="C46" t="s">
        <v>264</v>
      </c>
      <c r="D46" t="s">
        <v>261</v>
      </c>
    </row>
    <row r="47" spans="1:4" x14ac:dyDescent="0.25">
      <c r="A47" t="s">
        <v>265</v>
      </c>
      <c r="B47" t="s">
        <v>266</v>
      </c>
      <c r="C47" t="s">
        <v>267</v>
      </c>
      <c r="D47" t="s">
        <v>261</v>
      </c>
    </row>
    <row r="48" spans="1:4" x14ac:dyDescent="0.25">
      <c r="A48" t="s">
        <v>268</v>
      </c>
      <c r="B48" t="s">
        <v>269</v>
      </c>
      <c r="C48" t="s">
        <v>270</v>
      </c>
      <c r="D48" t="s">
        <v>271</v>
      </c>
    </row>
    <row r="49" spans="1:4" x14ac:dyDescent="0.25">
      <c r="A49" t="s">
        <v>272</v>
      </c>
      <c r="B49" t="s">
        <v>273</v>
      </c>
      <c r="C49" t="s">
        <v>274</v>
      </c>
      <c r="D49" t="s">
        <v>275</v>
      </c>
    </row>
    <row r="50" spans="1:4" x14ac:dyDescent="0.25">
      <c r="A50" t="s">
        <v>276</v>
      </c>
      <c r="B50" t="s">
        <v>277</v>
      </c>
      <c r="C50" t="s">
        <v>278</v>
      </c>
      <c r="D50" t="s">
        <v>279</v>
      </c>
    </row>
    <row r="51" spans="1:4" x14ac:dyDescent="0.25">
      <c r="A51" t="s">
        <v>280</v>
      </c>
      <c r="B51" t="s">
        <v>281</v>
      </c>
      <c r="C51" t="s">
        <v>282</v>
      </c>
      <c r="D51" t="s">
        <v>283</v>
      </c>
    </row>
    <row r="52" spans="1:4" x14ac:dyDescent="0.25">
      <c r="A52" t="s">
        <v>284</v>
      </c>
      <c r="B52" t="s">
        <v>285</v>
      </c>
      <c r="C52" t="s">
        <v>286</v>
      </c>
      <c r="D52" t="s">
        <v>287</v>
      </c>
    </row>
    <row r="53" spans="1:4" x14ac:dyDescent="0.25">
      <c r="A53" t="s">
        <v>288</v>
      </c>
      <c r="B53" t="s">
        <v>289</v>
      </c>
      <c r="C53" t="s">
        <v>290</v>
      </c>
      <c r="D53" t="s">
        <v>291</v>
      </c>
    </row>
    <row r="54" spans="1:4" x14ac:dyDescent="0.25">
      <c r="A54" t="s">
        <v>292</v>
      </c>
      <c r="B54" t="s">
        <v>293</v>
      </c>
      <c r="C54" t="s">
        <v>294</v>
      </c>
      <c r="D54" t="s">
        <v>295</v>
      </c>
    </row>
    <row r="55" spans="1:4" x14ac:dyDescent="0.25">
      <c r="A55" t="s">
        <v>296</v>
      </c>
      <c r="B55" t="s">
        <v>297</v>
      </c>
      <c r="C55" t="s">
        <v>298</v>
      </c>
      <c r="D55" t="s">
        <v>299</v>
      </c>
    </row>
    <row r="56" spans="1:4" x14ac:dyDescent="0.25">
      <c r="A56" t="s">
        <v>300</v>
      </c>
      <c r="B56" t="s">
        <v>293</v>
      </c>
      <c r="C56" t="s">
        <v>301</v>
      </c>
      <c r="D56" t="s">
        <v>302</v>
      </c>
    </row>
    <row r="57" spans="1:4" x14ac:dyDescent="0.25">
      <c r="A57" t="s">
        <v>303</v>
      </c>
      <c r="B57" t="s">
        <v>297</v>
      </c>
      <c r="C57" t="s">
        <v>304</v>
      </c>
      <c r="D57" t="s">
        <v>305</v>
      </c>
    </row>
    <row r="58" spans="1:4" x14ac:dyDescent="0.25">
      <c r="A58" t="s">
        <v>306</v>
      </c>
      <c r="B58" t="s">
        <v>289</v>
      </c>
      <c r="C58" t="s">
        <v>307</v>
      </c>
      <c r="D58" t="s">
        <v>308</v>
      </c>
    </row>
    <row r="59" spans="1:4" x14ac:dyDescent="0.25">
      <c r="A59" t="s">
        <v>309</v>
      </c>
      <c r="B59" t="s">
        <v>310</v>
      </c>
      <c r="C59" t="s">
        <v>311</v>
      </c>
      <c r="D59" t="s">
        <v>312</v>
      </c>
    </row>
    <row r="60" spans="1:4" x14ac:dyDescent="0.25">
      <c r="A60" t="s">
        <v>313</v>
      </c>
      <c r="B60" t="s">
        <v>314</v>
      </c>
      <c r="C60" t="s">
        <v>315</v>
      </c>
      <c r="D60" t="s">
        <v>316</v>
      </c>
    </row>
    <row r="61" spans="1:4" x14ac:dyDescent="0.25">
      <c r="A61" t="s">
        <v>317</v>
      </c>
      <c r="B61" t="s">
        <v>318</v>
      </c>
      <c r="C61" t="s">
        <v>319</v>
      </c>
      <c r="D61" t="s">
        <v>320</v>
      </c>
    </row>
    <row r="62" spans="1:4" x14ac:dyDescent="0.25">
      <c r="A62" t="s">
        <v>321</v>
      </c>
      <c r="B62" t="s">
        <v>322</v>
      </c>
      <c r="C62" t="s">
        <v>323</v>
      </c>
      <c r="D62" t="s">
        <v>324</v>
      </c>
    </row>
    <row r="63" spans="1:4" x14ac:dyDescent="0.25">
      <c r="A63" t="s">
        <v>325</v>
      </c>
      <c r="B63" t="s">
        <v>326</v>
      </c>
      <c r="C63" t="s">
        <v>327</v>
      </c>
      <c r="D63" t="s">
        <v>328</v>
      </c>
    </row>
    <row r="64" spans="1:4" x14ac:dyDescent="0.25">
      <c r="A64" t="s">
        <v>329</v>
      </c>
      <c r="B64" t="s">
        <v>330</v>
      </c>
      <c r="C64" t="s">
        <v>331</v>
      </c>
      <c r="D64" t="s">
        <v>332</v>
      </c>
    </row>
    <row r="65" spans="1:4" x14ac:dyDescent="0.25">
      <c r="A65" t="s">
        <v>333</v>
      </c>
      <c r="B65" t="s">
        <v>334</v>
      </c>
      <c r="C65" t="s">
        <v>335</v>
      </c>
      <c r="D65" t="s">
        <v>336</v>
      </c>
    </row>
    <row r="66" spans="1:4" x14ac:dyDescent="0.25">
      <c r="A66" t="s">
        <v>337</v>
      </c>
      <c r="B66" t="s">
        <v>338</v>
      </c>
      <c r="C66" t="s">
        <v>339</v>
      </c>
      <c r="D66" t="s">
        <v>340</v>
      </c>
    </row>
    <row r="67" spans="1:4" x14ac:dyDescent="0.25">
      <c r="A67" t="s">
        <v>341</v>
      </c>
      <c r="B67" t="s">
        <v>342</v>
      </c>
      <c r="C67" t="s">
        <v>343</v>
      </c>
      <c r="D67" t="s">
        <v>344</v>
      </c>
    </row>
    <row r="68" spans="1:4" x14ac:dyDescent="0.25">
      <c r="A68" t="s">
        <v>345</v>
      </c>
      <c r="B68" t="s">
        <v>342</v>
      </c>
      <c r="C68" t="s">
        <v>346</v>
      </c>
      <c r="D68" t="s">
        <v>347</v>
      </c>
    </row>
    <row r="69" spans="1:4" x14ac:dyDescent="0.25">
      <c r="A69" t="s">
        <v>348</v>
      </c>
      <c r="B69" t="s">
        <v>349</v>
      </c>
      <c r="C69" t="s">
        <v>350</v>
      </c>
      <c r="D69" t="s">
        <v>351</v>
      </c>
    </row>
    <row r="70" spans="1:4" x14ac:dyDescent="0.25">
      <c r="A70" t="s">
        <v>352</v>
      </c>
      <c r="B70" t="s">
        <v>353</v>
      </c>
      <c r="C70" t="s">
        <v>354</v>
      </c>
      <c r="D70" t="s">
        <v>355</v>
      </c>
    </row>
    <row r="71" spans="1:4" x14ac:dyDescent="0.25">
      <c r="A71" t="s">
        <v>356</v>
      </c>
      <c r="B71" t="s">
        <v>357</v>
      </c>
      <c r="C71" t="s">
        <v>358</v>
      </c>
      <c r="D71" t="s">
        <v>359</v>
      </c>
    </row>
    <row r="72" spans="1:4" x14ac:dyDescent="0.25">
      <c r="A72" t="s">
        <v>360</v>
      </c>
      <c r="B72" t="s">
        <v>361</v>
      </c>
      <c r="C72" t="s">
        <v>362</v>
      </c>
      <c r="D72" t="s">
        <v>363</v>
      </c>
    </row>
    <row r="73" spans="1:4" x14ac:dyDescent="0.25">
      <c r="A73" t="s">
        <v>364</v>
      </c>
      <c r="B73" t="s">
        <v>365</v>
      </c>
      <c r="C73" t="s">
        <v>366</v>
      </c>
      <c r="D73" t="s">
        <v>367</v>
      </c>
    </row>
    <row r="74" spans="1:4" x14ac:dyDescent="0.25">
      <c r="A74" t="s">
        <v>368</v>
      </c>
      <c r="B74" t="s">
        <v>369</v>
      </c>
      <c r="C74" t="s">
        <v>370</v>
      </c>
      <c r="D74" t="s">
        <v>367</v>
      </c>
    </row>
    <row r="75" spans="1:4" x14ac:dyDescent="0.25">
      <c r="A75" t="s">
        <v>371</v>
      </c>
      <c r="B75" t="s">
        <v>372</v>
      </c>
      <c r="C75" t="s">
        <v>373</v>
      </c>
      <c r="D75" t="s">
        <v>374</v>
      </c>
    </row>
    <row r="76" spans="1:4" x14ac:dyDescent="0.25">
      <c r="A76" t="s">
        <v>375</v>
      </c>
      <c r="B76" t="s">
        <v>376</v>
      </c>
      <c r="C76" t="s">
        <v>377</v>
      </c>
      <c r="D76" t="s">
        <v>378</v>
      </c>
    </row>
    <row r="77" spans="1:4" x14ac:dyDescent="0.25">
      <c r="A77" t="s">
        <v>379</v>
      </c>
      <c r="B77" t="s">
        <v>380</v>
      </c>
      <c r="C77" t="s">
        <v>381</v>
      </c>
      <c r="D77" t="s">
        <v>382</v>
      </c>
    </row>
    <row r="78" spans="1:4" x14ac:dyDescent="0.25">
      <c r="A78" t="s">
        <v>383</v>
      </c>
      <c r="B78" t="s">
        <v>384</v>
      </c>
      <c r="C78" t="s">
        <v>385</v>
      </c>
      <c r="D78" t="s">
        <v>386</v>
      </c>
    </row>
    <row r="79" spans="1:4" x14ac:dyDescent="0.25">
      <c r="A79" t="s">
        <v>387</v>
      </c>
      <c r="B79" t="s">
        <v>384</v>
      </c>
      <c r="C79" t="s">
        <v>388</v>
      </c>
      <c r="D79" t="s">
        <v>389</v>
      </c>
    </row>
    <row r="80" spans="1:4" x14ac:dyDescent="0.25">
      <c r="A80" t="s">
        <v>390</v>
      </c>
      <c r="B80" t="s">
        <v>391</v>
      </c>
      <c r="C80" t="s">
        <v>392</v>
      </c>
      <c r="D80" t="s">
        <v>393</v>
      </c>
    </row>
    <row r="81" spans="1:4" x14ac:dyDescent="0.25">
      <c r="A81" t="s">
        <v>394</v>
      </c>
      <c r="B81" t="s">
        <v>395</v>
      </c>
      <c r="C81" t="s">
        <v>396</v>
      </c>
      <c r="D81" t="s">
        <v>397</v>
      </c>
    </row>
    <row r="82" spans="1:4" x14ac:dyDescent="0.25">
      <c r="A82" t="s">
        <v>398</v>
      </c>
      <c r="B82" t="s">
        <v>399</v>
      </c>
      <c r="C82" t="s">
        <v>400</v>
      </c>
      <c r="D82" t="s">
        <v>401</v>
      </c>
    </row>
    <row r="83" spans="1:4" x14ac:dyDescent="0.25">
      <c r="A83" t="s">
        <v>402</v>
      </c>
      <c r="B83" t="s">
        <v>403</v>
      </c>
      <c r="C83" t="s">
        <v>404</v>
      </c>
      <c r="D83" t="s">
        <v>405</v>
      </c>
    </row>
    <row r="84" spans="1:4" x14ac:dyDescent="0.25">
      <c r="A84" t="s">
        <v>406</v>
      </c>
      <c r="B84" t="s">
        <v>407</v>
      </c>
      <c r="C84" t="s">
        <v>408</v>
      </c>
      <c r="D84" t="s">
        <v>409</v>
      </c>
    </row>
    <row r="85" spans="1:4" x14ac:dyDescent="0.25">
      <c r="A85" t="s">
        <v>410</v>
      </c>
      <c r="B85" t="s">
        <v>411</v>
      </c>
      <c r="C85" t="s">
        <v>412</v>
      </c>
      <c r="D85" t="s">
        <v>413</v>
      </c>
    </row>
    <row r="86" spans="3:4" x14ac:dyDescent="0.25">
      <c r="C86" t="s">
        <v>414</v>
      </c>
      <c r="D86" t="s">
        <v>415</v>
      </c>
    </row>
    <row r="87" spans="3:4" x14ac:dyDescent="0.25">
      <c r="C87" t="s">
        <v>416</v>
      </c>
      <c r="D87" t="s">
        <v>417</v>
      </c>
    </row>
    <row r="88" spans="3:4" x14ac:dyDescent="0.25">
      <c r="C88" t="s">
        <v>418</v>
      </c>
      <c r="D88" t="s">
        <v>419</v>
      </c>
    </row>
    <row r="89" spans="3:4" x14ac:dyDescent="0.25">
      <c r="C89" t="s">
        <v>420</v>
      </c>
      <c r="D89" t="s">
        <v>421</v>
      </c>
    </row>
    <row r="90" spans="3:4" x14ac:dyDescent="0.25">
      <c r="C90" t="s">
        <v>422</v>
      </c>
      <c r="D90" t="s">
        <v>423</v>
      </c>
    </row>
    <row r="91" spans="3:4" x14ac:dyDescent="0.25">
      <c r="C91" t="s">
        <v>424</v>
      </c>
      <c r="D91" t="s">
        <v>425</v>
      </c>
    </row>
    <row r="92" spans="3:4" x14ac:dyDescent="0.25">
      <c r="C92" t="s">
        <v>426</v>
      </c>
      <c r="D92" t="s">
        <v>427</v>
      </c>
    </row>
    <row r="93" spans="3:4" x14ac:dyDescent="0.25">
      <c r="C93" t="s">
        <v>428</v>
      </c>
      <c r="D93" t="s">
        <v>429</v>
      </c>
    </row>
    <row r="94" spans="3:4" x14ac:dyDescent="0.25">
      <c r="C94" t="s">
        <v>430</v>
      </c>
      <c r="D94" t="s">
        <v>431</v>
      </c>
    </row>
    <row r="95" spans="3:4" x14ac:dyDescent="0.25">
      <c r="C95" t="s">
        <v>432</v>
      </c>
      <c r="D95" t="s">
        <v>433</v>
      </c>
    </row>
    <row r="96" spans="3:4" x14ac:dyDescent="0.25">
      <c r="C96" t="s">
        <v>434</v>
      </c>
      <c r="D96" t="s">
        <v>435</v>
      </c>
    </row>
    <row r="97" spans="3:4" x14ac:dyDescent="0.25">
      <c r="C97" t="s">
        <v>436</v>
      </c>
      <c r="D97" t="s">
        <v>437</v>
      </c>
    </row>
    <row r="98" spans="3:4" x14ac:dyDescent="0.25">
      <c r="C98" t="s">
        <v>438</v>
      </c>
      <c r="D98" t="s">
        <v>439</v>
      </c>
    </row>
    <row r="99" spans="3:4" x14ac:dyDescent="0.25">
      <c r="C99" t="s">
        <v>440</v>
      </c>
      <c r="D99" t="s">
        <v>441</v>
      </c>
    </row>
    <row r="100" spans="3:4" x14ac:dyDescent="0.25">
      <c r="C100" t="s">
        <v>442</v>
      </c>
      <c r="D100" t="s">
        <v>443</v>
      </c>
    </row>
    <row r="101" spans="3:4" x14ac:dyDescent="0.25">
      <c r="C101" t="s">
        <v>444</v>
      </c>
      <c r="D101" t="s">
        <v>445</v>
      </c>
    </row>
    <row r="102" spans="3:4" x14ac:dyDescent="0.25">
      <c r="C102" t="s">
        <v>446</v>
      </c>
      <c r="D102" t="s">
        <v>447</v>
      </c>
    </row>
    <row r="103" spans="3:4" x14ac:dyDescent="0.25">
      <c r="C103" t="s">
        <v>448</v>
      </c>
      <c r="D103" t="s">
        <v>449</v>
      </c>
    </row>
    <row r="104" spans="3:4" x14ac:dyDescent="0.25">
      <c r="C104" t="s">
        <v>450</v>
      </c>
      <c r="D104" t="s">
        <v>451</v>
      </c>
    </row>
    <row r="105" spans="3:4" x14ac:dyDescent="0.25">
      <c r="C105" t="s">
        <v>452</v>
      </c>
      <c r="D105" t="s">
        <v>453</v>
      </c>
    </row>
    <row r="106" spans="3:4" x14ac:dyDescent="0.25">
      <c r="C106" t="s">
        <v>454</v>
      </c>
      <c r="D106" t="s">
        <v>455</v>
      </c>
    </row>
    <row r="107" spans="3:4" x14ac:dyDescent="0.25">
      <c r="C107" t="s">
        <v>456</v>
      </c>
      <c r="D107" t="s">
        <v>457</v>
      </c>
    </row>
    <row r="108" spans="3:4" x14ac:dyDescent="0.25">
      <c r="C108" t="s">
        <v>458</v>
      </c>
      <c r="D108" t="s">
        <v>459</v>
      </c>
    </row>
    <row r="109" spans="3:4" x14ac:dyDescent="0.25">
      <c r="C109" t="s">
        <v>460</v>
      </c>
      <c r="D109" t="s">
        <v>461</v>
      </c>
    </row>
    <row r="110" spans="3:4" x14ac:dyDescent="0.25">
      <c r="C110" t="s">
        <v>462</v>
      </c>
      <c r="D110" t="s">
        <v>463</v>
      </c>
    </row>
    <row r="111" spans="3:4" x14ac:dyDescent="0.25">
      <c r="C111" t="s">
        <v>464</v>
      </c>
      <c r="D111" t="s">
        <v>465</v>
      </c>
    </row>
    <row r="112" spans="3:4" x14ac:dyDescent="0.25">
      <c r="C112" t="s">
        <v>466</v>
      </c>
      <c r="D112" t="s">
        <v>467</v>
      </c>
    </row>
    <row r="113" spans="3:4" x14ac:dyDescent="0.25">
      <c r="C113" t="s">
        <v>468</v>
      </c>
      <c r="D113" t="s">
        <v>469</v>
      </c>
    </row>
    <row r="114" spans="3:4" x14ac:dyDescent="0.25">
      <c r="C114" t="s">
        <v>470</v>
      </c>
      <c r="D114" t="s">
        <v>471</v>
      </c>
    </row>
    <row r="115" spans="3:4" x14ac:dyDescent="0.25">
      <c r="C115" t="s">
        <v>472</v>
      </c>
      <c r="D115" t="s">
        <v>473</v>
      </c>
    </row>
    <row r="116" spans="3:4" x14ac:dyDescent="0.25">
      <c r="C116" t="s">
        <v>474</v>
      </c>
      <c r="D116" t="s">
        <v>475</v>
      </c>
    </row>
    <row r="117" spans="3:4" x14ac:dyDescent="0.25">
      <c r="C117" t="s">
        <v>476</v>
      </c>
      <c r="D117" t="s">
        <v>477</v>
      </c>
    </row>
    <row r="118" spans="3:4" x14ac:dyDescent="0.25">
      <c r="C118" t="s">
        <v>478</v>
      </c>
      <c r="D118" t="s">
        <v>479</v>
      </c>
    </row>
    <row r="119" spans="3:4" x14ac:dyDescent="0.25">
      <c r="C119" t="s">
        <v>480</v>
      </c>
      <c r="D119" t="s">
        <v>481</v>
      </c>
    </row>
    <row r="120" spans="3:4" x14ac:dyDescent="0.25">
      <c r="C120" t="s">
        <v>482</v>
      </c>
      <c r="D120" t="s">
        <v>483</v>
      </c>
    </row>
    <row r="121" spans="3:4" x14ac:dyDescent="0.25">
      <c r="C121" t="s">
        <v>484</v>
      </c>
      <c r="D121" t="s">
        <v>485</v>
      </c>
    </row>
    <row r="122" spans="3:4" x14ac:dyDescent="0.25">
      <c r="C122" t="s">
        <v>486</v>
      </c>
      <c r="D122" t="s">
        <v>487</v>
      </c>
    </row>
    <row r="123" spans="3:4" x14ac:dyDescent="0.25">
      <c r="C123" t="s">
        <v>488</v>
      </c>
      <c r="D123" t="s">
        <v>489</v>
      </c>
    </row>
    <row r="124" spans="3:4" x14ac:dyDescent="0.25">
      <c r="C124" t="s">
        <v>490</v>
      </c>
      <c r="D124" t="s">
        <v>491</v>
      </c>
    </row>
    <row r="125" spans="3:4" x14ac:dyDescent="0.25">
      <c r="C125" t="s">
        <v>492</v>
      </c>
      <c r="D125" t="s">
        <v>493</v>
      </c>
    </row>
    <row r="126" spans="3:4" x14ac:dyDescent="0.25">
      <c r="C126" t="s">
        <v>494</v>
      </c>
      <c r="D126" t="s">
        <v>495</v>
      </c>
    </row>
    <row r="127" spans="3:4" x14ac:dyDescent="0.25">
      <c r="C127" t="s">
        <v>496</v>
      </c>
      <c r="D127" t="s">
        <v>497</v>
      </c>
    </row>
    <row r="128" spans="3:4" x14ac:dyDescent="0.25">
      <c r="C128" t="s">
        <v>498</v>
      </c>
      <c r="D128" t="s">
        <v>499</v>
      </c>
    </row>
    <row r="129" spans="3:4" x14ac:dyDescent="0.25">
      <c r="C129" t="s">
        <v>500</v>
      </c>
      <c r="D129" t="s">
        <v>501</v>
      </c>
    </row>
    <row r="130" spans="3:4" x14ac:dyDescent="0.25">
      <c r="C130" t="s">
        <v>502</v>
      </c>
      <c r="D130" t="s">
        <v>503</v>
      </c>
    </row>
    <row r="131" spans="3:4" x14ac:dyDescent="0.25">
      <c r="C131" t="s">
        <v>504</v>
      </c>
      <c r="D131" t="s">
        <v>503</v>
      </c>
    </row>
    <row r="132" spans="3:4" x14ac:dyDescent="0.25">
      <c r="C132" t="s">
        <v>505</v>
      </c>
      <c r="D132" t="s">
        <v>506</v>
      </c>
    </row>
    <row r="133" spans="3:4" x14ac:dyDescent="0.25">
      <c r="C133" t="s">
        <v>507</v>
      </c>
      <c r="D133" t="s">
        <v>508</v>
      </c>
    </row>
    <row r="134" spans="3:4" x14ac:dyDescent="0.25">
      <c r="C134" t="s">
        <v>509</v>
      </c>
      <c r="D134" t="s">
        <v>510</v>
      </c>
    </row>
    <row r="135" spans="3:4" x14ac:dyDescent="0.25">
      <c r="C135" t="s">
        <v>511</v>
      </c>
      <c r="D135" t="s">
        <v>512</v>
      </c>
    </row>
    <row r="136" spans="3:4" x14ac:dyDescent="0.25">
      <c r="C136" t="s">
        <v>513</v>
      </c>
      <c r="D136" t="s">
        <v>514</v>
      </c>
    </row>
    <row r="137" spans="3:4" x14ac:dyDescent="0.25">
      <c r="C137" t="s">
        <v>515</v>
      </c>
      <c r="D137" t="s">
        <v>516</v>
      </c>
    </row>
    <row r="138" spans="3:4" x14ac:dyDescent="0.25">
      <c r="C138" t="s">
        <v>517</v>
      </c>
      <c r="D138" t="s">
        <v>518</v>
      </c>
    </row>
    <row r="139" spans="3:4" x14ac:dyDescent="0.25">
      <c r="C139" t="s">
        <v>519</v>
      </c>
      <c r="D139" t="s">
        <v>520</v>
      </c>
    </row>
    <row r="140" spans="3:4" x14ac:dyDescent="0.25">
      <c r="C140" t="s">
        <v>521</v>
      </c>
      <c r="D140" t="s">
        <v>522</v>
      </c>
    </row>
    <row r="141" spans="3:4" x14ac:dyDescent="0.25">
      <c r="C141" t="s">
        <v>523</v>
      </c>
      <c r="D141" t="s">
        <v>524</v>
      </c>
    </row>
    <row r="142" spans="3:4" x14ac:dyDescent="0.25">
      <c r="C142" t="s">
        <v>525</v>
      </c>
      <c r="D142" t="s">
        <v>526</v>
      </c>
    </row>
    <row r="143" spans="3:4" x14ac:dyDescent="0.25">
      <c r="C143" t="s">
        <v>527</v>
      </c>
      <c r="D143" t="s">
        <v>528</v>
      </c>
    </row>
    <row r="144" spans="3:4" x14ac:dyDescent="0.25">
      <c r="C144" t="s">
        <v>529</v>
      </c>
      <c r="D144" t="s">
        <v>530</v>
      </c>
    </row>
    <row r="145" spans="3:4" x14ac:dyDescent="0.25">
      <c r="C145" t="s">
        <v>531</v>
      </c>
      <c r="D145" t="s">
        <v>532</v>
      </c>
    </row>
    <row r="146" spans="3:4" x14ac:dyDescent="0.25">
      <c r="C146" t="s">
        <v>533</v>
      </c>
      <c r="D146" t="s">
        <v>534</v>
      </c>
    </row>
    <row r="147" spans="3:4" x14ac:dyDescent="0.25">
      <c r="C147" t="s">
        <v>535</v>
      </c>
      <c r="D147" t="s">
        <v>536</v>
      </c>
    </row>
    <row r="148" spans="3:4" x14ac:dyDescent="0.25">
      <c r="C148" t="s">
        <v>537</v>
      </c>
      <c r="D148" t="s">
        <v>538</v>
      </c>
    </row>
    <row r="149" spans="3:4" x14ac:dyDescent="0.25">
      <c r="C149" t="s">
        <v>539</v>
      </c>
      <c r="D149" t="s">
        <v>540</v>
      </c>
    </row>
    <row r="150" spans="3:4" x14ac:dyDescent="0.25">
      <c r="C150" t="s">
        <v>541</v>
      </c>
      <c r="D150" t="s">
        <v>542</v>
      </c>
    </row>
    <row r="151" spans="3:4" x14ac:dyDescent="0.25">
      <c r="C151" t="s">
        <v>543</v>
      </c>
      <c r="D151" t="s">
        <v>544</v>
      </c>
    </row>
    <row r="152" spans="3:4" x14ac:dyDescent="0.25">
      <c r="C152" t="s">
        <v>545</v>
      </c>
      <c r="D152" t="s">
        <v>546</v>
      </c>
    </row>
    <row r="153" spans="3:4" x14ac:dyDescent="0.25">
      <c r="C153" t="s">
        <v>547</v>
      </c>
      <c r="D153" t="s">
        <v>548</v>
      </c>
    </row>
    <row r="154" spans="3:4" x14ac:dyDescent="0.25">
      <c r="C154" t="s">
        <v>549</v>
      </c>
      <c r="D154" t="s">
        <v>550</v>
      </c>
    </row>
    <row r="155" spans="3:4" x14ac:dyDescent="0.25">
      <c r="C155" t="s">
        <v>551</v>
      </c>
      <c r="D155" t="s">
        <v>552</v>
      </c>
    </row>
    <row r="156" spans="3:4" x14ac:dyDescent="0.25">
      <c r="C156" t="s">
        <v>553</v>
      </c>
      <c r="D156" t="s">
        <v>554</v>
      </c>
    </row>
    <row r="157" spans="3:4" x14ac:dyDescent="0.25">
      <c r="C157" t="s">
        <v>555</v>
      </c>
      <c r="D157" t="s">
        <v>556</v>
      </c>
    </row>
    <row r="158" spans="3:4" x14ac:dyDescent="0.25">
      <c r="C158" t="s">
        <v>557</v>
      </c>
      <c r="D158" t="s">
        <v>558</v>
      </c>
    </row>
    <row r="159" spans="3:4" x14ac:dyDescent="0.25">
      <c r="C159" t="s">
        <v>559</v>
      </c>
      <c r="D159" t="s">
        <v>560</v>
      </c>
    </row>
    <row r="160" spans="3:4" x14ac:dyDescent="0.25">
      <c r="C160" t="s">
        <v>561</v>
      </c>
      <c r="D160" t="s">
        <v>562</v>
      </c>
    </row>
    <row r="161" spans="3:4" x14ac:dyDescent="0.25">
      <c r="C161" t="s">
        <v>563</v>
      </c>
      <c r="D161" t="s">
        <v>564</v>
      </c>
    </row>
    <row r="162" spans="3:4" x14ac:dyDescent="0.25">
      <c r="C162" t="s">
        <v>565</v>
      </c>
      <c r="D162" t="s">
        <v>566</v>
      </c>
    </row>
    <row r="163" spans="3:4" x14ac:dyDescent="0.25">
      <c r="C163" t="s">
        <v>567</v>
      </c>
      <c r="D163" t="s">
        <v>568</v>
      </c>
    </row>
    <row r="164" spans="3:4" x14ac:dyDescent="0.25">
      <c r="C164" t="s">
        <v>569</v>
      </c>
      <c r="D164" t="s">
        <v>570</v>
      </c>
    </row>
    <row r="165" spans="3:4" x14ac:dyDescent="0.25">
      <c r="C165" t="s">
        <v>571</v>
      </c>
      <c r="D165" t="s">
        <v>572</v>
      </c>
    </row>
    <row r="166" spans="3:4" x14ac:dyDescent="0.25">
      <c r="C166" t="s">
        <v>573</v>
      </c>
      <c r="D166" t="s">
        <v>574</v>
      </c>
    </row>
    <row r="167" spans="3:4" x14ac:dyDescent="0.25">
      <c r="C167" t="s">
        <v>575</v>
      </c>
      <c r="D167" t="s">
        <v>576</v>
      </c>
    </row>
    <row r="168" spans="3:4" x14ac:dyDescent="0.25">
      <c r="C168" t="s">
        <v>577</v>
      </c>
      <c r="D168" t="s">
        <v>578</v>
      </c>
    </row>
    <row r="169" spans="3:4" x14ac:dyDescent="0.25">
      <c r="C169" t="s">
        <v>579</v>
      </c>
      <c r="D169" t="s">
        <v>580</v>
      </c>
    </row>
    <row r="170" spans="3:4" x14ac:dyDescent="0.25">
      <c r="C170" t="s">
        <v>581</v>
      </c>
      <c r="D170" t="s">
        <v>582</v>
      </c>
    </row>
    <row r="171" spans="3:4" x14ac:dyDescent="0.25">
      <c r="C171" t="s">
        <v>583</v>
      </c>
      <c r="D171" t="s">
        <v>584</v>
      </c>
    </row>
    <row r="172" spans="3:4" x14ac:dyDescent="0.25">
      <c r="C172" t="s">
        <v>585</v>
      </c>
      <c r="D172" t="s">
        <v>586</v>
      </c>
    </row>
    <row r="173" spans="3:4" x14ac:dyDescent="0.25">
      <c r="C173" t="s">
        <v>587</v>
      </c>
      <c r="D173" t="s">
        <v>588</v>
      </c>
    </row>
    <row r="174" spans="3:4" x14ac:dyDescent="0.25">
      <c r="C174" t="s">
        <v>589</v>
      </c>
      <c r="D174" t="s">
        <v>590</v>
      </c>
    </row>
    <row r="175" spans="3:4" x14ac:dyDescent="0.25">
      <c r="C175" t="s">
        <v>591</v>
      </c>
      <c r="D175" t="s">
        <v>592</v>
      </c>
    </row>
    <row r="176" spans="3:4" x14ac:dyDescent="0.25">
      <c r="C176" t="s">
        <v>593</v>
      </c>
      <c r="D176" t="s">
        <v>594</v>
      </c>
    </row>
    <row r="177" spans="3:4" x14ac:dyDescent="0.25">
      <c r="C177" t="s">
        <v>595</v>
      </c>
      <c r="D177" t="s">
        <v>596</v>
      </c>
    </row>
    <row r="178" spans="3:4" x14ac:dyDescent="0.25">
      <c r="C178" t="s">
        <v>597</v>
      </c>
      <c r="D178" t="s">
        <v>598</v>
      </c>
    </row>
    <row r="179" spans="3:4" x14ac:dyDescent="0.25">
      <c r="C179" t="s">
        <v>599</v>
      </c>
      <c r="D179" t="s">
        <v>600</v>
      </c>
    </row>
    <row r="180" spans="3:4" x14ac:dyDescent="0.25">
      <c r="C180" t="s">
        <v>601</v>
      </c>
      <c r="D180" t="s">
        <v>602</v>
      </c>
    </row>
    <row r="181" spans="3:4" x14ac:dyDescent="0.25">
      <c r="C181" t="s">
        <v>603</v>
      </c>
      <c r="D181" t="s">
        <v>604</v>
      </c>
    </row>
    <row r="182" spans="3:4" x14ac:dyDescent="0.25">
      <c r="C182" t="s">
        <v>605</v>
      </c>
      <c r="D182" t="s">
        <v>606</v>
      </c>
    </row>
    <row r="183" spans="3:4" x14ac:dyDescent="0.25">
      <c r="C183" t="s">
        <v>607</v>
      </c>
      <c r="D183" t="s">
        <v>608</v>
      </c>
    </row>
    <row r="184" spans="3:4" x14ac:dyDescent="0.25">
      <c r="C184" t="s">
        <v>609</v>
      </c>
      <c r="D184" t="s">
        <v>610</v>
      </c>
    </row>
    <row r="185" spans="3:4" x14ac:dyDescent="0.25">
      <c r="C185" t="s">
        <v>611</v>
      </c>
      <c r="D185" t="s">
        <v>612</v>
      </c>
    </row>
    <row r="186" spans="3:4" x14ac:dyDescent="0.25">
      <c r="C186" t="s">
        <v>613</v>
      </c>
      <c r="D186" t="s">
        <v>614</v>
      </c>
    </row>
    <row r="187" spans="3:4" x14ac:dyDescent="0.25">
      <c r="C187" t="s">
        <v>615</v>
      </c>
      <c r="D187" t="s">
        <v>616</v>
      </c>
    </row>
    <row r="188" spans="3:4" x14ac:dyDescent="0.25">
      <c r="C188" t="s">
        <v>617</v>
      </c>
      <c r="D188" t="s">
        <v>618</v>
      </c>
    </row>
    <row r="189" spans="3:4" x14ac:dyDescent="0.25">
      <c r="C189" t="s">
        <v>619</v>
      </c>
      <c r="D189" t="s">
        <v>620</v>
      </c>
    </row>
    <row r="190" spans="3:4" x14ac:dyDescent="0.25">
      <c r="C190" t="s">
        <v>621</v>
      </c>
      <c r="D190" t="s">
        <v>622</v>
      </c>
    </row>
    <row r="191" spans="3:4" x14ac:dyDescent="0.25">
      <c r="C191" t="s">
        <v>623</v>
      </c>
      <c r="D191" t="s">
        <v>624</v>
      </c>
    </row>
    <row r="192" spans="3:4" x14ac:dyDescent="0.25">
      <c r="C192" t="s">
        <v>625</v>
      </c>
      <c r="D192" t="s">
        <v>626</v>
      </c>
    </row>
    <row r="193" spans="3:4" x14ac:dyDescent="0.25">
      <c r="C193" t="s">
        <v>627</v>
      </c>
      <c r="D193" t="s">
        <v>628</v>
      </c>
    </row>
    <row r="194" spans="3:4" x14ac:dyDescent="0.25">
      <c r="C194" t="s">
        <v>629</v>
      </c>
      <c r="D194" t="s">
        <v>630</v>
      </c>
    </row>
    <row r="195" spans="3:4" x14ac:dyDescent="0.25">
      <c r="C195" t="s">
        <v>631</v>
      </c>
      <c r="D195" t="s">
        <v>632</v>
      </c>
    </row>
    <row r="196" spans="3:4" x14ac:dyDescent="0.25">
      <c r="C196" t="s">
        <v>633</v>
      </c>
      <c r="D196" t="s">
        <v>634</v>
      </c>
    </row>
    <row r="197" spans="3:4" x14ac:dyDescent="0.25">
      <c r="C197" t="s">
        <v>635</v>
      </c>
      <c r="D197" t="s">
        <v>636</v>
      </c>
    </row>
    <row r="198" spans="3:4" x14ac:dyDescent="0.25">
      <c r="C198" t="s">
        <v>637</v>
      </c>
      <c r="D198" t="s">
        <v>638</v>
      </c>
    </row>
    <row r="199" spans="3:4" x14ac:dyDescent="0.25">
      <c r="C199" t="s">
        <v>639</v>
      </c>
      <c r="D199" t="s">
        <v>640</v>
      </c>
    </row>
    <row r="200" spans="3:4" x14ac:dyDescent="0.25">
      <c r="C200" t="s">
        <v>641</v>
      </c>
      <c r="D200" t="s">
        <v>642</v>
      </c>
    </row>
    <row r="201" spans="3:4" x14ac:dyDescent="0.25">
      <c r="C201" t="s">
        <v>643</v>
      </c>
      <c r="D201" t="s">
        <v>644</v>
      </c>
    </row>
    <row r="202" spans="3:4" x14ac:dyDescent="0.25">
      <c r="C202" t="s">
        <v>645</v>
      </c>
      <c r="D202" t="s">
        <v>646</v>
      </c>
    </row>
    <row r="203" spans="3:4" x14ac:dyDescent="0.25">
      <c r="C203" t="s">
        <v>647</v>
      </c>
      <c r="D203" t="s">
        <v>646</v>
      </c>
    </row>
    <row r="204" spans="3:4" x14ac:dyDescent="0.25">
      <c r="C204" t="s">
        <v>648</v>
      </c>
      <c r="D204" t="s">
        <v>649</v>
      </c>
    </row>
    <row r="205" spans="3:4" x14ac:dyDescent="0.25">
      <c r="C205" t="s">
        <v>650</v>
      </c>
      <c r="D205" t="s">
        <v>651</v>
      </c>
    </row>
    <row r="206" spans="3:4" x14ac:dyDescent="0.25">
      <c r="C206" t="s">
        <v>652</v>
      </c>
      <c r="D206" t="s">
        <v>653</v>
      </c>
    </row>
    <row r="207" spans="3:4" x14ac:dyDescent="0.25">
      <c r="C207" t="s">
        <v>654</v>
      </c>
      <c r="D207" t="s">
        <v>655</v>
      </c>
    </row>
    <row r="208" spans="3:4" x14ac:dyDescent="0.25">
      <c r="C208" t="s">
        <v>656</v>
      </c>
      <c r="D208" t="s">
        <v>657</v>
      </c>
    </row>
    <row r="209" spans="3:4" x14ac:dyDescent="0.25">
      <c r="C209" t="s">
        <v>658</v>
      </c>
      <c r="D209" t="s">
        <v>659</v>
      </c>
    </row>
    <row r="210" spans="3:4" x14ac:dyDescent="0.25">
      <c r="C210" t="s">
        <v>660</v>
      </c>
      <c r="D210" t="s">
        <v>661</v>
      </c>
    </row>
    <row r="211" spans="3:4" x14ac:dyDescent="0.25">
      <c r="C211" t="s">
        <v>662</v>
      </c>
      <c r="D211" t="s">
        <v>663</v>
      </c>
    </row>
    <row r="212" spans="3:4" x14ac:dyDescent="0.25">
      <c r="C212" t="s">
        <v>664</v>
      </c>
      <c r="D212" t="s">
        <v>665</v>
      </c>
    </row>
    <row r="213" spans="3:4" x14ac:dyDescent="0.25">
      <c r="C213" t="s">
        <v>666</v>
      </c>
      <c r="D213" t="s">
        <v>667</v>
      </c>
    </row>
    <row r="214" spans="3:4" x14ac:dyDescent="0.25">
      <c r="C214" t="s">
        <v>668</v>
      </c>
      <c r="D214" t="s">
        <v>667</v>
      </c>
    </row>
    <row r="215" spans="3:4" x14ac:dyDescent="0.25">
      <c r="C215" t="s">
        <v>669</v>
      </c>
      <c r="D215" t="s">
        <v>670</v>
      </c>
    </row>
    <row r="216" spans="3:4" x14ac:dyDescent="0.25">
      <c r="C216" t="s">
        <v>671</v>
      </c>
      <c r="D216" t="s">
        <v>672</v>
      </c>
    </row>
    <row r="217" spans="3:4" x14ac:dyDescent="0.25">
      <c r="C217" t="s">
        <v>673</v>
      </c>
      <c r="D217" t="s">
        <v>674</v>
      </c>
    </row>
    <row r="218" spans="3:4" x14ac:dyDescent="0.25">
      <c r="C218" t="s">
        <v>675</v>
      </c>
      <c r="D218" t="s">
        <v>676</v>
      </c>
    </row>
    <row r="219" spans="3:4" x14ac:dyDescent="0.25">
      <c r="C219" t="s">
        <v>677</v>
      </c>
      <c r="D219" t="s">
        <v>678</v>
      </c>
    </row>
    <row r="220" spans="3:4" x14ac:dyDescent="0.25">
      <c r="C220" t="s">
        <v>679</v>
      </c>
      <c r="D220" t="s">
        <v>680</v>
      </c>
    </row>
    <row r="221" spans="3:4" x14ac:dyDescent="0.25">
      <c r="C221" t="s">
        <v>681</v>
      </c>
      <c r="D221" t="s">
        <v>682</v>
      </c>
    </row>
    <row r="222" spans="3:4" x14ac:dyDescent="0.25">
      <c r="C222" t="s">
        <v>683</v>
      </c>
      <c r="D222" t="s">
        <v>684</v>
      </c>
    </row>
    <row r="223" spans="3:4" x14ac:dyDescent="0.25">
      <c r="C223" t="s">
        <v>685</v>
      </c>
      <c r="D223" t="s">
        <v>686</v>
      </c>
    </row>
    <row r="224" spans="3:4" x14ac:dyDescent="0.25">
      <c r="C224" t="s">
        <v>687</v>
      </c>
      <c r="D224" t="s">
        <v>688</v>
      </c>
    </row>
    <row r="225" spans="3:4" x14ac:dyDescent="0.25">
      <c r="C225" t="s">
        <v>689</v>
      </c>
      <c r="D225" t="s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 Plan</vt:lpstr>
      <vt:lpstr>Instructions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2026-03-27T09:05:29Z</dcterms:created>
  <dcterms:modified xsi:type="dcterms:W3CDTF">2026-03-27T09:05:29Z</dcterms:modified>
</cp:coreProperties>
</file>