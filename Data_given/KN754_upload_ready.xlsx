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" documentId="11_B12D38F9EC45EE6687C891162F72DFA65D38155F" xr6:coauthVersionLast="47" xr6:coauthVersionMax="47" xr10:uidLastSave="{FD013C5F-385F-4354-8776-F74C0A0B29DE}"/>
  <bookViews>
    <workbookView xWindow="-110" yWindow="-110" windowWidth="19420" windowHeight="10300" xr2:uid="{00000000-000D-0000-FFFF-FFFF00000000}"/>
  </bookViews>
  <sheets>
    <sheet name="Line Plan" sheetId="1" r:id="rId1"/>
    <sheet name="Config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1" i="1" l="1"/>
  <c r="H241" i="1"/>
  <c r="G241" i="1"/>
  <c r="D241" i="1"/>
  <c r="J240" i="1"/>
  <c r="I240" i="1" s="1"/>
  <c r="H240" i="1"/>
  <c r="G240" i="1"/>
  <c r="D240" i="1"/>
  <c r="I239" i="1"/>
  <c r="H239" i="1"/>
  <c r="G239" i="1"/>
  <c r="D239" i="1"/>
  <c r="I238" i="1"/>
  <c r="H238" i="1"/>
  <c r="G238" i="1"/>
  <c r="D238" i="1"/>
  <c r="I237" i="1"/>
  <c r="H237" i="1"/>
  <c r="G237" i="1"/>
  <c r="D237" i="1"/>
  <c r="I236" i="1"/>
  <c r="H236" i="1"/>
  <c r="G236" i="1"/>
  <c r="D236" i="1"/>
  <c r="J235" i="1"/>
  <c r="I235" i="1" s="1"/>
  <c r="H235" i="1"/>
  <c r="G235" i="1"/>
  <c r="D235" i="1"/>
  <c r="J234" i="1"/>
  <c r="I234" i="1" s="1"/>
  <c r="H234" i="1"/>
  <c r="G234" i="1"/>
  <c r="D234" i="1"/>
  <c r="J233" i="1"/>
  <c r="I233" i="1" s="1"/>
  <c r="H233" i="1"/>
  <c r="G233" i="1"/>
  <c r="D233" i="1"/>
  <c r="J232" i="1"/>
  <c r="I232" i="1" s="1"/>
  <c r="H232" i="1"/>
  <c r="G232" i="1"/>
  <c r="D232" i="1"/>
  <c r="I231" i="1"/>
  <c r="H231" i="1"/>
  <c r="G231" i="1"/>
  <c r="D231" i="1"/>
  <c r="I230" i="1"/>
  <c r="H230" i="1"/>
  <c r="G230" i="1"/>
  <c r="D230" i="1"/>
  <c r="J229" i="1"/>
  <c r="I229" i="1" s="1"/>
  <c r="H229" i="1"/>
  <c r="G229" i="1"/>
  <c r="D229" i="1"/>
  <c r="J228" i="1"/>
  <c r="I228" i="1" s="1"/>
  <c r="H228" i="1"/>
  <c r="G228" i="1"/>
  <c r="D228" i="1"/>
  <c r="J227" i="1"/>
  <c r="I227" i="1" s="1"/>
  <c r="H227" i="1"/>
  <c r="G227" i="1"/>
  <c r="D227" i="1"/>
  <c r="J226" i="1"/>
  <c r="I226" i="1" s="1"/>
  <c r="H226" i="1"/>
  <c r="G226" i="1"/>
  <c r="D226" i="1"/>
  <c r="I225" i="1"/>
  <c r="H225" i="1"/>
  <c r="G225" i="1"/>
  <c r="D225" i="1"/>
  <c r="I224" i="1"/>
  <c r="H224" i="1"/>
  <c r="G224" i="1"/>
  <c r="D224" i="1"/>
  <c r="J223" i="1"/>
  <c r="I223" i="1" s="1"/>
  <c r="H223" i="1"/>
  <c r="G223" i="1"/>
  <c r="D223" i="1"/>
  <c r="J222" i="1"/>
  <c r="I222" i="1"/>
  <c r="H222" i="1"/>
  <c r="G222" i="1"/>
  <c r="D222" i="1"/>
  <c r="J221" i="1"/>
  <c r="I221" i="1" s="1"/>
  <c r="H221" i="1"/>
  <c r="G221" i="1"/>
  <c r="D221" i="1"/>
  <c r="J220" i="1"/>
  <c r="I220" i="1"/>
  <c r="H220" i="1"/>
  <c r="G220" i="1"/>
  <c r="D220" i="1"/>
  <c r="J219" i="1"/>
  <c r="I219" i="1" s="1"/>
  <c r="H219" i="1"/>
  <c r="G219" i="1"/>
  <c r="D219" i="1"/>
  <c r="J218" i="1"/>
  <c r="I218" i="1" s="1"/>
  <c r="H218" i="1"/>
  <c r="G218" i="1"/>
  <c r="D218" i="1"/>
  <c r="I217" i="1"/>
  <c r="H217" i="1"/>
  <c r="G217" i="1"/>
  <c r="D217" i="1"/>
  <c r="I216" i="1"/>
  <c r="H216" i="1"/>
  <c r="G216" i="1"/>
  <c r="D216" i="1"/>
  <c r="J215" i="1"/>
  <c r="I215" i="1" s="1"/>
  <c r="H215" i="1"/>
  <c r="G215" i="1"/>
  <c r="D215" i="1"/>
  <c r="J214" i="1"/>
  <c r="I214" i="1" s="1"/>
  <c r="H214" i="1"/>
  <c r="G214" i="1"/>
  <c r="D214" i="1"/>
  <c r="J213" i="1"/>
  <c r="I213" i="1" s="1"/>
  <c r="H213" i="1"/>
  <c r="G213" i="1"/>
  <c r="D213" i="1"/>
  <c r="I212" i="1"/>
  <c r="H212" i="1"/>
  <c r="G212" i="1"/>
  <c r="D212" i="1"/>
  <c r="J211" i="1"/>
  <c r="I211" i="1"/>
  <c r="H211" i="1"/>
  <c r="G211" i="1"/>
  <c r="D211" i="1"/>
  <c r="J210" i="1"/>
  <c r="I210" i="1" s="1"/>
  <c r="H210" i="1"/>
  <c r="G210" i="1"/>
  <c r="D210" i="1"/>
  <c r="J209" i="1"/>
  <c r="I209" i="1"/>
  <c r="H209" i="1"/>
  <c r="G209" i="1"/>
  <c r="D209" i="1"/>
  <c r="J208" i="1"/>
  <c r="I208" i="1" s="1"/>
  <c r="H208" i="1"/>
  <c r="G208" i="1"/>
  <c r="D208" i="1"/>
  <c r="J207" i="1"/>
  <c r="I207" i="1" s="1"/>
  <c r="H207" i="1"/>
  <c r="G207" i="1"/>
  <c r="D207" i="1"/>
  <c r="J206" i="1"/>
  <c r="I206" i="1" s="1"/>
  <c r="H206" i="1"/>
  <c r="G206" i="1"/>
  <c r="D206" i="1"/>
  <c r="J205" i="1"/>
  <c r="I205" i="1" s="1"/>
  <c r="H205" i="1"/>
  <c r="G205" i="1"/>
  <c r="D205" i="1"/>
  <c r="I204" i="1"/>
  <c r="H204" i="1"/>
  <c r="G204" i="1"/>
  <c r="D204" i="1"/>
  <c r="I203" i="1"/>
  <c r="H203" i="1"/>
  <c r="G203" i="1"/>
  <c r="D203" i="1"/>
  <c r="J202" i="1"/>
  <c r="I202" i="1" s="1"/>
  <c r="H202" i="1"/>
  <c r="G202" i="1"/>
  <c r="D202" i="1"/>
  <c r="J201" i="1"/>
  <c r="I201" i="1"/>
  <c r="H201" i="1"/>
  <c r="G201" i="1"/>
  <c r="D201" i="1"/>
  <c r="I200" i="1"/>
  <c r="H200" i="1"/>
  <c r="G200" i="1"/>
  <c r="D200" i="1"/>
  <c r="J199" i="1"/>
  <c r="I199" i="1" s="1"/>
  <c r="H199" i="1"/>
  <c r="G199" i="1"/>
  <c r="D199" i="1"/>
  <c r="J198" i="1"/>
  <c r="I198" i="1"/>
  <c r="H198" i="1"/>
  <c r="G198" i="1"/>
  <c r="D198" i="1"/>
  <c r="J197" i="1"/>
  <c r="I197" i="1" s="1"/>
  <c r="H197" i="1"/>
  <c r="G197" i="1"/>
  <c r="D197" i="1"/>
  <c r="I196" i="1"/>
  <c r="H196" i="1"/>
  <c r="G196" i="1"/>
  <c r="D196" i="1"/>
  <c r="J195" i="1"/>
  <c r="I195" i="1"/>
  <c r="H195" i="1"/>
  <c r="G195" i="1"/>
  <c r="D195" i="1"/>
  <c r="J194" i="1"/>
  <c r="I194" i="1" s="1"/>
  <c r="H194" i="1"/>
  <c r="G194" i="1"/>
  <c r="D194" i="1"/>
  <c r="J193" i="1"/>
  <c r="I193" i="1"/>
  <c r="H193" i="1"/>
  <c r="G193" i="1"/>
  <c r="D193" i="1"/>
  <c r="J192" i="1"/>
  <c r="I192" i="1" s="1"/>
  <c r="H192" i="1"/>
  <c r="G192" i="1"/>
  <c r="D192" i="1"/>
  <c r="J191" i="1"/>
  <c r="I191" i="1"/>
  <c r="H191" i="1"/>
  <c r="G191" i="1"/>
  <c r="D191" i="1"/>
  <c r="I190" i="1"/>
  <c r="H190" i="1"/>
  <c r="G190" i="1"/>
  <c r="D190" i="1"/>
  <c r="J189" i="1"/>
  <c r="I189" i="1" s="1"/>
  <c r="H189" i="1"/>
  <c r="G189" i="1"/>
  <c r="D189" i="1"/>
  <c r="I188" i="1"/>
  <c r="H188" i="1"/>
  <c r="G188" i="1"/>
  <c r="D188" i="1"/>
  <c r="J187" i="1"/>
  <c r="I187" i="1"/>
  <c r="H187" i="1"/>
  <c r="G187" i="1"/>
  <c r="D187" i="1"/>
  <c r="J186" i="1"/>
  <c r="I186" i="1" s="1"/>
  <c r="H186" i="1"/>
  <c r="G186" i="1"/>
  <c r="D186" i="1"/>
  <c r="I185" i="1"/>
  <c r="H185" i="1"/>
  <c r="G185" i="1"/>
  <c r="D185" i="1"/>
  <c r="J184" i="1"/>
  <c r="I184" i="1"/>
  <c r="H184" i="1"/>
  <c r="G184" i="1"/>
  <c r="D184" i="1"/>
  <c r="J183" i="1"/>
  <c r="I183" i="1" s="1"/>
  <c r="H183" i="1"/>
  <c r="G183" i="1"/>
  <c r="D183" i="1"/>
  <c r="I182" i="1"/>
  <c r="H182" i="1"/>
  <c r="G182" i="1"/>
  <c r="D182" i="1"/>
  <c r="J181" i="1"/>
  <c r="I181" i="1"/>
  <c r="H181" i="1"/>
  <c r="G181" i="1"/>
  <c r="D181" i="1"/>
  <c r="J180" i="1"/>
  <c r="I180" i="1" s="1"/>
  <c r="H180" i="1"/>
  <c r="G180" i="1"/>
  <c r="D180" i="1"/>
  <c r="I179" i="1"/>
  <c r="H179" i="1"/>
  <c r="G179" i="1"/>
  <c r="D179" i="1"/>
  <c r="J178" i="1"/>
  <c r="I178" i="1"/>
  <c r="H178" i="1"/>
  <c r="G178" i="1"/>
  <c r="D178" i="1"/>
  <c r="I177" i="1"/>
  <c r="H177" i="1"/>
  <c r="G177" i="1"/>
  <c r="D177" i="1"/>
  <c r="J176" i="1"/>
  <c r="I176" i="1" s="1"/>
  <c r="H176" i="1"/>
  <c r="G176" i="1"/>
  <c r="D176" i="1"/>
  <c r="I175" i="1"/>
  <c r="H175" i="1"/>
  <c r="G175" i="1"/>
  <c r="D175" i="1"/>
  <c r="J174" i="1"/>
  <c r="I174" i="1"/>
  <c r="H174" i="1"/>
  <c r="G174" i="1"/>
  <c r="D174" i="1"/>
  <c r="J173" i="1"/>
  <c r="I173" i="1" s="1"/>
  <c r="H173" i="1"/>
  <c r="G173" i="1"/>
  <c r="D173" i="1"/>
  <c r="J172" i="1"/>
  <c r="I172" i="1"/>
  <c r="H172" i="1"/>
  <c r="G172" i="1"/>
  <c r="D172" i="1"/>
  <c r="J171" i="1"/>
  <c r="I171" i="1" s="1"/>
  <c r="H171" i="1"/>
  <c r="G171" i="1"/>
  <c r="D171" i="1"/>
  <c r="J170" i="1"/>
  <c r="I170" i="1"/>
  <c r="H170" i="1"/>
  <c r="G170" i="1"/>
  <c r="D170" i="1"/>
  <c r="I169" i="1"/>
  <c r="H169" i="1"/>
  <c r="G169" i="1"/>
  <c r="D169" i="1"/>
  <c r="J168" i="1"/>
  <c r="I168" i="1" s="1"/>
  <c r="H168" i="1"/>
  <c r="G168" i="1"/>
  <c r="D168" i="1"/>
  <c r="J167" i="1"/>
  <c r="I167" i="1"/>
  <c r="H167" i="1"/>
  <c r="G167" i="1"/>
  <c r="D167" i="1"/>
  <c r="I166" i="1"/>
  <c r="H166" i="1"/>
  <c r="G166" i="1"/>
  <c r="D166" i="1"/>
  <c r="J165" i="1"/>
  <c r="I165" i="1" s="1"/>
  <c r="H165" i="1"/>
  <c r="G165" i="1"/>
  <c r="D165" i="1"/>
  <c r="J164" i="1"/>
  <c r="I164" i="1"/>
  <c r="H164" i="1"/>
  <c r="G164" i="1"/>
  <c r="D164" i="1"/>
  <c r="J163" i="1"/>
  <c r="I163" i="1" s="1"/>
  <c r="H163" i="1"/>
  <c r="G163" i="1"/>
  <c r="D163" i="1"/>
  <c r="J162" i="1"/>
  <c r="I162" i="1"/>
  <c r="H162" i="1"/>
  <c r="G162" i="1"/>
  <c r="D162" i="1"/>
  <c r="J161" i="1"/>
  <c r="I161" i="1" s="1"/>
  <c r="H161" i="1"/>
  <c r="G161" i="1"/>
  <c r="D161" i="1"/>
  <c r="I160" i="1"/>
  <c r="H160" i="1"/>
  <c r="G160" i="1"/>
  <c r="D160" i="1"/>
  <c r="J159" i="1"/>
  <c r="I159" i="1"/>
  <c r="H159" i="1"/>
  <c r="G159" i="1"/>
  <c r="D159" i="1"/>
  <c r="J158" i="1"/>
  <c r="I158" i="1" s="1"/>
  <c r="H158" i="1"/>
  <c r="G158" i="1"/>
  <c r="D158" i="1"/>
  <c r="J157" i="1"/>
  <c r="I157" i="1"/>
  <c r="H157" i="1"/>
  <c r="G157" i="1"/>
  <c r="D157" i="1"/>
  <c r="J156" i="1"/>
  <c r="I156" i="1" s="1"/>
  <c r="H156" i="1"/>
  <c r="G156" i="1"/>
  <c r="D156" i="1"/>
  <c r="I155" i="1"/>
  <c r="H155" i="1"/>
  <c r="G155" i="1"/>
  <c r="D155" i="1"/>
  <c r="I154" i="1"/>
  <c r="H154" i="1"/>
  <c r="G154" i="1"/>
  <c r="D154" i="1"/>
  <c r="I153" i="1"/>
  <c r="H153" i="1"/>
  <c r="G153" i="1"/>
  <c r="D153" i="1"/>
  <c r="J152" i="1"/>
  <c r="I152" i="1"/>
  <c r="H152" i="1"/>
  <c r="G152" i="1"/>
  <c r="D152" i="1"/>
  <c r="J151" i="1"/>
  <c r="I151" i="1" s="1"/>
  <c r="H151" i="1"/>
  <c r="G151" i="1"/>
  <c r="D151" i="1"/>
  <c r="J150" i="1"/>
  <c r="I150" i="1"/>
  <c r="H150" i="1"/>
  <c r="G150" i="1"/>
  <c r="D150" i="1"/>
  <c r="I149" i="1"/>
  <c r="H149" i="1"/>
  <c r="G149" i="1"/>
  <c r="D149" i="1"/>
  <c r="J148" i="1"/>
  <c r="I148" i="1" s="1"/>
  <c r="H148" i="1"/>
  <c r="G148" i="1"/>
  <c r="D148" i="1"/>
  <c r="J147" i="1"/>
  <c r="I147" i="1"/>
  <c r="H147" i="1"/>
  <c r="G147" i="1"/>
  <c r="D147" i="1"/>
  <c r="I146" i="1"/>
  <c r="H146" i="1"/>
  <c r="G146" i="1"/>
  <c r="D146" i="1"/>
  <c r="J145" i="1"/>
  <c r="I145" i="1" s="1"/>
  <c r="H145" i="1"/>
  <c r="G145" i="1"/>
  <c r="D145" i="1"/>
  <c r="J144" i="1"/>
  <c r="I144" i="1"/>
  <c r="H144" i="1"/>
  <c r="G144" i="1"/>
  <c r="D144" i="1"/>
  <c r="I143" i="1"/>
  <c r="H143" i="1"/>
  <c r="G143" i="1"/>
  <c r="D143" i="1"/>
  <c r="I142" i="1"/>
  <c r="H142" i="1"/>
  <c r="G142" i="1"/>
  <c r="D142" i="1"/>
  <c r="J141" i="1"/>
  <c r="I141" i="1" s="1"/>
  <c r="H141" i="1"/>
  <c r="G141" i="1"/>
  <c r="D141" i="1"/>
  <c r="J140" i="1"/>
  <c r="I140" i="1"/>
  <c r="H140" i="1"/>
  <c r="G140" i="1"/>
  <c r="D140" i="1"/>
  <c r="I139" i="1"/>
  <c r="H139" i="1"/>
  <c r="G139" i="1"/>
  <c r="D139" i="1"/>
  <c r="J138" i="1"/>
  <c r="I138" i="1" s="1"/>
  <c r="H138" i="1"/>
  <c r="G138" i="1"/>
  <c r="D138" i="1"/>
  <c r="J137" i="1"/>
  <c r="I137" i="1"/>
  <c r="H137" i="1"/>
  <c r="G137" i="1"/>
  <c r="D137" i="1"/>
  <c r="I136" i="1"/>
  <c r="H136" i="1"/>
  <c r="G136" i="1"/>
  <c r="D136" i="1"/>
  <c r="J135" i="1"/>
  <c r="I135" i="1" s="1"/>
  <c r="H135" i="1"/>
  <c r="G135" i="1"/>
  <c r="D135" i="1"/>
  <c r="I134" i="1"/>
  <c r="H134" i="1"/>
  <c r="G134" i="1"/>
  <c r="D134" i="1"/>
  <c r="J133" i="1"/>
  <c r="I133" i="1"/>
  <c r="H133" i="1"/>
  <c r="G133" i="1"/>
  <c r="D133" i="1"/>
  <c r="J132" i="1"/>
  <c r="I132" i="1" s="1"/>
  <c r="H132" i="1"/>
  <c r="G132" i="1"/>
  <c r="D132" i="1"/>
  <c r="J131" i="1"/>
  <c r="I131" i="1"/>
  <c r="H131" i="1"/>
  <c r="G131" i="1"/>
  <c r="D131" i="1"/>
  <c r="J130" i="1"/>
  <c r="I130" i="1" s="1"/>
  <c r="H130" i="1"/>
  <c r="G130" i="1"/>
  <c r="D130" i="1"/>
  <c r="J129" i="1"/>
  <c r="I129" i="1"/>
  <c r="H129" i="1"/>
  <c r="G129" i="1"/>
  <c r="D129" i="1"/>
  <c r="J128" i="1"/>
  <c r="I128" i="1" s="1"/>
  <c r="H128" i="1"/>
  <c r="G128" i="1"/>
  <c r="D128" i="1"/>
  <c r="J127" i="1"/>
  <c r="I127" i="1"/>
  <c r="H127" i="1"/>
  <c r="G127" i="1"/>
  <c r="D127" i="1"/>
  <c r="J126" i="1"/>
  <c r="I126" i="1" s="1"/>
  <c r="H126" i="1"/>
  <c r="G126" i="1"/>
  <c r="D126" i="1"/>
  <c r="J125" i="1"/>
  <c r="I125" i="1"/>
  <c r="H125" i="1"/>
  <c r="G125" i="1"/>
  <c r="D125" i="1"/>
  <c r="J124" i="1"/>
  <c r="I124" i="1" s="1"/>
  <c r="H124" i="1"/>
  <c r="G124" i="1"/>
  <c r="D124" i="1"/>
  <c r="J123" i="1"/>
  <c r="I123" i="1"/>
  <c r="H123" i="1"/>
  <c r="G123" i="1"/>
  <c r="D123" i="1"/>
  <c r="J122" i="1"/>
  <c r="I122" i="1" s="1"/>
  <c r="H122" i="1"/>
  <c r="G122" i="1"/>
  <c r="D122" i="1"/>
  <c r="J121" i="1"/>
  <c r="I121" i="1"/>
  <c r="H121" i="1"/>
  <c r="G121" i="1"/>
  <c r="D121" i="1"/>
  <c r="J120" i="1"/>
  <c r="I120" i="1" s="1"/>
  <c r="H120" i="1"/>
  <c r="G120" i="1"/>
  <c r="D120" i="1"/>
  <c r="J119" i="1"/>
  <c r="I119" i="1"/>
  <c r="H119" i="1"/>
  <c r="G119" i="1"/>
  <c r="D119" i="1"/>
  <c r="J118" i="1"/>
  <c r="I118" i="1" s="1"/>
  <c r="H118" i="1"/>
  <c r="G118" i="1"/>
  <c r="D118" i="1"/>
  <c r="J117" i="1"/>
  <c r="I117" i="1"/>
  <c r="H117" i="1"/>
  <c r="G117" i="1"/>
  <c r="D117" i="1"/>
  <c r="J116" i="1"/>
  <c r="I116" i="1" s="1"/>
  <c r="H116" i="1"/>
  <c r="G116" i="1"/>
  <c r="D116" i="1"/>
  <c r="I115" i="1"/>
  <c r="H115" i="1"/>
  <c r="G115" i="1"/>
  <c r="D115" i="1"/>
  <c r="I114" i="1"/>
  <c r="H114" i="1"/>
  <c r="G114" i="1"/>
  <c r="D114" i="1"/>
  <c r="J113" i="1"/>
  <c r="I113" i="1"/>
  <c r="H113" i="1"/>
  <c r="G113" i="1"/>
  <c r="D113" i="1"/>
  <c r="I112" i="1"/>
  <c r="H112" i="1"/>
  <c r="G112" i="1"/>
  <c r="D112" i="1"/>
  <c r="J111" i="1"/>
  <c r="I111" i="1" s="1"/>
  <c r="H111" i="1"/>
  <c r="G111" i="1"/>
  <c r="D111" i="1"/>
  <c r="J110" i="1"/>
  <c r="I110" i="1"/>
  <c r="H110" i="1"/>
  <c r="G110" i="1"/>
  <c r="D110" i="1"/>
  <c r="J109" i="1"/>
  <c r="I109" i="1" s="1"/>
  <c r="H109" i="1"/>
  <c r="G109" i="1"/>
  <c r="D109" i="1"/>
  <c r="I108" i="1"/>
  <c r="H108" i="1"/>
  <c r="G108" i="1"/>
  <c r="D108" i="1"/>
  <c r="J107" i="1"/>
  <c r="I107" i="1"/>
  <c r="H107" i="1"/>
  <c r="G107" i="1"/>
  <c r="D107" i="1"/>
  <c r="J106" i="1"/>
  <c r="I106" i="1" s="1"/>
  <c r="H106" i="1"/>
  <c r="G106" i="1"/>
  <c r="D106" i="1"/>
  <c r="J105" i="1"/>
  <c r="I105" i="1"/>
  <c r="H105" i="1"/>
  <c r="G105" i="1"/>
  <c r="D105" i="1"/>
  <c r="J104" i="1"/>
  <c r="I104" i="1" s="1"/>
  <c r="H104" i="1"/>
  <c r="G104" i="1"/>
  <c r="D104" i="1"/>
  <c r="J103" i="1"/>
  <c r="I103" i="1"/>
  <c r="H103" i="1"/>
  <c r="G103" i="1"/>
  <c r="D103" i="1"/>
  <c r="I102" i="1"/>
  <c r="H102" i="1"/>
  <c r="G102" i="1"/>
  <c r="D102" i="1"/>
  <c r="J101" i="1"/>
  <c r="I101" i="1" s="1"/>
  <c r="H101" i="1"/>
  <c r="G101" i="1"/>
  <c r="D101" i="1"/>
  <c r="J100" i="1"/>
  <c r="I100" i="1"/>
  <c r="H100" i="1"/>
  <c r="G100" i="1"/>
  <c r="D100" i="1"/>
  <c r="J99" i="1"/>
  <c r="I99" i="1" s="1"/>
  <c r="H99" i="1"/>
  <c r="G99" i="1"/>
  <c r="D99" i="1"/>
  <c r="J98" i="1"/>
  <c r="I98" i="1"/>
  <c r="H98" i="1"/>
  <c r="G98" i="1"/>
  <c r="D98" i="1"/>
  <c r="J97" i="1"/>
  <c r="I97" i="1" s="1"/>
  <c r="H97" i="1"/>
  <c r="G97" i="1"/>
  <c r="D97" i="1"/>
  <c r="J96" i="1"/>
  <c r="I96" i="1"/>
  <c r="H96" i="1"/>
  <c r="G96" i="1"/>
  <c r="D96" i="1"/>
  <c r="J95" i="1"/>
  <c r="I95" i="1" s="1"/>
  <c r="H95" i="1"/>
  <c r="G95" i="1"/>
  <c r="D95" i="1"/>
  <c r="J94" i="1"/>
  <c r="I94" i="1"/>
  <c r="H94" i="1"/>
  <c r="G94" i="1"/>
  <c r="D94" i="1"/>
  <c r="J93" i="1"/>
  <c r="I93" i="1" s="1"/>
  <c r="H93" i="1"/>
  <c r="G93" i="1"/>
  <c r="D93" i="1"/>
  <c r="J92" i="1"/>
  <c r="I92" i="1"/>
  <c r="H92" i="1"/>
  <c r="G92" i="1"/>
  <c r="D92" i="1"/>
  <c r="J91" i="1"/>
  <c r="I91" i="1" s="1"/>
  <c r="H91" i="1"/>
  <c r="G91" i="1"/>
  <c r="D91" i="1"/>
  <c r="J90" i="1"/>
  <c r="I90" i="1"/>
  <c r="H90" i="1"/>
  <c r="G90" i="1"/>
  <c r="D90" i="1"/>
  <c r="J89" i="1"/>
  <c r="I89" i="1" s="1"/>
  <c r="H89" i="1"/>
  <c r="G89" i="1"/>
  <c r="D89" i="1"/>
  <c r="J88" i="1"/>
  <c r="I88" i="1"/>
  <c r="H88" i="1"/>
  <c r="G88" i="1"/>
  <c r="D88" i="1"/>
  <c r="J87" i="1"/>
  <c r="I87" i="1" s="1"/>
  <c r="H87" i="1"/>
  <c r="G87" i="1"/>
  <c r="D87" i="1"/>
  <c r="J86" i="1"/>
  <c r="I86" i="1"/>
  <c r="H86" i="1"/>
  <c r="G86" i="1"/>
  <c r="D86" i="1"/>
  <c r="J85" i="1"/>
  <c r="I85" i="1" s="1"/>
  <c r="H85" i="1"/>
  <c r="G85" i="1"/>
  <c r="D85" i="1"/>
  <c r="J84" i="1"/>
  <c r="I84" i="1"/>
  <c r="H84" i="1"/>
  <c r="G84" i="1"/>
  <c r="D84" i="1"/>
  <c r="J83" i="1"/>
  <c r="I83" i="1" s="1"/>
  <c r="H83" i="1"/>
  <c r="G83" i="1"/>
  <c r="D83" i="1"/>
  <c r="J82" i="1"/>
  <c r="I82" i="1"/>
  <c r="H82" i="1"/>
  <c r="G82" i="1"/>
  <c r="D82" i="1"/>
  <c r="J81" i="1"/>
  <c r="I81" i="1" s="1"/>
  <c r="H81" i="1"/>
  <c r="G81" i="1"/>
  <c r="D81" i="1"/>
  <c r="J80" i="1"/>
  <c r="I80" i="1"/>
  <c r="H80" i="1"/>
  <c r="G80" i="1"/>
  <c r="D80" i="1"/>
  <c r="J79" i="1"/>
  <c r="I79" i="1" s="1"/>
  <c r="H79" i="1"/>
  <c r="G79" i="1"/>
  <c r="D79" i="1"/>
  <c r="J78" i="1"/>
  <c r="I78" i="1"/>
  <c r="H78" i="1"/>
  <c r="G78" i="1"/>
  <c r="D78" i="1"/>
  <c r="J77" i="1"/>
  <c r="I77" i="1" s="1"/>
  <c r="H77" i="1"/>
  <c r="G77" i="1"/>
  <c r="D77" i="1"/>
  <c r="J76" i="1"/>
  <c r="I76" i="1"/>
  <c r="H76" i="1"/>
  <c r="G76" i="1"/>
  <c r="D76" i="1"/>
  <c r="J75" i="1"/>
  <c r="I75" i="1" s="1"/>
  <c r="H75" i="1"/>
  <c r="G75" i="1"/>
  <c r="D75" i="1"/>
  <c r="J74" i="1"/>
  <c r="I74" i="1"/>
  <c r="H74" i="1"/>
  <c r="G74" i="1"/>
  <c r="D74" i="1"/>
  <c r="I73" i="1"/>
  <c r="H73" i="1"/>
  <c r="G73" i="1"/>
  <c r="D73" i="1"/>
  <c r="I72" i="1"/>
  <c r="H72" i="1"/>
  <c r="G72" i="1"/>
  <c r="D72" i="1"/>
  <c r="J71" i="1"/>
  <c r="I71" i="1" s="1"/>
  <c r="H71" i="1"/>
  <c r="G71" i="1"/>
  <c r="D71" i="1"/>
  <c r="J70" i="1"/>
  <c r="I70" i="1"/>
  <c r="H70" i="1"/>
  <c r="G70" i="1"/>
  <c r="D70" i="1"/>
  <c r="J69" i="1"/>
  <c r="I69" i="1" s="1"/>
  <c r="H69" i="1"/>
  <c r="G69" i="1"/>
  <c r="D69" i="1"/>
  <c r="J68" i="1"/>
  <c r="I68" i="1"/>
  <c r="H68" i="1"/>
  <c r="G68" i="1"/>
  <c r="D68" i="1"/>
  <c r="I67" i="1"/>
  <c r="H67" i="1"/>
  <c r="G67" i="1"/>
  <c r="D67" i="1"/>
  <c r="J66" i="1"/>
  <c r="I66" i="1" s="1"/>
  <c r="H66" i="1"/>
  <c r="G66" i="1"/>
  <c r="D66" i="1"/>
  <c r="J65" i="1"/>
  <c r="I65" i="1"/>
  <c r="H65" i="1"/>
  <c r="G65" i="1"/>
  <c r="D65" i="1"/>
  <c r="J64" i="1"/>
  <c r="I64" i="1" s="1"/>
  <c r="H64" i="1"/>
  <c r="G64" i="1"/>
  <c r="D64" i="1"/>
  <c r="J63" i="1"/>
  <c r="I63" i="1"/>
  <c r="H63" i="1"/>
  <c r="G63" i="1"/>
  <c r="D63" i="1"/>
  <c r="J62" i="1"/>
  <c r="I62" i="1" s="1"/>
  <c r="H62" i="1"/>
  <c r="G62" i="1"/>
  <c r="D62" i="1"/>
  <c r="I61" i="1"/>
  <c r="H61" i="1"/>
  <c r="G61" i="1"/>
  <c r="D61" i="1"/>
  <c r="J60" i="1"/>
  <c r="I60" i="1"/>
  <c r="H60" i="1"/>
  <c r="G60" i="1"/>
  <c r="D60" i="1"/>
  <c r="I59" i="1"/>
  <c r="H59" i="1"/>
  <c r="G59" i="1"/>
  <c r="D59" i="1"/>
  <c r="J58" i="1"/>
  <c r="I58" i="1" s="1"/>
  <c r="H58" i="1"/>
  <c r="G58" i="1"/>
  <c r="D58" i="1"/>
  <c r="J57" i="1"/>
  <c r="I57" i="1"/>
  <c r="H57" i="1"/>
  <c r="G57" i="1"/>
  <c r="D57" i="1"/>
  <c r="I56" i="1"/>
  <c r="H56" i="1"/>
  <c r="G56" i="1"/>
  <c r="D56" i="1"/>
  <c r="J55" i="1"/>
  <c r="I55" i="1" s="1"/>
  <c r="H55" i="1"/>
  <c r="G55" i="1"/>
  <c r="D55" i="1"/>
  <c r="J54" i="1"/>
  <c r="I54" i="1"/>
  <c r="H54" i="1"/>
  <c r="G54" i="1"/>
  <c r="D54" i="1"/>
  <c r="J53" i="1"/>
  <c r="I53" i="1" s="1"/>
  <c r="H53" i="1"/>
  <c r="G53" i="1"/>
  <c r="D53" i="1"/>
  <c r="I52" i="1"/>
  <c r="H52" i="1"/>
  <c r="G52" i="1"/>
  <c r="D52" i="1"/>
  <c r="J51" i="1"/>
  <c r="I51" i="1"/>
  <c r="H51" i="1"/>
  <c r="G51" i="1"/>
  <c r="D51" i="1"/>
  <c r="J50" i="1"/>
  <c r="I50" i="1" s="1"/>
  <c r="H50" i="1"/>
  <c r="G50" i="1"/>
  <c r="D50" i="1"/>
  <c r="J49" i="1"/>
  <c r="I49" i="1"/>
  <c r="H49" i="1"/>
  <c r="G49" i="1"/>
  <c r="D49" i="1"/>
  <c r="J48" i="1"/>
  <c r="I48" i="1" s="1"/>
  <c r="H48" i="1"/>
  <c r="G48" i="1"/>
  <c r="D48" i="1"/>
  <c r="J47" i="1"/>
  <c r="I47" i="1"/>
  <c r="H47" i="1"/>
  <c r="G47" i="1"/>
  <c r="D47" i="1"/>
  <c r="J46" i="1"/>
  <c r="I46" i="1" s="1"/>
  <c r="H46" i="1"/>
  <c r="G46" i="1"/>
  <c r="D46" i="1"/>
  <c r="J45" i="1"/>
  <c r="I45" i="1"/>
  <c r="H45" i="1"/>
  <c r="G45" i="1"/>
  <c r="D45" i="1"/>
  <c r="I44" i="1"/>
  <c r="H44" i="1"/>
  <c r="G44" i="1"/>
  <c r="D44" i="1"/>
  <c r="J43" i="1"/>
  <c r="I43" i="1" s="1"/>
  <c r="H43" i="1"/>
  <c r="G43" i="1"/>
  <c r="D43" i="1"/>
  <c r="J42" i="1"/>
  <c r="I42" i="1"/>
  <c r="H42" i="1"/>
  <c r="G42" i="1"/>
  <c r="D42" i="1"/>
  <c r="J41" i="1"/>
  <c r="I41" i="1" s="1"/>
  <c r="H41" i="1"/>
  <c r="G41" i="1"/>
  <c r="D41" i="1"/>
  <c r="J40" i="1"/>
  <c r="I40" i="1"/>
  <c r="H40" i="1"/>
  <c r="G40" i="1"/>
  <c r="D40" i="1"/>
  <c r="J39" i="1"/>
  <c r="I39" i="1" s="1"/>
  <c r="H39" i="1"/>
  <c r="G39" i="1"/>
  <c r="D39" i="1"/>
  <c r="J38" i="1"/>
  <c r="I38" i="1"/>
  <c r="H38" i="1"/>
  <c r="G38" i="1"/>
  <c r="D38" i="1"/>
  <c r="J37" i="1"/>
  <c r="I37" i="1" s="1"/>
  <c r="H37" i="1"/>
  <c r="G37" i="1"/>
  <c r="D37" i="1"/>
  <c r="I36" i="1"/>
  <c r="H36" i="1"/>
  <c r="G36" i="1"/>
  <c r="D36" i="1"/>
  <c r="J35" i="1"/>
  <c r="I35" i="1"/>
  <c r="H35" i="1"/>
  <c r="G35" i="1"/>
  <c r="D35" i="1"/>
  <c r="J34" i="1"/>
  <c r="I34" i="1" s="1"/>
  <c r="H34" i="1"/>
  <c r="G34" i="1"/>
  <c r="D34" i="1"/>
  <c r="J33" i="1"/>
  <c r="I33" i="1"/>
  <c r="H33" i="1"/>
  <c r="G33" i="1"/>
  <c r="D33" i="1"/>
  <c r="I32" i="1"/>
  <c r="H32" i="1"/>
  <c r="G32" i="1"/>
  <c r="D32" i="1"/>
  <c r="J31" i="1"/>
  <c r="I31" i="1" s="1"/>
  <c r="H31" i="1"/>
  <c r="G31" i="1"/>
  <c r="D31" i="1"/>
  <c r="J30" i="1"/>
  <c r="I30" i="1"/>
  <c r="H30" i="1"/>
  <c r="G30" i="1"/>
  <c r="D30" i="1"/>
  <c r="J29" i="1"/>
  <c r="I29" i="1" s="1"/>
  <c r="H29" i="1"/>
  <c r="G29" i="1"/>
  <c r="D29" i="1"/>
  <c r="I28" i="1"/>
  <c r="H28" i="1"/>
  <c r="G28" i="1"/>
  <c r="D28" i="1"/>
  <c r="J27" i="1"/>
  <c r="I27" i="1"/>
  <c r="H27" i="1"/>
  <c r="G27" i="1"/>
  <c r="D27" i="1"/>
  <c r="J26" i="1"/>
  <c r="I26" i="1" s="1"/>
  <c r="H26" i="1"/>
  <c r="G26" i="1"/>
  <c r="D26" i="1"/>
  <c r="J25" i="1"/>
  <c r="I25" i="1"/>
  <c r="H25" i="1"/>
  <c r="G25" i="1"/>
  <c r="D25" i="1"/>
  <c r="J24" i="1"/>
  <c r="I24" i="1" s="1"/>
  <c r="H24" i="1"/>
  <c r="G24" i="1"/>
  <c r="D24" i="1"/>
  <c r="J23" i="1"/>
  <c r="I23" i="1"/>
  <c r="H23" i="1"/>
  <c r="G23" i="1"/>
  <c r="D23" i="1"/>
  <c r="I22" i="1"/>
  <c r="H22" i="1"/>
  <c r="G22" i="1"/>
  <c r="D22" i="1"/>
  <c r="J21" i="1"/>
  <c r="I21" i="1" s="1"/>
  <c r="H21" i="1"/>
  <c r="G21" i="1"/>
  <c r="D21" i="1"/>
  <c r="J20" i="1"/>
  <c r="I20" i="1"/>
  <c r="H20" i="1"/>
  <c r="G20" i="1"/>
  <c r="D20" i="1"/>
  <c r="I19" i="1"/>
  <c r="H19" i="1"/>
  <c r="G19" i="1"/>
  <c r="D19" i="1"/>
  <c r="J18" i="1"/>
  <c r="I18" i="1" s="1"/>
  <c r="H18" i="1"/>
  <c r="G18" i="1"/>
  <c r="D18" i="1"/>
  <c r="J17" i="1"/>
  <c r="I17" i="1"/>
  <c r="H17" i="1"/>
  <c r="G17" i="1"/>
  <c r="D17" i="1"/>
  <c r="I16" i="1"/>
  <c r="H16" i="1"/>
  <c r="G16" i="1"/>
  <c r="D16" i="1"/>
</calcChain>
</file>

<file path=xl/sharedStrings.xml><?xml version="1.0" encoding="utf-8"?>
<sst xmlns="http://schemas.openxmlformats.org/spreadsheetml/2006/main" count="2457" uniqueCount="1546">
  <si>
    <t>LINE PLAN UPLOAD</t>
  </si>
  <si>
    <t>LINE CODE</t>
  </si>
  <si>
    <t>Rumiya_Line</t>
  </si>
  <si>
    <t>Production line code. Auto-created if not in system.</t>
  </si>
  <si>
    <t>HALL NAME</t>
  </si>
  <si>
    <t>Hall B</t>
  </si>
  <si>
    <t>Hall/area name.</t>
  </si>
  <si>
    <t>DATE</t>
  </si>
  <si>
    <t>2026-03-26</t>
  </si>
  <si>
    <t>Work date — YYYY-MM-DD format.</t>
  </si>
  <si>
    <t>PRODUCT CODE</t>
  </si>
  <si>
    <t>KN754</t>
  </si>
  <si>
    <t>Style/product code. Auto-created if new.</t>
  </si>
  <si>
    <t>PRODUCT NAME</t>
  </si>
  <si>
    <t>KATESPADE</t>
  </si>
  <si>
    <t>Full product name.</t>
  </si>
  <si>
    <t>BUYER NAME</t>
  </si>
  <si>
    <t/>
  </si>
  <si>
    <t>Buyer / brand name. Optional.</t>
  </si>
  <si>
    <t>PLAN MONTH</t>
  </si>
  <si>
    <t>2026-04</t>
  </si>
  <si>
    <t>Plan month (e.g. 2026-04). Optional.</t>
  </si>
  <si>
    <t>TARGET UNITS</t>
  </si>
  <si>
    <t>Daily target for this line. Required.</t>
  </si>
  <si>
    <t>CO PRODUCT CODE</t>
  </si>
  <si>
    <t>Optional — changeover product code.</t>
  </si>
  <si>
    <t>CO TARGET</t>
  </si>
  <si>
    <t>Optional — changeover target units.</t>
  </si>
  <si>
    <t>LINE LEADER</t>
  </si>
  <si>
    <t>Rumiya</t>
  </si>
  <si>
    <t>Line leader name.</t>
  </si>
  <si>
    <t>GROUP</t>
  </si>
  <si>
    <t>OSM</t>
  </si>
  <si>
    <t>WORKSTATION ▼</t>
  </si>
  <si>
    <t>OP CODE (auto)</t>
  </si>
  <si>
    <t>SELECT OPERATION ▼</t>
  </si>
  <si>
    <t>PROCESS TIME (s)</t>
  </si>
  <si>
    <t>CYCLE TIME (s)</t>
  </si>
  <si>
    <t>SAH</t>
  </si>
  <si>
    <t>EMP CODE (auto)</t>
  </si>
  <si>
    <t>SELECT EMPLOYEE ▼</t>
  </si>
  <si>
    <t>G1</t>
  </si>
  <si>
    <t>OSM1</t>
  </si>
  <si>
    <t>W1</t>
  </si>
  <si>
    <t>Heating</t>
  </si>
  <si>
    <t>A. JAMEELA</t>
  </si>
  <si>
    <t>board with lining attatching &amp;  1st primer</t>
  </si>
  <si>
    <t>die process</t>
  </si>
  <si>
    <t>W2</t>
  </si>
  <si>
    <t>USHA</t>
  </si>
  <si>
    <t>W3</t>
  </si>
  <si>
    <t>Pasting on patti (5*1 Nos)</t>
  </si>
  <si>
    <t>Attaching step patti (4*1 Nos)</t>
  </si>
  <si>
    <t>Pasting on stamp &amp; pkt  (1-Nos)</t>
  </si>
  <si>
    <t>Attaching stamp with cc pkt</t>
  </si>
  <si>
    <t>Pasting on patti (4*1 Nos)</t>
  </si>
  <si>
    <t>Attaching step patti (3*1 Nos)</t>
  </si>
  <si>
    <t>W4</t>
  </si>
  <si>
    <t>Stitching the lining (4*1 Nos)</t>
  </si>
  <si>
    <t>JAYALAKSHMI</t>
  </si>
  <si>
    <t>Stitching closing  lining (1*1 Nos)</t>
  </si>
  <si>
    <t>Stitching the lining (3*1 Nos)</t>
  </si>
  <si>
    <t>Stitching the lining (1*1 Nos)</t>
  </si>
  <si>
    <t>W5</t>
  </si>
  <si>
    <t>Recutting of cc pkt (1:2) 1-Nos</t>
  </si>
  <si>
    <t>ASLAM</t>
  </si>
  <si>
    <t>Recutting of center stay  (1:2)</t>
  </si>
  <si>
    <t>W6</t>
  </si>
  <si>
    <t>Pasting on lining (1-Nos)</t>
  </si>
  <si>
    <t>VENDA</t>
  </si>
  <si>
    <t>Attaching with lining closing(1-Nos)</t>
  </si>
  <si>
    <t>Pasting cover lining and cc pkt (1-Nos)</t>
  </si>
  <si>
    <t>Attaching cover lining and cc pkt (1-Nos)</t>
  </si>
  <si>
    <t>Pasting lining</t>
  </si>
  <si>
    <t>Lining folding</t>
  </si>
  <si>
    <t>Pasting on lining &amp; beeding</t>
  </si>
  <si>
    <t>Attaching lining with beeding</t>
  </si>
  <si>
    <t>W7</t>
  </si>
  <si>
    <t>Pasting on patti</t>
  </si>
  <si>
    <t>TAMIL ARASI</t>
  </si>
  <si>
    <t>Attaching step patti (1*1Nos)</t>
  </si>
  <si>
    <t>Pasting on window side patti lining</t>
  </si>
  <si>
    <t>Pasting on cc pkt</t>
  </si>
  <si>
    <t>Attaching step patti (1Nos)</t>
  </si>
  <si>
    <t>Pasting on window</t>
  </si>
  <si>
    <t>Attaching window with cc pkt</t>
  </si>
  <si>
    <t>W8</t>
  </si>
  <si>
    <t>Stitching the window side</t>
  </si>
  <si>
    <t>KALPANA</t>
  </si>
  <si>
    <t>Stitching the cc pkt on Sides</t>
  </si>
  <si>
    <t>Stitching cc pkt lining side ( half stitch)</t>
  </si>
  <si>
    <t>Thread pulling at both sides</t>
  </si>
  <si>
    <t>G2</t>
  </si>
  <si>
    <t>OSM3</t>
  </si>
  <si>
    <t>W9</t>
  </si>
  <si>
    <t>Stitching window with pkt</t>
  </si>
  <si>
    <t>KUMARI</t>
  </si>
  <si>
    <t>CC Pkt side stitching ( 2nd half stitch)</t>
  </si>
  <si>
    <t>Decorative Stitching of Anchor Bit</t>
  </si>
  <si>
    <t>W10</t>
  </si>
  <si>
    <t>Pasting top leather &amp; facing leather</t>
  </si>
  <si>
    <t>JAYA KODI</t>
  </si>
  <si>
    <t>Attaching top &amp; facing leather</t>
  </si>
  <si>
    <t>W11</t>
  </si>
  <si>
    <t>Lamping</t>
  </si>
  <si>
    <t>AMREEN</t>
  </si>
  <si>
    <t>Lamping of anchor tab bit</t>
  </si>
  <si>
    <t>W12</t>
  </si>
  <si>
    <t>Pressing</t>
  </si>
  <si>
    <t>IRFAN</t>
  </si>
  <si>
    <t>Primer</t>
  </si>
  <si>
    <t>Edge Inking</t>
  </si>
  <si>
    <t>W13</t>
  </si>
  <si>
    <t>Primer 1</t>
  </si>
  <si>
    <t>PUNITHA</t>
  </si>
  <si>
    <t>W14</t>
  </si>
  <si>
    <t>S. THAJNISA</t>
  </si>
  <si>
    <t>Primer 2</t>
  </si>
  <si>
    <t>Primer 3</t>
  </si>
  <si>
    <t>Buffing</t>
  </si>
  <si>
    <t>G3</t>
  </si>
  <si>
    <t>W15</t>
  </si>
  <si>
    <t>Recutting facing Leather (1:5)</t>
  </si>
  <si>
    <t>MUBARAK</t>
  </si>
  <si>
    <t>Recutting Top Leather (1:5)</t>
  </si>
  <si>
    <t>Recutting Top</t>
  </si>
  <si>
    <t>Recutting zip collar PU</t>
  </si>
  <si>
    <t>OSM2</t>
  </si>
  <si>
    <t>W16</t>
  </si>
  <si>
    <t>Foil Embossing on cc pkt</t>
  </si>
  <si>
    <t>RASOOL</t>
  </si>
  <si>
    <t>inserting &amp; Pressing snap male button  (1-Nos)</t>
  </si>
  <si>
    <t>Revitting Female button on Top</t>
  </si>
  <si>
    <t>Grinding  Logo on Top</t>
  </si>
  <si>
    <t>W17</t>
  </si>
  <si>
    <t>Pressing logo on Top</t>
  </si>
  <si>
    <t>AKBAR</t>
  </si>
  <si>
    <t>Attaching Self adhesive logo cover kimlon</t>
  </si>
  <si>
    <t>W18</t>
  </si>
  <si>
    <t>Pasting on top</t>
  </si>
  <si>
    <t>F. ZAINATHBEE</t>
  </si>
  <si>
    <t>W19</t>
  </si>
  <si>
    <t>SHAKEERA</t>
  </si>
  <si>
    <t>Pasting on nonwoven(L/R)</t>
  </si>
  <si>
    <t>Pasting &amp; Attaching mica (2) over top</t>
  </si>
  <si>
    <t>Pasting on top &amp; kimlon</t>
  </si>
  <si>
    <t>Pasting on Top  &amp; center nonwoven(1)</t>
  </si>
  <si>
    <t>Pasting on Top &amp; moon bit</t>
  </si>
  <si>
    <t>Attaching kimlon over top</t>
  </si>
  <si>
    <t>Attaching nonwoven with top</t>
  </si>
  <si>
    <t>Attaching center nonwoven with top</t>
  </si>
  <si>
    <t>Attaching moon bit</t>
  </si>
  <si>
    <t>G4</t>
  </si>
  <si>
    <t>W20</t>
  </si>
  <si>
    <t>Stitching center stay</t>
  </si>
  <si>
    <t>SUBAN</t>
  </si>
  <si>
    <t>W22</t>
  </si>
  <si>
    <t>Stitching  left &amp; right gusset on Top Sides</t>
  </si>
  <si>
    <t>MUNNI</t>
  </si>
  <si>
    <t>Stitching  left  gusset  pu &amp; lining on bottom Sides</t>
  </si>
  <si>
    <t>Stitching zipper with lining</t>
  </si>
  <si>
    <t>W23</t>
  </si>
  <si>
    <t>Top moon bit stitching</t>
  </si>
  <si>
    <t>ASEENA</t>
  </si>
  <si>
    <t>Stitching top side of cc pkt   &amp;  bottom centerstay</t>
  </si>
  <si>
    <t>Stitching shell pkt left side</t>
  </si>
  <si>
    <t>W24</t>
  </si>
  <si>
    <t>Direct stitching zip collar  &amp; tab bit in AMS</t>
  </si>
  <si>
    <t>ABADUDIN</t>
  </si>
  <si>
    <t>G5</t>
  </si>
  <si>
    <t>OSM4</t>
  </si>
  <si>
    <t>W25</t>
  </si>
  <si>
    <t>Pasting on lining &amp; kimlon</t>
  </si>
  <si>
    <t>SARASWATHI</t>
  </si>
  <si>
    <t>Attaching lining with kimlon</t>
  </si>
  <si>
    <t>Lining folding &amp; cornering</t>
  </si>
  <si>
    <t>W26</t>
  </si>
  <si>
    <t>Pasting on Left  Gusset 2 Side</t>
  </si>
  <si>
    <t>R STELLA</t>
  </si>
  <si>
    <t>Pasting over Zip Lining</t>
  </si>
  <si>
    <t>Attaching Left Gusset 2 Side  With zipper Lining</t>
  </si>
  <si>
    <t>W27</t>
  </si>
  <si>
    <t>Pasting on zip collar</t>
  </si>
  <si>
    <t>MD ILYAS</t>
  </si>
  <si>
    <t>Pasting on shell</t>
  </si>
  <si>
    <t>W28</t>
  </si>
  <si>
    <t>Attaching Shell &amp;  zip collar</t>
  </si>
  <si>
    <t>SHANKARI</t>
  </si>
  <si>
    <t>W30</t>
  </si>
  <si>
    <t>BAKIBULLA MOLLA</t>
  </si>
  <si>
    <t>W31</t>
  </si>
  <si>
    <t>Pasting on Right  Gusset 2- Side</t>
  </si>
  <si>
    <t>SOWMIYA</t>
  </si>
  <si>
    <t>Pasting over  shell</t>
  </si>
  <si>
    <t>Attaching  Right  Gusset 2-Side  With shell</t>
  </si>
  <si>
    <t>Pasting on zipper collar support kimlon bit  &amp;  zip collar back</t>
  </si>
  <si>
    <t>Attaching zipper collar support kimlon bit over zip collar back</t>
  </si>
  <si>
    <t>W32</t>
  </si>
  <si>
    <t>Pasting on kimlon (2nos)</t>
  </si>
  <si>
    <t>SAMEENA</t>
  </si>
  <si>
    <t>Pasting over Cc pkt lining</t>
  </si>
  <si>
    <t>Attaching kimlon over cc pkt lining</t>
  </si>
  <si>
    <t>Pasting over Cc pkt</t>
  </si>
  <si>
    <t>Pasting over Center stay</t>
  </si>
  <si>
    <t>Attaching center stay over cc pkt</t>
  </si>
  <si>
    <t>W33</t>
  </si>
  <si>
    <t>Pasting over window pkt</t>
  </si>
  <si>
    <t>RAJESWARI</t>
  </si>
  <si>
    <t>Attaching center stay over window pkt</t>
  </si>
  <si>
    <t>W34</t>
  </si>
  <si>
    <t>Pasting over shell</t>
  </si>
  <si>
    <t>Pasting over Center stay pkt</t>
  </si>
  <si>
    <t>Attaching center pkt with shell</t>
  </si>
  <si>
    <t>Pasting over Center stay lining</t>
  </si>
  <si>
    <t>Attaching with closing center stay lining  with shell closing</t>
  </si>
  <si>
    <t>W35</t>
  </si>
  <si>
    <t>Stitching L&amp;R Shell &amp; zip collar</t>
  </si>
  <si>
    <t>MULLAI KODI</t>
  </si>
  <si>
    <t>W36</t>
  </si>
  <si>
    <t>Stitching center stay over cc pkt</t>
  </si>
  <si>
    <t>SANGEETHA</t>
  </si>
  <si>
    <t>W37</t>
  </si>
  <si>
    <t>RAKIB</t>
  </si>
  <si>
    <t>Pasting over backwall lining</t>
  </si>
  <si>
    <t>Attaching  centerstay /window pkt over backwall lining</t>
  </si>
  <si>
    <t>W38</t>
  </si>
  <si>
    <t>Pasting over  Right shell</t>
  </si>
  <si>
    <t>SHAN BASHA</t>
  </si>
  <si>
    <t>Pasting over Left Window Center stay pkt</t>
  </si>
  <si>
    <t>Attaching left center pkt with right shell</t>
  </si>
  <si>
    <t>W39</t>
  </si>
  <si>
    <t>SARTHAJ</t>
  </si>
  <si>
    <t>W40</t>
  </si>
  <si>
    <t>Stitching top side of cc pkt &amp;bottom centerstay</t>
  </si>
  <si>
    <t>LEVINA</t>
  </si>
  <si>
    <t>W41</t>
  </si>
  <si>
    <t>SHEINAAZ</t>
  </si>
  <si>
    <t>W42</t>
  </si>
  <si>
    <t>W43</t>
  </si>
  <si>
    <t>W44</t>
  </si>
  <si>
    <t>DEVI</t>
  </si>
  <si>
    <t>W45</t>
  </si>
  <si>
    <t>RAMEEZA</t>
  </si>
  <si>
    <t>Promoter</t>
  </si>
  <si>
    <t>Dye</t>
  </si>
  <si>
    <t>W46</t>
  </si>
  <si>
    <t>MUMTAZ</t>
  </si>
  <si>
    <t>G6</t>
  </si>
  <si>
    <t>W47</t>
  </si>
  <si>
    <t>Pasting  Top backwall &amp; top</t>
  </si>
  <si>
    <t>DIVYA</t>
  </si>
  <si>
    <t>W48</t>
  </si>
  <si>
    <t>ZAREENA</t>
  </si>
  <si>
    <t>Attaching lining on top backwall&amp; top</t>
  </si>
  <si>
    <t>Stitching Lining with backwall &amp; moon bit</t>
  </si>
  <si>
    <t>Thread Pull, Pasting</t>
  </si>
  <si>
    <t>W49</t>
  </si>
  <si>
    <t>Pasting over Zip shell</t>
  </si>
  <si>
    <t>W50</t>
  </si>
  <si>
    <t>Inserting mould</t>
  </si>
  <si>
    <t>Attaching Zipper with case in Mould  &amp; Cornnering Zipper over Lining  &amp; mould removing</t>
  </si>
  <si>
    <t>G7</t>
  </si>
  <si>
    <t>OSM5</t>
  </si>
  <si>
    <t>W51</t>
  </si>
  <si>
    <t>Pasting over shell final</t>
  </si>
  <si>
    <t>PARWEEN</t>
  </si>
  <si>
    <t>W52</t>
  </si>
  <si>
    <t>Label prepration</t>
  </si>
  <si>
    <t>Pasting on label</t>
  </si>
  <si>
    <t>W53</t>
  </si>
  <si>
    <t>Attaching label</t>
  </si>
  <si>
    <t>AYUB MOLLA</t>
  </si>
  <si>
    <t>W54</t>
  </si>
  <si>
    <t>Final Attaching</t>
  </si>
  <si>
    <t>RAHIM</t>
  </si>
  <si>
    <t>OSM6</t>
  </si>
  <si>
    <t>W55</t>
  </si>
  <si>
    <t>Final Stitching</t>
  </si>
  <si>
    <t>PRECILA</t>
  </si>
  <si>
    <t>W56</t>
  </si>
  <si>
    <t>SHABANA</t>
  </si>
  <si>
    <t>Puller fixing</t>
  </si>
  <si>
    <t>OSM7</t>
  </si>
  <si>
    <t>W57</t>
  </si>
  <si>
    <t>Cleaning</t>
  </si>
  <si>
    <t>NANDHINI</t>
  </si>
  <si>
    <t>WS01</t>
  </si>
  <si>
    <t>OP-0001</t>
  </si>
  <si>
    <t>TOP PASTING</t>
  </si>
  <si>
    <t>OP-0001 | TOP PASTING</t>
  </si>
  <si>
    <t>LPDS95761</t>
  </si>
  <si>
    <t>A FATHIMA</t>
  </si>
  <si>
    <t>LPDS95761 | A FATHIMA</t>
  </si>
  <si>
    <t>WS02</t>
  </si>
  <si>
    <t>OP-0002</t>
  </si>
  <si>
    <t>KIMLON PASTING</t>
  </si>
  <si>
    <t>OP-0002 | KIMLON PASTING</t>
  </si>
  <si>
    <t>LPDS95657</t>
  </si>
  <si>
    <t>A JOTHI</t>
  </si>
  <si>
    <t>LPDS95657 | A JOTHI</t>
  </si>
  <si>
    <t>WS03</t>
  </si>
  <si>
    <t>OP-0003</t>
  </si>
  <si>
    <t>ATTACHING TOP &amp; KIMLON</t>
  </si>
  <si>
    <t>OP-0003 | ATTACHING TOP &amp; KIMLON</t>
  </si>
  <si>
    <t>LPD11959</t>
  </si>
  <si>
    <t>A MEENAKSHI</t>
  </si>
  <si>
    <t>LPD11959 | A MEENAKSHI</t>
  </si>
  <si>
    <t>WS04</t>
  </si>
  <si>
    <t>OP-0004</t>
  </si>
  <si>
    <t>GUSSET STITCHING -2NOS</t>
  </si>
  <si>
    <t>OP-0004 | GUSSET STITCHING -2NOS</t>
  </si>
  <si>
    <t>LPD02946</t>
  </si>
  <si>
    <t>A. ALEMELU</t>
  </si>
  <si>
    <t>LPD02946 | A. ALEMELU</t>
  </si>
  <si>
    <t>WS05</t>
  </si>
  <si>
    <t>OP-0005</t>
  </si>
  <si>
    <t>GUSSET LAMPING -2NOS</t>
  </si>
  <si>
    <t>OP-0005 | GUSSET LAMPING -2NOS</t>
  </si>
  <si>
    <t>LPD07479</t>
  </si>
  <si>
    <t>A. CHANMA</t>
  </si>
  <si>
    <t>LPD07479 | A. CHANMA</t>
  </si>
  <si>
    <t>WS06</t>
  </si>
  <si>
    <t>OP-0006</t>
  </si>
  <si>
    <t>GUSSET SHAPING</t>
  </si>
  <si>
    <t>OP-0006 | GUSSET SHAPING</t>
  </si>
  <si>
    <t>LPD10419</t>
  </si>
  <si>
    <t>A. FARHANA BEGAM</t>
  </si>
  <si>
    <t>LPD10419 | A. FARHANA BEGAM</t>
  </si>
  <si>
    <t>WS07</t>
  </si>
  <si>
    <t>OP-0007</t>
  </si>
  <si>
    <t>PATTI PROMOTOR</t>
  </si>
  <si>
    <t>OP-0007 | PATTI PROMOTOR</t>
  </si>
  <si>
    <t>LPD07739</t>
  </si>
  <si>
    <t>LPD07739 | A. JAMEELA</t>
  </si>
  <si>
    <t>WS08</t>
  </si>
  <si>
    <t>G8</t>
  </si>
  <si>
    <t>OP-0008</t>
  </si>
  <si>
    <t>PATTI PRIMER 1</t>
  </si>
  <si>
    <t>OP-0008 | PATTI PRIMER 1</t>
  </si>
  <si>
    <t>LPD00059</t>
  </si>
  <si>
    <t>A. NOORUN</t>
  </si>
  <si>
    <t>LPD00059 | A. NOORUN</t>
  </si>
  <si>
    <t>WS09</t>
  </si>
  <si>
    <t>G9</t>
  </si>
  <si>
    <t>OP-0009</t>
  </si>
  <si>
    <t>PATTI DYE</t>
  </si>
  <si>
    <t>OP-0009 | PATTI DYE</t>
  </si>
  <si>
    <t>LPD03353</t>
  </si>
  <si>
    <t>A. RAFI</t>
  </si>
  <si>
    <t>LPD03353 | A. RAFI</t>
  </si>
  <si>
    <t>WS10</t>
  </si>
  <si>
    <t>G10</t>
  </si>
  <si>
    <t>OP-0010</t>
  </si>
  <si>
    <t>PATTI PRIMER 2</t>
  </si>
  <si>
    <t>OP-0010 | PATTI PRIMER 2</t>
  </si>
  <si>
    <t>LPD07294</t>
  </si>
  <si>
    <t>A. RAMEZA</t>
  </si>
  <si>
    <t>LPD07294 | A. RAMEZA</t>
  </si>
  <si>
    <t>WS11</t>
  </si>
  <si>
    <t>G11</t>
  </si>
  <si>
    <t>OP-0011</t>
  </si>
  <si>
    <t>CLEANING</t>
  </si>
  <si>
    <t>OP-0011 | CLEANING</t>
  </si>
  <si>
    <t>LPD00601</t>
  </si>
  <si>
    <t>A. SADIKHA</t>
  </si>
  <si>
    <t>LPD00601 | A. SADIKHA</t>
  </si>
  <si>
    <t>WS12</t>
  </si>
  <si>
    <t>G12</t>
  </si>
  <si>
    <t>OP-0012</t>
  </si>
  <si>
    <t>OP-0012 | CLEANING</t>
  </si>
  <si>
    <t>LPD09996</t>
  </si>
  <si>
    <t>A. YASEEN BEE</t>
  </si>
  <si>
    <t>LPD09996 | A. YASEEN BEE</t>
  </si>
  <si>
    <t>WS13</t>
  </si>
  <si>
    <t>G13</t>
  </si>
  <si>
    <t>OP-0013</t>
  </si>
  <si>
    <t>OP-0013 | CLEANING</t>
  </si>
  <si>
    <t>LPD09047</t>
  </si>
  <si>
    <t>A. YUSUF</t>
  </si>
  <si>
    <t>LPD09047 | A. YUSUF</t>
  </si>
  <si>
    <t>WS14</t>
  </si>
  <si>
    <t>G14</t>
  </si>
  <si>
    <t>OP-0014</t>
  </si>
  <si>
    <t>OP-0014 | Heating</t>
  </si>
  <si>
    <t>LPD10751</t>
  </si>
  <si>
    <t>A. ZAKEER</t>
  </si>
  <si>
    <t>LPD10751 | A. ZAKEER</t>
  </si>
  <si>
    <t>WS15</t>
  </si>
  <si>
    <t>G15</t>
  </si>
  <si>
    <t>OP-0015</t>
  </si>
  <si>
    <t>OP-0015 | board with lining attatching &amp;  1st primer</t>
  </si>
  <si>
    <t>LPD10530</t>
  </si>
  <si>
    <t>LPD10530 | ABADUDIN</t>
  </si>
  <si>
    <t>WS16</t>
  </si>
  <si>
    <t>G16</t>
  </si>
  <si>
    <t>OP-0016</t>
  </si>
  <si>
    <t>OP-0016 | die process</t>
  </si>
  <si>
    <t>LPDS95763</t>
  </si>
  <si>
    <t>ABDUL VAJEETH J</t>
  </si>
  <si>
    <t>LPDS95763 | ABDUL VAJEETH J</t>
  </si>
  <si>
    <t>WS17</t>
  </si>
  <si>
    <t>G17</t>
  </si>
  <si>
    <t>OP-0017</t>
  </si>
  <si>
    <t>OP-0017 | Pasting on patti (5*1 Nos)</t>
  </si>
  <si>
    <t>LPD09926</t>
  </si>
  <si>
    <t>LPD09926 | AKBAR</t>
  </si>
  <si>
    <t>WS18</t>
  </si>
  <si>
    <t>G18</t>
  </si>
  <si>
    <t>OP-0018</t>
  </si>
  <si>
    <t>OP-0018 | Attaching step patti (4*1 Nos)</t>
  </si>
  <si>
    <t>LPD12274</t>
  </si>
  <si>
    <t>AKBAR MOLLA</t>
  </si>
  <si>
    <t>LPD12274 | AKBAR MOLLA</t>
  </si>
  <si>
    <t>WS19</t>
  </si>
  <si>
    <t>G19</t>
  </si>
  <si>
    <t>OP-0019</t>
  </si>
  <si>
    <t>OP-0019 | Pasting on stamp &amp; pkt  (1-Nos)</t>
  </si>
  <si>
    <t>LPDS94717</t>
  </si>
  <si>
    <t>AKMAL A</t>
  </si>
  <si>
    <t>LPDS94717 | AKMAL A</t>
  </si>
  <si>
    <t>WS20</t>
  </si>
  <si>
    <t>G20</t>
  </si>
  <si>
    <t>OP-0020</t>
  </si>
  <si>
    <t>OP-0020 | Attaching stamp with cc pkt</t>
  </si>
  <si>
    <t>LPD09146</t>
  </si>
  <si>
    <t>ALAMELU</t>
  </si>
  <si>
    <t>LPD09146 | ALAMELU</t>
  </si>
  <si>
    <t>WS21</t>
  </si>
  <si>
    <t>G21</t>
  </si>
  <si>
    <t>OP-0021</t>
  </si>
  <si>
    <t>OP-0021 | Pasting on patti (4*1 Nos)</t>
  </si>
  <si>
    <t>LPD11823</t>
  </si>
  <si>
    <t>ALI AKBAR MOLYA</t>
  </si>
  <si>
    <t>LPD11823 | ALI AKBAR MOLYA</t>
  </si>
  <si>
    <t>WS22</t>
  </si>
  <si>
    <t>G22</t>
  </si>
  <si>
    <t>OP-0022</t>
  </si>
  <si>
    <t>OP-0022 | Attaching step patti (3*1 Nos)</t>
  </si>
  <si>
    <t>LPD10099</t>
  </si>
  <si>
    <t>AMMU</t>
  </si>
  <si>
    <t>LPD10099 | AMMU</t>
  </si>
  <si>
    <t>WS23</t>
  </si>
  <si>
    <t>G23</t>
  </si>
  <si>
    <t>OP-0023</t>
  </si>
  <si>
    <t>OP-0023 | Stitching the lining (4*1 Nos)</t>
  </si>
  <si>
    <t>LPDS95254</t>
  </si>
  <si>
    <t>LPDS95254 | AMREEN</t>
  </si>
  <si>
    <t>WS24</t>
  </si>
  <si>
    <t>G24</t>
  </si>
  <si>
    <t>OP-0024</t>
  </si>
  <si>
    <t>OP-0024 | Stitching closing  lining (1*1 Nos)</t>
  </si>
  <si>
    <t>LPD08664</t>
  </si>
  <si>
    <t>ANITHA</t>
  </si>
  <si>
    <t>LPD08664 | ANITHA</t>
  </si>
  <si>
    <t>WS25</t>
  </si>
  <si>
    <t>G25</t>
  </si>
  <si>
    <t>OP-0025</t>
  </si>
  <si>
    <t>OP-0025 | Stitching the lining (3*1 Nos)</t>
  </si>
  <si>
    <t>LPD10617</t>
  </si>
  <si>
    <t>ANJALI</t>
  </si>
  <si>
    <t>LPD10617 | ANJALI</t>
  </si>
  <si>
    <t>WS26</t>
  </si>
  <si>
    <t>G26</t>
  </si>
  <si>
    <t>OP-0026</t>
  </si>
  <si>
    <t>OP-0026 | Stitching the lining (1*1 Nos)</t>
  </si>
  <si>
    <t>LPDS95282</t>
  </si>
  <si>
    <t>LPDS95282 | ASEENA</t>
  </si>
  <si>
    <t>WS27</t>
  </si>
  <si>
    <t>G27</t>
  </si>
  <si>
    <t>OP-0027</t>
  </si>
  <si>
    <t>OP-0027 | Recutting of cc pkt (1:2) 1-Nos</t>
  </si>
  <si>
    <t>LPDS95789</t>
  </si>
  <si>
    <t>LPDS95789 | ASLAM</t>
  </si>
  <si>
    <t>WS28</t>
  </si>
  <si>
    <t>G28</t>
  </si>
  <si>
    <t>OP-0028</t>
  </si>
  <si>
    <t>OP-0028 | Recutting of center stay  (1:2)</t>
  </si>
  <si>
    <t>LPD08506</t>
  </si>
  <si>
    <t>AYESHA</t>
  </si>
  <si>
    <t>LPD08506 | AYESHA</t>
  </si>
  <si>
    <t>WS29</t>
  </si>
  <si>
    <t>G29</t>
  </si>
  <si>
    <t>OP-0029</t>
  </si>
  <si>
    <t>OP-0029 | Pasting on lining (1-Nos)</t>
  </si>
  <si>
    <t>LPD12275</t>
  </si>
  <si>
    <t>LPD12275 | AYUB MOLLA</t>
  </si>
  <si>
    <t>WS30</t>
  </si>
  <si>
    <t>G30</t>
  </si>
  <si>
    <t>OP-0030</t>
  </si>
  <si>
    <t>OP-0030 | Attaching with lining closing(1-Nos)</t>
  </si>
  <si>
    <t>LPDS93008</t>
  </si>
  <si>
    <t>B LATHA</t>
  </si>
  <si>
    <t>LPDS93008 | B LATHA</t>
  </si>
  <si>
    <t>WS31</t>
  </si>
  <si>
    <t>G31</t>
  </si>
  <si>
    <t>OP-0031</t>
  </si>
  <si>
    <t>OP-0031 | Pasting cover lining and cc pkt (1-Nos)</t>
  </si>
  <si>
    <t>LPD11365</t>
  </si>
  <si>
    <t>B. AMUDHA</t>
  </si>
  <si>
    <t>LPD11365 | B. AMUDHA</t>
  </si>
  <si>
    <t>WS32</t>
  </si>
  <si>
    <t>G32</t>
  </si>
  <si>
    <t>OP-0032</t>
  </si>
  <si>
    <t>OP-0032 | Attaching cover lining and cc pkt (1-Nos)</t>
  </si>
  <si>
    <t>LPD11677</t>
  </si>
  <si>
    <t>B. LAKSHMI</t>
  </si>
  <si>
    <t>LPD11677 | B. LAKSHMI</t>
  </si>
  <si>
    <t>WS33</t>
  </si>
  <si>
    <t>G33</t>
  </si>
  <si>
    <t>OP-0033</t>
  </si>
  <si>
    <t>OP-0033 | Pasting lining</t>
  </si>
  <si>
    <t>LPD10728</t>
  </si>
  <si>
    <t>B. MUBARAK BASHA</t>
  </si>
  <si>
    <t>LPD10728 | B. MUBARAK BASHA</t>
  </si>
  <si>
    <t>WS34</t>
  </si>
  <si>
    <t>G34</t>
  </si>
  <si>
    <t>OP-0034</t>
  </si>
  <si>
    <t>OP-0034 | Lining folding</t>
  </si>
  <si>
    <t>LPD11308</t>
  </si>
  <si>
    <t>B. MUHAMMED NAWAZ</t>
  </si>
  <si>
    <t>LPD11308 | B. MUHAMMED NAWAZ</t>
  </si>
  <si>
    <t>WS35</t>
  </si>
  <si>
    <t>G35</t>
  </si>
  <si>
    <t>OP-0035</t>
  </si>
  <si>
    <t>OP-0035 | Pasting on lining &amp; beeding</t>
  </si>
  <si>
    <t>LPD09951</t>
  </si>
  <si>
    <t>B. SHAHEEN</t>
  </si>
  <si>
    <t>LPD09951 | B. SHAHEEN</t>
  </si>
  <si>
    <t>WS36</t>
  </si>
  <si>
    <t>G36</t>
  </si>
  <si>
    <t>OP-0036</t>
  </si>
  <si>
    <t>OP-0036 | Attaching lining with beeding</t>
  </si>
  <si>
    <t>LPD10701</t>
  </si>
  <si>
    <t>BADRUNNISA</t>
  </si>
  <si>
    <t>LPD10701 | BADRUNNISA</t>
  </si>
  <si>
    <t>WS37</t>
  </si>
  <si>
    <t>G37</t>
  </si>
  <si>
    <t>OP-0037</t>
  </si>
  <si>
    <t>OP-0037 | Pasting on patti</t>
  </si>
  <si>
    <t>LPD12061</t>
  </si>
  <si>
    <t>LPD12061 | BAKIBULLA MOLLA</t>
  </si>
  <si>
    <t>WS38</t>
  </si>
  <si>
    <t>G38</t>
  </si>
  <si>
    <t>OP-0038</t>
  </si>
  <si>
    <t>OP-0038 | Attaching step patti (1*1Nos)</t>
  </si>
  <si>
    <t>LPDS93009</t>
  </si>
  <si>
    <t>BAVANI</t>
  </si>
  <si>
    <t>LPDS93009 | BAVANI</t>
  </si>
  <si>
    <t>WS39</t>
  </si>
  <si>
    <t>G39</t>
  </si>
  <si>
    <t>OP-0039</t>
  </si>
  <si>
    <t>OP-0039 | Pasting on window side patti lining</t>
  </si>
  <si>
    <t>LPD11745</t>
  </si>
  <si>
    <t>C. KALAISELVI</t>
  </si>
  <si>
    <t>LPD11745 | C. KALAISELVI</t>
  </si>
  <si>
    <t>WS40</t>
  </si>
  <si>
    <t>G40</t>
  </si>
  <si>
    <t>OP-0040</t>
  </si>
  <si>
    <t>OP-0040 | Pasting on cc pkt</t>
  </si>
  <si>
    <t>LPDS95743</t>
  </si>
  <si>
    <t>C. THILAGAWATHI</t>
  </si>
  <si>
    <t>LPDS95743 | C. THILAGAWATHI</t>
  </si>
  <si>
    <t>WS41</t>
  </si>
  <si>
    <t>G41</t>
  </si>
  <si>
    <t>OP-0041</t>
  </si>
  <si>
    <t>OP-0041 | Attaching step patti (1Nos)</t>
  </si>
  <si>
    <t>LPDS95728</t>
  </si>
  <si>
    <t>CHANDHINI NASEER</t>
  </si>
  <si>
    <t>LPDS95728 | CHANDHINI NASEER</t>
  </si>
  <si>
    <t>WS42</t>
  </si>
  <si>
    <t>G42</t>
  </si>
  <si>
    <t>OP-0042</t>
  </si>
  <si>
    <t>OP-0042 | Pasting on window</t>
  </si>
  <si>
    <t>LPD07590</t>
  </si>
  <si>
    <t>D. LATHA</t>
  </si>
  <si>
    <t>LPD07590 | D. LATHA</t>
  </si>
  <si>
    <t>WS43</t>
  </si>
  <si>
    <t>G43</t>
  </si>
  <si>
    <t>OP-0043</t>
  </si>
  <si>
    <t>OP-0043 | Attaching window with cc pkt</t>
  </si>
  <si>
    <t>LPD08118</t>
  </si>
  <si>
    <t>D. SUREKA</t>
  </si>
  <si>
    <t>LPD08118 | D. SUREKA</t>
  </si>
  <si>
    <t>WS44</t>
  </si>
  <si>
    <t>G44</t>
  </si>
  <si>
    <t>OP-0044</t>
  </si>
  <si>
    <t>OP-0044 | Stitching the window side</t>
  </si>
  <si>
    <t>LPD09702</t>
  </si>
  <si>
    <t>LPD09702 | DEVI</t>
  </si>
  <si>
    <t>WS45</t>
  </si>
  <si>
    <t>G45</t>
  </si>
  <si>
    <t>OP-0045</t>
  </si>
  <si>
    <t>OP-0045 | Stitching the cc pkt on Sides</t>
  </si>
  <si>
    <t>LPD08523</t>
  </si>
  <si>
    <t>LPD08523 | DEVI</t>
  </si>
  <si>
    <t>WS46</t>
  </si>
  <si>
    <t>G46</t>
  </si>
  <si>
    <t>OP-0046</t>
  </si>
  <si>
    <t>OP-0046 | Stitching cc pkt lining side ( half stitch)</t>
  </si>
  <si>
    <t>LPDS94626</t>
  </si>
  <si>
    <t>LPDS94626 | DEVI</t>
  </si>
  <si>
    <t>WS47</t>
  </si>
  <si>
    <t>G47</t>
  </si>
  <si>
    <t>OP-0047</t>
  </si>
  <si>
    <t>OP-0047 | Thread pulling at both sides</t>
  </si>
  <si>
    <t>LPD10282</t>
  </si>
  <si>
    <t>LPD10282 | DIVYA</t>
  </si>
  <si>
    <t>WS48</t>
  </si>
  <si>
    <t>G48</t>
  </si>
  <si>
    <t>OP-0048</t>
  </si>
  <si>
    <t>OP-0048 | Stitching window with pkt</t>
  </si>
  <si>
    <t>LPDS95689</t>
  </si>
  <si>
    <t>DIVYA PRABHA</t>
  </si>
  <si>
    <t>LPDS95689 | DIVYA PRABHA</t>
  </si>
  <si>
    <t>WS49</t>
  </si>
  <si>
    <t>G49</t>
  </si>
  <si>
    <t>OP-0049</t>
  </si>
  <si>
    <t>OP-0049 | CC Pkt side stitching ( 2nd half stitch)</t>
  </si>
  <si>
    <t>LPD08441</t>
  </si>
  <si>
    <t>ESWARI</t>
  </si>
  <si>
    <t>LPD08441 | ESWARI</t>
  </si>
  <si>
    <t>WS50</t>
  </si>
  <si>
    <t>G50</t>
  </si>
  <si>
    <t>OP-0050</t>
  </si>
  <si>
    <t>OP-0050 | Decorative Stitching of Anchor Bit</t>
  </si>
  <si>
    <t>LPD11988</t>
  </si>
  <si>
    <t>F GULZAR</t>
  </si>
  <si>
    <t>LPD11988 | F GULZAR</t>
  </si>
  <si>
    <t>WS51</t>
  </si>
  <si>
    <t>OP-0051</t>
  </si>
  <si>
    <t>OP-0051 | Pasting top leather &amp; facing leather</t>
  </si>
  <si>
    <t>LPD07960</t>
  </si>
  <si>
    <t>LPD07960 | F. ZAINATHBEE</t>
  </si>
  <si>
    <t>WS52</t>
  </si>
  <si>
    <t>OP-0052</t>
  </si>
  <si>
    <t>OP-0052 | Attaching top &amp; facing leather</t>
  </si>
  <si>
    <t>LPDS95161</t>
  </si>
  <si>
    <t>FOUSIYA</t>
  </si>
  <si>
    <t>LPDS95161 | FOUSIYA</t>
  </si>
  <si>
    <t>WS53</t>
  </si>
  <si>
    <t>OP-0053</t>
  </si>
  <si>
    <t>OP-0053 | Lamping</t>
  </si>
  <si>
    <t>LPD04519</t>
  </si>
  <si>
    <t>G. MANIMALA</t>
  </si>
  <si>
    <t>LPD04519 | G. MANIMALA</t>
  </si>
  <si>
    <t>WS54</t>
  </si>
  <si>
    <t>OP-0054</t>
  </si>
  <si>
    <t>OP-0054 | Lamping of anchor tab bit</t>
  </si>
  <si>
    <t>LPD03298</t>
  </si>
  <si>
    <t>G. PADMINI</t>
  </si>
  <si>
    <t>LPD03298 | G. PADMINI</t>
  </si>
  <si>
    <t>WS55</t>
  </si>
  <si>
    <t>OP-0055</t>
  </si>
  <si>
    <t>OP-0055 | Pressing</t>
  </si>
  <si>
    <t>LPD01253</t>
  </si>
  <si>
    <t>G. SARASWATHI</t>
  </si>
  <si>
    <t>LPD01253 | G. SARASWATHI</t>
  </si>
  <si>
    <t>WS56</t>
  </si>
  <si>
    <t>OP-0056</t>
  </si>
  <si>
    <t>OP-0056 | Primer</t>
  </si>
  <si>
    <t>LPD10561</t>
  </si>
  <si>
    <t>G. SELVARANI</t>
  </si>
  <si>
    <t>LPD10561 | G. SELVARANI</t>
  </si>
  <si>
    <t>WS57</t>
  </si>
  <si>
    <t>OP-0057</t>
  </si>
  <si>
    <t>OP-0057 | Edge Inking</t>
  </si>
  <si>
    <t>LPD09683</t>
  </si>
  <si>
    <t>GIRIJA</t>
  </si>
  <si>
    <t>LPD09683 | GIRIJA</t>
  </si>
  <si>
    <t>WS58</t>
  </si>
  <si>
    <t>OP-0058</t>
  </si>
  <si>
    <t>OP-0058 | Primer 1</t>
  </si>
  <si>
    <t>LPD07628</t>
  </si>
  <si>
    <t>GNANAMMAL</t>
  </si>
  <si>
    <t>LPD07628 | GNANAMMAL</t>
  </si>
  <si>
    <t>WS59</t>
  </si>
  <si>
    <t>OP-0059</t>
  </si>
  <si>
    <t>OP-0059 | Primer 2</t>
  </si>
  <si>
    <t>LPD10209</t>
  </si>
  <si>
    <t>HAJEERA</t>
  </si>
  <si>
    <t>LPD10209 | HAJEERA</t>
  </si>
  <si>
    <t>WS60</t>
  </si>
  <si>
    <t>OP-0060</t>
  </si>
  <si>
    <t>OP-0060 | Primer 3</t>
  </si>
  <si>
    <t>LPDS95749</t>
  </si>
  <si>
    <t>HAJIMA MABOOB BASHA</t>
  </si>
  <si>
    <t>LPDS95749 | HAJIMA MABOOB BASHA</t>
  </si>
  <si>
    <t>WS61</t>
  </si>
  <si>
    <t>OP-0061</t>
  </si>
  <si>
    <t>OP-0061 | Buffing</t>
  </si>
  <si>
    <t>LPD12148</t>
  </si>
  <si>
    <t>HASANUR JAMAN MOLLA</t>
  </si>
  <si>
    <t>LPD12148 | HASANUR JAMAN MOLLA</t>
  </si>
  <si>
    <t>WS62</t>
  </si>
  <si>
    <t>OP-0062</t>
  </si>
  <si>
    <t>OP-0062 | Recutting facing Leather (1:5)</t>
  </si>
  <si>
    <t>LPD12233</t>
  </si>
  <si>
    <t>I RESHMA</t>
  </si>
  <si>
    <t>LPD12233 | I RESHMA</t>
  </si>
  <si>
    <t>WS63</t>
  </si>
  <si>
    <t>OP-0063</t>
  </si>
  <si>
    <t>OP-0063 | Recutting Top Leather (1:5)</t>
  </si>
  <si>
    <t>LPD11499</t>
  </si>
  <si>
    <t>I. RESHMA</t>
  </si>
  <si>
    <t>LPD11499 | I. RESHMA</t>
  </si>
  <si>
    <t>WS64</t>
  </si>
  <si>
    <t>OP-0064</t>
  </si>
  <si>
    <t>OP-0064 | Recutting Top</t>
  </si>
  <si>
    <t>LPD9801</t>
  </si>
  <si>
    <t>ILYAS</t>
  </si>
  <si>
    <t>LPD9801 | ILYAS</t>
  </si>
  <si>
    <t>WS65</t>
  </si>
  <si>
    <t>OP-0065</t>
  </si>
  <si>
    <t>OP-0065 | Recutting zip collar PU</t>
  </si>
  <si>
    <t>LPD11272</t>
  </si>
  <si>
    <t>LPD11272 | IRFAN</t>
  </si>
  <si>
    <t>WS66</t>
  </si>
  <si>
    <t>OP-0066</t>
  </si>
  <si>
    <t>OP-0066 | Foil Embossing on cc pkt</t>
  </si>
  <si>
    <t>LPDS95681</t>
  </si>
  <si>
    <t>J KAVERI</t>
  </si>
  <si>
    <t>LPDS95681 | J KAVERI</t>
  </si>
  <si>
    <t>WS67</t>
  </si>
  <si>
    <t>OP-0067</t>
  </si>
  <si>
    <t>OP-0067 | inserting &amp; Pressing snap male button  (1-Nos)</t>
  </si>
  <si>
    <t>LPD09877</t>
  </si>
  <si>
    <t>J. SAIDA</t>
  </si>
  <si>
    <t>LPD09877 | J. SAIDA</t>
  </si>
  <si>
    <t>WS68</t>
  </si>
  <si>
    <t>OP-0068</t>
  </si>
  <si>
    <t>OP-0068 | Revitting Female button on Top</t>
  </si>
  <si>
    <t>LPD09910</t>
  </si>
  <si>
    <t>JABINA BANU</t>
  </si>
  <si>
    <t>LPD09910 | JABINA BANU</t>
  </si>
  <si>
    <t>WS69</t>
  </si>
  <si>
    <t>OP-0069</t>
  </si>
  <si>
    <t>OP-0069 | Grinding  Logo on Top</t>
  </si>
  <si>
    <t>LPDS94748</t>
  </si>
  <si>
    <t>LPDS94748 | JAYA KODI</t>
  </si>
  <si>
    <t>WS70</t>
  </si>
  <si>
    <t>OP-0070</t>
  </si>
  <si>
    <t>OP-0070 | Pressing logo on Top</t>
  </si>
  <si>
    <t>LPD10251</t>
  </si>
  <si>
    <t>JAYACHITRA</t>
  </si>
  <si>
    <t>LPD10251 | JAYACHITRA</t>
  </si>
  <si>
    <t>WS71</t>
  </si>
  <si>
    <t>OP-0071</t>
  </si>
  <si>
    <t>OP-0071 | Attaching Self adhesive logo cover kimlon</t>
  </si>
  <si>
    <t>LPDS95750</t>
  </si>
  <si>
    <t>LPDS95750 | JAYALAKSHMI</t>
  </si>
  <si>
    <t>WS72</t>
  </si>
  <si>
    <t>OP-0072</t>
  </si>
  <si>
    <t>OP-0072 | Pasting on top</t>
  </si>
  <si>
    <t>LPD08372</t>
  </si>
  <si>
    <t>JAYANTHI</t>
  </si>
  <si>
    <t>LPD08372 | JAYANTHI</t>
  </si>
  <si>
    <t>WS73</t>
  </si>
  <si>
    <t>OP-0073</t>
  </si>
  <si>
    <t>OP-0073 | Pasting on nonwoven(L/R)</t>
  </si>
  <si>
    <t>LPDS94648</t>
  </si>
  <si>
    <t>LPDS94648 | JAYANTHI</t>
  </si>
  <si>
    <t>WS74</t>
  </si>
  <si>
    <t>OP-0074</t>
  </si>
  <si>
    <t>OP-0074 | Pasting &amp; Attaching mica (2) over top</t>
  </si>
  <si>
    <t>LPD11610</t>
  </si>
  <si>
    <t>JEEVA</t>
  </si>
  <si>
    <t>LPD11610 | JEEVA</t>
  </si>
  <si>
    <t>WS75</t>
  </si>
  <si>
    <t>OP-0075</t>
  </si>
  <si>
    <t>OP-0075 | Pasting on top &amp; kimlon</t>
  </si>
  <si>
    <t>LPD10667</t>
  </si>
  <si>
    <t>JIAUR RAHMAN</t>
  </si>
  <si>
    <t>LPD10667 | JIAUR RAHMAN</t>
  </si>
  <si>
    <t>WS76</t>
  </si>
  <si>
    <t>OP-0076</t>
  </si>
  <si>
    <t>OP-0076 | Pasting on Top  &amp; center nonwoven(1)</t>
  </si>
  <si>
    <t>LPD12022</t>
  </si>
  <si>
    <t>K KHURSHEED BANU</t>
  </si>
  <si>
    <t>LPD12022 | K KHURSHEED BANU</t>
  </si>
  <si>
    <t>WS77</t>
  </si>
  <si>
    <t>OP-0077</t>
  </si>
  <si>
    <t>OP-0077 | Pasting on Top &amp; moon bit</t>
  </si>
  <si>
    <t>LPD08988</t>
  </si>
  <si>
    <t>K. DEEPA</t>
  </si>
  <si>
    <t>LPD08988 | K. DEEPA</t>
  </si>
  <si>
    <t>WS78</t>
  </si>
  <si>
    <t>OP-0078</t>
  </si>
  <si>
    <t>OP-0078 | Attaching kimlon over top</t>
  </si>
  <si>
    <t>LPD09981</t>
  </si>
  <si>
    <t>K. ESWARI</t>
  </si>
  <si>
    <t>LPD09981 | K. ESWARI</t>
  </si>
  <si>
    <t>WS79</t>
  </si>
  <si>
    <t>OP-0079</t>
  </si>
  <si>
    <t>OP-0079 | Attaching nonwoven with top</t>
  </si>
  <si>
    <t>LPD09007</t>
  </si>
  <si>
    <t>K. FAIYAZ</t>
  </si>
  <si>
    <t>LPD09007 | K. FAIYAZ</t>
  </si>
  <si>
    <t>WS80</t>
  </si>
  <si>
    <t>OP-0080</t>
  </si>
  <si>
    <t>OP-0080 | Attaching center nonwoven with top</t>
  </si>
  <si>
    <t>LPD10967</t>
  </si>
  <si>
    <t>K. SHANTHI</t>
  </si>
  <si>
    <t>LPD10967 | K. SHANTHI</t>
  </si>
  <si>
    <t>WS81</t>
  </si>
  <si>
    <t>OP-0081</t>
  </si>
  <si>
    <t>OP-0081 | Attaching moon bit</t>
  </si>
  <si>
    <t>LPD11420</t>
  </si>
  <si>
    <t>LPD11420 | KALPANA</t>
  </si>
  <si>
    <t>WS82</t>
  </si>
  <si>
    <t>OP-0082</t>
  </si>
  <si>
    <t>OP-0082 | Stitching center stay</t>
  </si>
  <si>
    <t>LPD11221</t>
  </si>
  <si>
    <t>KANIMOZHI</t>
  </si>
  <si>
    <t>LPD11221 | KANIMOZHI</t>
  </si>
  <si>
    <t>WS83</t>
  </si>
  <si>
    <t>OP-0083</t>
  </si>
  <si>
    <t>OP-0083 | Stitching  left &amp; right gusset on Top Sides</t>
  </si>
  <si>
    <t>LPD10999</t>
  </si>
  <si>
    <t>KARISHMA</t>
  </si>
  <si>
    <t>LPD10999 | KARISHMA</t>
  </si>
  <si>
    <t>WS84</t>
  </si>
  <si>
    <t>OP-0084</t>
  </si>
  <si>
    <t>OP-0084 | Stitching  left  gusset  pu &amp; lining on bottom Sides</t>
  </si>
  <si>
    <t>LPDS95714</t>
  </si>
  <si>
    <t>KAVITHA SURESH</t>
  </si>
  <si>
    <t>LPDS95714 | KAVITHA SURESH</t>
  </si>
  <si>
    <t>WS85</t>
  </si>
  <si>
    <t>OP-0085</t>
  </si>
  <si>
    <t>OP-0085 | Stitching zipper with lining</t>
  </si>
  <si>
    <t>LPD11937</t>
  </si>
  <si>
    <t>KHURSID ALI MOLLA</t>
  </si>
  <si>
    <t>LPD11937 | KHURSID ALI MOLLA</t>
  </si>
  <si>
    <t>WS86</t>
  </si>
  <si>
    <t>OP-0086</t>
  </si>
  <si>
    <t>OP-0086 | Top moon bit stitching</t>
  </si>
  <si>
    <t>LPD12204</t>
  </si>
  <si>
    <t>LPD12204 | KUMARI</t>
  </si>
  <si>
    <t>WS87</t>
  </si>
  <si>
    <t>OP-0087</t>
  </si>
  <si>
    <t>OP-0087 | Stitching top side of cc pkt   &amp;  bottom centerstay</t>
  </si>
  <si>
    <t>LPDS95725</t>
  </si>
  <si>
    <t>LAKSHMI JANAGIRAMAN</t>
  </si>
  <si>
    <t>LPDS95725 | LAKSHMI JANAGIRAMAN</t>
  </si>
  <si>
    <t>WS88</t>
  </si>
  <si>
    <t>OP-0088</t>
  </si>
  <si>
    <t>OP-0088 | Stitching shell pkt left side</t>
  </si>
  <si>
    <t>LPD11669</t>
  </si>
  <si>
    <t>LPD11669 | LEVINA</t>
  </si>
  <si>
    <t>WS89</t>
  </si>
  <si>
    <t>OP-0089</t>
  </si>
  <si>
    <t>OP-0089 | Direct stitching zip collar  &amp; tab bit in AMS</t>
  </si>
  <si>
    <t>LPDS95702</t>
  </si>
  <si>
    <t>M DILSHATH</t>
  </si>
  <si>
    <t>LPDS95702 | M DILSHATH</t>
  </si>
  <si>
    <t>WS90</t>
  </si>
  <si>
    <t>OP-0090</t>
  </si>
  <si>
    <t>OP-0090 | Pasting on lining &amp; kimlon</t>
  </si>
  <si>
    <t>LPD06518</t>
  </si>
  <si>
    <t>M. ANITHA</t>
  </si>
  <si>
    <t>LPD06518 | M. ANITHA</t>
  </si>
  <si>
    <t>WS91</t>
  </si>
  <si>
    <t>OP-0091</t>
  </si>
  <si>
    <t>OP-0091 | Attaching lining with kimlon</t>
  </si>
  <si>
    <t>LPD08982</t>
  </si>
  <si>
    <t>M. APSANA</t>
  </si>
  <si>
    <t>LPD08982 | M. APSANA</t>
  </si>
  <si>
    <t>WS92</t>
  </si>
  <si>
    <t>OP-0092</t>
  </si>
  <si>
    <t>OP-0092 | Lining folding &amp; cornering</t>
  </si>
  <si>
    <t>LPD10197</t>
  </si>
  <si>
    <t>M. GIRIJA</t>
  </si>
  <si>
    <t>LPD10197 | M. GIRIJA</t>
  </si>
  <si>
    <t>WS93</t>
  </si>
  <si>
    <t>OP-0093</t>
  </si>
  <si>
    <t>OP-0093 | Pasting on Left  Gusset 2 Side</t>
  </si>
  <si>
    <t>LPD05609</t>
  </si>
  <si>
    <t>M. GOWRI</t>
  </si>
  <si>
    <t>LPD05609 | M. GOWRI</t>
  </si>
  <si>
    <t>WS94</t>
  </si>
  <si>
    <t>OP-0094</t>
  </si>
  <si>
    <t>OP-0094 | Pasting over Zip Lining</t>
  </si>
  <si>
    <t>LPD12240</t>
  </si>
  <si>
    <t>M. HAJIRA</t>
  </si>
  <si>
    <t>LPD12240 | M. HAJIRA</t>
  </si>
  <si>
    <t>WS95</t>
  </si>
  <si>
    <t>OP-0095</t>
  </si>
  <si>
    <t>OP-0095 | Attaching Left Gusset 2 Side  With zipper Lining</t>
  </si>
  <si>
    <t>LPD10183</t>
  </si>
  <si>
    <t>M. KALAIMATHI</t>
  </si>
  <si>
    <t>LPD10183 | M. KALAIMATHI</t>
  </si>
  <si>
    <t>WS96</t>
  </si>
  <si>
    <t>OP-0096</t>
  </si>
  <si>
    <t>OP-0096 | Pasting on zip collar</t>
  </si>
  <si>
    <t>LPD08346</t>
  </si>
  <si>
    <t>M. KHADAR BEE</t>
  </si>
  <si>
    <t>LPD08346 | M. KHADAR BEE</t>
  </si>
  <si>
    <t>WS97</t>
  </si>
  <si>
    <t>OP-0097</t>
  </si>
  <si>
    <t>OP-0097 | Pasting on shell</t>
  </si>
  <si>
    <t>LPD08142</t>
  </si>
  <si>
    <t>M. MUMTAJ</t>
  </si>
  <si>
    <t>LPD08142 | M. MUMTAJ</t>
  </si>
  <si>
    <t>WS98</t>
  </si>
  <si>
    <t>OP-0098</t>
  </si>
  <si>
    <t>OP-0098 | Attaching Shell &amp;  zip collar</t>
  </si>
  <si>
    <t>LPD07870</t>
  </si>
  <si>
    <t>M. NIROSHA</t>
  </si>
  <si>
    <t>LPD07870 | M. NIROSHA</t>
  </si>
  <si>
    <t>WS99</t>
  </si>
  <si>
    <t>OP-0099</t>
  </si>
  <si>
    <t>OP-0099 | Pasting on Right  Gusset 2- Side</t>
  </si>
  <si>
    <t>LPD11183</t>
  </si>
  <si>
    <t>M. RIZWANA</t>
  </si>
  <si>
    <t>LPD11183 | M. RIZWANA</t>
  </si>
  <si>
    <t>WS100</t>
  </si>
  <si>
    <t>OP-0100</t>
  </si>
  <si>
    <t>OP-0100 | Pasting over  shell</t>
  </si>
  <si>
    <t>LPD09670</t>
  </si>
  <si>
    <t>M. SIDDIQUA</t>
  </si>
  <si>
    <t>LPD09670 | M. SIDDIQUA</t>
  </si>
  <si>
    <t>OP-0101</t>
  </si>
  <si>
    <t>OP-0101 | Attaching  Right  Gusset 2-Side  With shell</t>
  </si>
  <si>
    <t>LPD09393</t>
  </si>
  <si>
    <t>M. USHA RANI</t>
  </si>
  <si>
    <t>LPD09393 | M. USHA RANI</t>
  </si>
  <si>
    <t>OP-0102</t>
  </si>
  <si>
    <t>OP-0102 | Pasting on zipper collar support kimlon bit  &amp;  zip collar back</t>
  </si>
  <si>
    <t>LPD11279</t>
  </si>
  <si>
    <t>M. ZEHRA</t>
  </si>
  <si>
    <t>LPD11279 | M. ZEHRA</t>
  </si>
  <si>
    <t>OP-0103</t>
  </si>
  <si>
    <t>OP-0103 | Attaching zipper collar support kimlon bit over zip collar back</t>
  </si>
  <si>
    <t>LPD12248</t>
  </si>
  <si>
    <t>MAFIJUL MOLLA</t>
  </si>
  <si>
    <t>LPD12248 | MAFIJUL MOLLA</t>
  </si>
  <si>
    <t>OP-0104</t>
  </si>
  <si>
    <t>OP-0104 | Pasting on kimlon (2nos)</t>
  </si>
  <si>
    <t>LPD11204</t>
  </si>
  <si>
    <t>MAHALAKSHMI</t>
  </si>
  <si>
    <t>LPD11204 | MAHALAKSHMI</t>
  </si>
  <si>
    <t>OP-0105</t>
  </si>
  <si>
    <t>OP-0105 | Pasting over Cc pkt lining</t>
  </si>
  <si>
    <t>LPD12247</t>
  </si>
  <si>
    <t>MARUF HOSSAIN PIYADA</t>
  </si>
  <si>
    <t>LPD12247 | MARUF HOSSAIN PIYADA</t>
  </si>
  <si>
    <t>OP-0106</t>
  </si>
  <si>
    <t>OP-0106 | Attaching kimlon over cc pkt lining</t>
  </si>
  <si>
    <t>LPD11314</t>
  </si>
  <si>
    <t>LPD11314 | MD ILYAS</t>
  </si>
  <si>
    <t>OP-0107</t>
  </si>
  <si>
    <t>OP-0107 | Pasting over Cc pkt</t>
  </si>
  <si>
    <t>LPD12221</t>
  </si>
  <si>
    <t>MD YAMIN ALI MOLLA</t>
  </si>
  <si>
    <t>LPD12221 | MD YAMIN ALI MOLLA</t>
  </si>
  <si>
    <t>OP-0108</t>
  </si>
  <si>
    <t>OP-0108 | Pasting over Center stay</t>
  </si>
  <si>
    <t>LPD11278</t>
  </si>
  <si>
    <t>MD. INTAKHAB</t>
  </si>
  <si>
    <t>LPD11278 | MD. INTAKHAB</t>
  </si>
  <si>
    <t>OP-0109</t>
  </si>
  <si>
    <t>OP-0109 | Attaching center stay over cc pkt</t>
  </si>
  <si>
    <t>LPD11618</t>
  </si>
  <si>
    <t>MD. NASIM</t>
  </si>
  <si>
    <t>LPD11618 | MD. NASIM</t>
  </si>
  <si>
    <t>OP-0110</t>
  </si>
  <si>
    <t>OP-0110 | Pasting over window pkt</t>
  </si>
  <si>
    <t>LPD10281</t>
  </si>
  <si>
    <t>MD. SHAMIM AHAMAD</t>
  </si>
  <si>
    <t>LPD10281 | MD. SHAMIM AHAMAD</t>
  </si>
  <si>
    <t>OP-0111</t>
  </si>
  <si>
    <t>OP-0111 | Attaching center stay over window pkt</t>
  </si>
  <si>
    <t>LPD11532</t>
  </si>
  <si>
    <t>MD. TANVEER</t>
  </si>
  <si>
    <t>LPD11532 | MD. TANVEER</t>
  </si>
  <si>
    <t>OP-0112</t>
  </si>
  <si>
    <t>OP-0112 | Pasting over shell</t>
  </si>
  <si>
    <t>LPD12238</t>
  </si>
  <si>
    <t>MEENA S</t>
  </si>
  <si>
    <t>LPD12238 | MEENA S</t>
  </si>
  <si>
    <t>OP-0113</t>
  </si>
  <si>
    <t>OP-0113 | Pasting over Center stay pkt</t>
  </si>
  <si>
    <t>LPD12211</t>
  </si>
  <si>
    <t>MOHAMMAD SAHEB</t>
  </si>
  <si>
    <t>LPD12211 | MOHAMMAD SAHEB</t>
  </si>
  <si>
    <t>OP-0114</t>
  </si>
  <si>
    <t>OP-0114 | Attaching center pkt with shell</t>
  </si>
  <si>
    <t>LPDS95359</t>
  </si>
  <si>
    <t>MOHAMMED ZAIBAS M</t>
  </si>
  <si>
    <t>LPDS95359 | MOHAMMED ZAIBAS M</t>
  </si>
  <si>
    <t>OP-0115</t>
  </si>
  <si>
    <t>OP-0115 | Pasting over Center stay lining</t>
  </si>
  <si>
    <t>LPD07687</t>
  </si>
  <si>
    <t>LPD07687 | MUBARAK</t>
  </si>
  <si>
    <t>OP-0116</t>
  </si>
  <si>
    <t>OP-0116 | Attaching with closing center stay lining  with shell closing</t>
  </si>
  <si>
    <t>LPD10255</t>
  </si>
  <si>
    <t>MUGINA</t>
  </si>
  <si>
    <t>LPD10255 | MUGINA</t>
  </si>
  <si>
    <t>OP-0117</t>
  </si>
  <si>
    <t>OP-0117 | Stitching L&amp;R Shell &amp; zip collar</t>
  </si>
  <si>
    <t>LPD95781</t>
  </si>
  <si>
    <t>LPD95781 | MULLAI KODI</t>
  </si>
  <si>
    <t>OP-0118</t>
  </si>
  <si>
    <t>OP-0118 | Stitching center stay over cc pkt</t>
  </si>
  <si>
    <t>LPDS95788</t>
  </si>
  <si>
    <t>LPDS95788 | MUMTAZ</t>
  </si>
  <si>
    <t>OP-0119</t>
  </si>
  <si>
    <t>OP-0119 | Pasting over backwall lining</t>
  </si>
  <si>
    <t>LPD11453</t>
  </si>
  <si>
    <t>LPD11453 | MUNNI</t>
  </si>
  <si>
    <t>OP-0120</t>
  </si>
  <si>
    <t>OP-0120 | Attaching  centerstay /window pkt over backwall lining</t>
  </si>
  <si>
    <t>LPD10916</t>
  </si>
  <si>
    <t>N. JAYACHITRA</t>
  </si>
  <si>
    <t>LPD10916 | N. JAYACHITRA</t>
  </si>
  <si>
    <t>OP-0121</t>
  </si>
  <si>
    <t>OP-0121 | Pasting over  Right shell</t>
  </si>
  <si>
    <t>LPD05412</t>
  </si>
  <si>
    <t>N. KHALEEL AHMED</t>
  </si>
  <si>
    <t>LPD05412 | N. KHALEEL AHMED</t>
  </si>
  <si>
    <t>OP-0122</t>
  </si>
  <si>
    <t>OP-0122 | Pasting over Left Window Center stay pkt</t>
  </si>
  <si>
    <t>LPDS95741</t>
  </si>
  <si>
    <t>N. SUMITHRA</t>
  </si>
  <si>
    <t>LPDS95741 | N. SUMITHRA</t>
  </si>
  <si>
    <t>OP-0123</t>
  </si>
  <si>
    <t>OP-0123 | Attaching left center pkt with right shell</t>
  </si>
  <si>
    <t>LPD11690</t>
  </si>
  <si>
    <t>LPD11690 | NANDHINI</t>
  </si>
  <si>
    <t>OP-0124</t>
  </si>
  <si>
    <t>OP-0124 | Stitching top side of cc pkt &amp;bottom centerstay</t>
  </si>
  <si>
    <t>LPD12203</t>
  </si>
  <si>
    <t>NASREEN S</t>
  </si>
  <si>
    <t>LPD12203 | NASREEN S</t>
  </si>
  <si>
    <t>OP-0125</t>
  </si>
  <si>
    <t>OP-0125 | Promoter</t>
  </si>
  <si>
    <t>LPDS95252</t>
  </si>
  <si>
    <t>P VENDA</t>
  </si>
  <si>
    <t>LPDS95252 | P VENDA</t>
  </si>
  <si>
    <t>OP-0126</t>
  </si>
  <si>
    <t>OP-0126 | Dye</t>
  </si>
  <si>
    <t>LPD08204</t>
  </si>
  <si>
    <t>P. ANITHA</t>
  </si>
  <si>
    <t>LPD08204 | P. ANITHA</t>
  </si>
  <si>
    <t>OP-0127</t>
  </si>
  <si>
    <t>OP-0127 | Pasting  Top backwall &amp; top</t>
  </si>
  <si>
    <t>LPD11712</t>
  </si>
  <si>
    <t>P. GAYATHRI</t>
  </si>
  <si>
    <t>LPD11712 | P. GAYATHRI</t>
  </si>
  <si>
    <t>OP-0128</t>
  </si>
  <si>
    <t>OP-0128 | Attaching lining on top backwall&amp; top</t>
  </si>
  <si>
    <t>LPD04824</t>
  </si>
  <si>
    <t>P. LOGANAYAGI</t>
  </si>
  <si>
    <t>LPD04824 | P. LOGANAYAGI</t>
  </si>
  <si>
    <t>OP-0129</t>
  </si>
  <si>
    <t>OP-0129 | Stitching Lining with backwall &amp; moon bit</t>
  </si>
  <si>
    <t>LPD09944</t>
  </si>
  <si>
    <t>PARVEEN</t>
  </si>
  <si>
    <t>LPD09944 | PARVEEN</t>
  </si>
  <si>
    <t>OP-0130</t>
  </si>
  <si>
    <t>OP-0130 | Thread Pull, Pasting</t>
  </si>
  <si>
    <t>LPD10276</t>
  </si>
  <si>
    <t>LPD10276 | PARVEEN</t>
  </si>
  <si>
    <t>OP-0131</t>
  </si>
  <si>
    <t>OP-0131 | Pasting over Zip shell</t>
  </si>
  <si>
    <t>LPDS95790</t>
  </si>
  <si>
    <t>LPDS95790 | PARWEEN</t>
  </si>
  <si>
    <t>OP-0132</t>
  </si>
  <si>
    <t>OP-0132 | Inserting mould</t>
  </si>
  <si>
    <t>LPD11692</t>
  </si>
  <si>
    <t>POORNIMA VIMAL</t>
  </si>
  <si>
    <t>LPD11692 | POORNIMA VIMAL</t>
  </si>
  <si>
    <t>OP-0133</t>
  </si>
  <si>
    <t>OP-0133 | Attaching Zipper with case in Mould  &amp; Cornnering Zipper over Lining  &amp; mould removing</t>
  </si>
  <si>
    <t>LPD11396</t>
  </si>
  <si>
    <t>LPD11396 | PRECILA</t>
  </si>
  <si>
    <t>OP-0134</t>
  </si>
  <si>
    <t>OP-0134 | Pasting over shell final</t>
  </si>
  <si>
    <t>LPD10889</t>
  </si>
  <si>
    <t>LPD10889 | PUNITHA</t>
  </si>
  <si>
    <t>OP-0135</t>
  </si>
  <si>
    <t>OP-0135 | Label prepration</t>
  </si>
  <si>
    <t>LPD12097</t>
  </si>
  <si>
    <t>LPD12097 | R STELLA</t>
  </si>
  <si>
    <t>OP-0136</t>
  </si>
  <si>
    <t>OP-0136 | Pasting on label</t>
  </si>
  <si>
    <t>LPD09963</t>
  </si>
  <si>
    <t>R. AMBIKA</t>
  </si>
  <si>
    <t>LPD09963 | R. AMBIKA</t>
  </si>
  <si>
    <t>OP-0137</t>
  </si>
  <si>
    <t>OP-0137 | Attaching label</t>
  </si>
  <si>
    <t>LPDS95740</t>
  </si>
  <si>
    <t>R. AMUDHA</t>
  </si>
  <si>
    <t>LPDS95740 | R. AMUDHA</t>
  </si>
  <si>
    <t>OP-0138</t>
  </si>
  <si>
    <t>OP-0138 | Final Attaching</t>
  </si>
  <si>
    <t>LPD07789</t>
  </si>
  <si>
    <t>R. KAVITHA</t>
  </si>
  <si>
    <t>LPD07789 | R. KAVITHA</t>
  </si>
  <si>
    <t>OP-0139</t>
  </si>
  <si>
    <t>OP-0139 | Final Stitching</t>
  </si>
  <si>
    <t>LPD10987</t>
  </si>
  <si>
    <t>R. SHEELA</t>
  </si>
  <si>
    <t>LPD10987 | R. SHEELA</t>
  </si>
  <si>
    <t>OP-0140</t>
  </si>
  <si>
    <t>OP-0140 | Puller fixing</t>
  </si>
  <si>
    <t>LPD05183</t>
  </si>
  <si>
    <t>R. SRI DEVI</t>
  </si>
  <si>
    <t>LPD05183 | R. SRI DEVI</t>
  </si>
  <si>
    <t>OP_001</t>
  </si>
  <si>
    <t>E.I PROCESS    ( STEP &amp; STAMP PKT), (WINDOW PKT), (CC PKT) , 
( STAMP PATTI )</t>
  </si>
  <si>
    <t>OP_001 | E.I PROCESS    ( STEP &amp; STAMP PKT), (WINDOW PKT), (CC PKT) , 
( STAMP PATTI )</t>
  </si>
  <si>
    <t>LPD00334</t>
  </si>
  <si>
    <t>R. VASANTHI</t>
  </si>
  <si>
    <t>LPD00334 | R. VASANTHI</t>
  </si>
  <si>
    <t>OP_002</t>
  </si>
  <si>
    <t>1st patti  &amp; step patt with  nonwoon  pasting &amp; att</t>
  </si>
  <si>
    <t>OP_002 | 1st patti  &amp; step patt with  nonwoon  pasting &amp; att</t>
  </si>
  <si>
    <t>LPD07485</t>
  </si>
  <si>
    <t>R. VENNILA</t>
  </si>
  <si>
    <t>LPD07485 | R. VENNILA</t>
  </si>
  <si>
    <t>OP_003</t>
  </si>
  <si>
    <t>stamp &amp; step patti pasting &amp; atttatching</t>
  </si>
  <si>
    <t>OP_003 | stamp &amp; step patti pasting &amp; atttatching</t>
  </si>
  <si>
    <t>LPD12254</t>
  </si>
  <si>
    <t>RABIUL MOLLA</t>
  </si>
  <si>
    <t>LPD12254 | RABIUL MOLLA</t>
  </si>
  <si>
    <t>OP_004</t>
  </si>
  <si>
    <t>cc pkt with cover lining pasting &amp; attatching</t>
  </si>
  <si>
    <t>OP_004 | cc pkt with cover lining pasting &amp; attatching</t>
  </si>
  <si>
    <t>LPD12262</t>
  </si>
  <si>
    <t>LPD12262 | RAHIM</t>
  </si>
  <si>
    <t>OP_005</t>
  </si>
  <si>
    <t>beeding &amp; cc pkt attatching</t>
  </si>
  <si>
    <t>OP_005 | beeding &amp; cc pkt attatching</t>
  </si>
  <si>
    <t>LPD10171</t>
  </si>
  <si>
    <t>LPD10171 | RAJESWARI</t>
  </si>
  <si>
    <t>OP_006</t>
  </si>
  <si>
    <t>1st patti  &amp; step patti with ams'lining close  side stitiching</t>
  </si>
  <si>
    <t>OP_006 | 1st patti  &amp; step patti with ams'lining close  side stitiching</t>
  </si>
  <si>
    <t>LPD10795</t>
  </si>
  <si>
    <t>LPD10795 | RAKIB</t>
  </si>
  <si>
    <t>OP_007</t>
  </si>
  <si>
    <t>cc pkt with side stitching</t>
  </si>
  <si>
    <t>OP_007 | cc pkt with side stitching</t>
  </si>
  <si>
    <t>LPD10618</t>
  </si>
  <si>
    <t>LPD10618 | RAMEEZA</t>
  </si>
  <si>
    <t>OP_008</t>
  </si>
  <si>
    <t>1st patti &amp; stamp patti stitching</t>
  </si>
  <si>
    <t>OP_008 | 1st patti &amp; stamp patti stitching</t>
  </si>
  <si>
    <t>LPD10907</t>
  </si>
  <si>
    <t>LPD10907 | RASOOL</t>
  </si>
  <si>
    <t>OP_009</t>
  </si>
  <si>
    <t>cc pkt recutting process</t>
  </si>
  <si>
    <t>OP_009 | cc pkt recutting process</t>
  </si>
  <si>
    <t>LPDS94644</t>
  </si>
  <si>
    <t>RAVICHITRA</t>
  </si>
  <si>
    <t>LPDS94644 | RAVICHITRA</t>
  </si>
  <si>
    <t>OP_010</t>
  </si>
  <si>
    <t>Gusset leather with recutting process</t>
  </si>
  <si>
    <t>OP_010 | Gusset leather with recutting process</t>
  </si>
  <si>
    <t>LPD09605</t>
  </si>
  <si>
    <t>REKHA</t>
  </si>
  <si>
    <t>LPD09605 | REKHA</t>
  </si>
  <si>
    <t>OP_011</t>
  </si>
  <si>
    <t>Gusset  pvc  with recutting process</t>
  </si>
  <si>
    <t>OP_011 | Gusset  pvc  with recutting process</t>
  </si>
  <si>
    <t>LPD10035</t>
  </si>
  <si>
    <t>REVATHI</t>
  </si>
  <si>
    <t>LPD10035 | REVATHI</t>
  </si>
  <si>
    <t>OP_012</t>
  </si>
  <si>
    <t>Gusset kimlon recuting process</t>
  </si>
  <si>
    <t>OP_012 | Gusset kimlon recuting process</t>
  </si>
  <si>
    <t>LPDS95527</t>
  </si>
  <si>
    <t>REVATHI R</t>
  </si>
  <si>
    <t>LPDS95527 | REVATHI R</t>
  </si>
  <si>
    <t>OP_013</t>
  </si>
  <si>
    <t>Gusset leather bit recutting process</t>
  </si>
  <si>
    <t>OP_013 | Gusset leather bit recutting process</t>
  </si>
  <si>
    <t>LPD09907</t>
  </si>
  <si>
    <t>RIZWAN</t>
  </si>
  <si>
    <t>LPD09907 | RIZWAN</t>
  </si>
  <si>
    <t>OP_014</t>
  </si>
  <si>
    <t>logo bit insert &amp; lock</t>
  </si>
  <si>
    <t>OP_014 | logo bit insert &amp; lock</t>
  </si>
  <si>
    <t>LPD11625</t>
  </si>
  <si>
    <t>RUHUL AMIN</t>
  </si>
  <si>
    <t>LPD11625 | RUHUL AMIN</t>
  </si>
  <si>
    <t>OP_015</t>
  </si>
  <si>
    <t>logo grinding process with tape attatching</t>
  </si>
  <si>
    <t>OP_015 | logo grinding process with tape attatching</t>
  </si>
  <si>
    <t>LPD12099</t>
  </si>
  <si>
    <t>S AMUDHA</t>
  </si>
  <si>
    <t>LPD12099 | S AMUDHA</t>
  </si>
  <si>
    <t>OP_016</t>
  </si>
  <si>
    <t>Gusset leather with nonwoon pasting &amp; attatching</t>
  </si>
  <si>
    <t>OP_016 | Gusset leather with nonwoon pasting &amp; attatching</t>
  </si>
  <si>
    <t>LPDS95729</t>
  </si>
  <si>
    <t>S MUNNI</t>
  </si>
  <si>
    <t>LPDS95729 | S MUNNI</t>
  </si>
  <si>
    <t>OP_017</t>
  </si>
  <si>
    <t>kimlon leather with pasting &amp; attatching</t>
  </si>
  <si>
    <t>OP_017 | kimlon leather with pasting &amp; attatching</t>
  </si>
  <si>
    <t>LPDS95753</t>
  </si>
  <si>
    <t>S THABASSUM</t>
  </si>
  <si>
    <t>LPDS95753 | S THABASSUM</t>
  </si>
  <si>
    <t>OP_018</t>
  </si>
  <si>
    <t>leather bit pasting attatching</t>
  </si>
  <si>
    <t>OP_018 | leather bit pasting attatching</t>
  </si>
  <si>
    <t>LPD11482</t>
  </si>
  <si>
    <t>S. MD. SULTAN</t>
  </si>
  <si>
    <t>LPD11482 | S. MD. SULTAN</t>
  </si>
  <si>
    <t>OP_019</t>
  </si>
  <si>
    <t>Gusset pvc pasting</t>
  </si>
  <si>
    <t>OP_019 | Gusset pvc pasting</t>
  </si>
  <si>
    <t>LPD00071</t>
  </si>
  <si>
    <t>S. NASEEMA</t>
  </si>
  <si>
    <t>LPD00071 | S. NASEEMA</t>
  </si>
  <si>
    <t>OP_020</t>
  </si>
  <si>
    <t>Gusset with nonwoon pasting</t>
  </si>
  <si>
    <t>OP_020 | Gusset with nonwoon pasting</t>
  </si>
  <si>
    <t>LPD05920</t>
  </si>
  <si>
    <t>S. PARMESHWARI</t>
  </si>
  <si>
    <t>LPD05920 | S. PARMESHWARI</t>
  </si>
  <si>
    <t>OP_021</t>
  </si>
  <si>
    <t>Gusset pvc &amp; nonwoon attatching</t>
  </si>
  <si>
    <t>OP_021 | Gusset pvc &amp; nonwoon attatching</t>
  </si>
  <si>
    <t>LPD07950</t>
  </si>
  <si>
    <t>S. RAHIMUNNISA</t>
  </si>
  <si>
    <t>LPD07950 | S. RAHIMUNNISA</t>
  </si>
  <si>
    <t>OP_022</t>
  </si>
  <si>
    <t>Gusset  leather with shape creasing</t>
  </si>
  <si>
    <t>OP_022 | Gusset  leather with shape creasing</t>
  </si>
  <si>
    <t>LPD04803</t>
  </si>
  <si>
    <t>S. RAJASHWARI</t>
  </si>
  <si>
    <t>LPD04803 | S. RAJASHWARI</t>
  </si>
  <si>
    <t>OP_023</t>
  </si>
  <si>
    <t>Gusset  leather with  creasing loop bit</t>
  </si>
  <si>
    <t>OP_023 | Gusset  leather with  creasing loop bit</t>
  </si>
  <si>
    <t>LPD07785</t>
  </si>
  <si>
    <t>S. RANI</t>
  </si>
  <si>
    <t>LPD07785 | S. RANI</t>
  </si>
  <si>
    <t>OP_024</t>
  </si>
  <si>
    <t>Gusset leather with embossing process</t>
  </si>
  <si>
    <t>OP_024 | Gusset leather with embossing process</t>
  </si>
  <si>
    <t>LPD08048</t>
  </si>
  <si>
    <t>S. RIYAZ</t>
  </si>
  <si>
    <t>LPD08048 | S. RIYAZ</t>
  </si>
  <si>
    <t>OP_025</t>
  </si>
  <si>
    <t>Gusset leather heating process</t>
  </si>
  <si>
    <t>OP_025 | Gusset leather heating process</t>
  </si>
  <si>
    <t>LPD09973</t>
  </si>
  <si>
    <t>S. SIVARANJANI</t>
  </si>
  <si>
    <t>LPD09973 | S. SIVARANJANI</t>
  </si>
  <si>
    <t>OP_026</t>
  </si>
  <si>
    <t>Gusset  leather  1st primer</t>
  </si>
  <si>
    <t>OP_026 | Gusset  leather  1st primer</t>
  </si>
  <si>
    <t>LPD08305</t>
  </si>
  <si>
    <t>S. SUDHA</t>
  </si>
  <si>
    <t>LPD08305 | S. SUDHA</t>
  </si>
  <si>
    <t>OP_027</t>
  </si>
  <si>
    <t>Gusset leather  die process</t>
  </si>
  <si>
    <t>OP_027 | Gusset leather  die process</t>
  </si>
  <si>
    <t>LPD11504</t>
  </si>
  <si>
    <t>S. SUGUNA</t>
  </si>
  <si>
    <t>LPD11504 | S. SUGUNA</t>
  </si>
  <si>
    <t>OP_028</t>
  </si>
  <si>
    <t>Gusset pvc heating process</t>
  </si>
  <si>
    <t>OP_028 | Gusset pvc heating process</t>
  </si>
  <si>
    <t>LPD11089</t>
  </si>
  <si>
    <t>LPD11089 | S. THAJNISA</t>
  </si>
  <si>
    <t>OP_029</t>
  </si>
  <si>
    <t>Gusset  pvc with 1st primer</t>
  </si>
  <si>
    <t>OP_029 | Gusset  pvc with 1st primer</t>
  </si>
  <si>
    <t>LPD12236</t>
  </si>
  <si>
    <t>S. UMA</t>
  </si>
  <si>
    <t>LPD12236 | S. UMA</t>
  </si>
  <si>
    <t>OP_030</t>
  </si>
  <si>
    <t>Gusset  pvc  with die process</t>
  </si>
  <si>
    <t>OP_030 | Gusset  pvc  with die process</t>
  </si>
  <si>
    <t>LPD07459</t>
  </si>
  <si>
    <t>S. VIJAYA</t>
  </si>
  <si>
    <t>LPD07459 | S. VIJAYA</t>
  </si>
  <si>
    <t>OP_031</t>
  </si>
  <si>
    <t>interial case heating process</t>
  </si>
  <si>
    <t>OP_031 | interial case heating process</t>
  </si>
  <si>
    <t>LPD08744</t>
  </si>
  <si>
    <t>S.L. LAKSHMI</t>
  </si>
  <si>
    <t>LPD08744 | S.L. LAKSHMI</t>
  </si>
  <si>
    <t>OP_032</t>
  </si>
  <si>
    <t>interial case  with primer process</t>
  </si>
  <si>
    <t>OP_032 | interial case  with primer process</t>
  </si>
  <si>
    <t>LPD12273</t>
  </si>
  <si>
    <t>SAHID MOLLA</t>
  </si>
  <si>
    <t>LPD12273 | SAHID MOLLA</t>
  </si>
  <si>
    <t>OP_033</t>
  </si>
  <si>
    <t>interial case  with  die  process</t>
  </si>
  <si>
    <t>OP_033 | interial case  with  die  process</t>
  </si>
  <si>
    <t>LPD12237</t>
  </si>
  <si>
    <t>SALIYA BANU</t>
  </si>
  <si>
    <t>LPD12237 | SALIYA BANU</t>
  </si>
  <si>
    <t>OP_034</t>
  </si>
  <si>
    <t>interial  case  sulpa with die</t>
  </si>
  <si>
    <t>OP_034 | interial  case  sulpa with die</t>
  </si>
  <si>
    <t>LPD11181</t>
  </si>
  <si>
    <t>SALLUBANU</t>
  </si>
  <si>
    <t>LPD11181 | SALLUBANU</t>
  </si>
  <si>
    <t>OP_035</t>
  </si>
  <si>
    <t>interial case embossing side lable pasting &amp; attatching</t>
  </si>
  <si>
    <t>OP_035 | interial case embossing side lable pasting &amp; attatching</t>
  </si>
  <si>
    <t>LPD10969</t>
  </si>
  <si>
    <t>LPD10969 | SAMEENA</t>
  </si>
  <si>
    <t>OP_036</t>
  </si>
  <si>
    <t>gusset pvc stitching  area thread  pull</t>
  </si>
  <si>
    <t>OP_036 | gusset pvc stitching  area thread  pull</t>
  </si>
  <si>
    <t>LPD12241</t>
  </si>
  <si>
    <t>LPD12241 | SANGEETHA</t>
  </si>
  <si>
    <t>OP_037</t>
  </si>
  <si>
    <t>gusset pvc side stitching</t>
  </si>
  <si>
    <t>OP_037 | gusset pvc side stitching</t>
  </si>
  <si>
    <t>LPD09689</t>
  </si>
  <si>
    <t>SARANYA</t>
  </si>
  <si>
    <t>LPD09689 | SARANYA</t>
  </si>
  <si>
    <t>OP_038</t>
  </si>
  <si>
    <t>interial case  lable side stitching</t>
  </si>
  <si>
    <t>OP_038 | interial case  lable side stitching</t>
  </si>
  <si>
    <t>LPD01611</t>
  </si>
  <si>
    <t>LPD01611 | SARASWATHI</t>
  </si>
  <si>
    <t>OP_039</t>
  </si>
  <si>
    <t>interial case front &amp; back side seam stitching</t>
  </si>
  <si>
    <t>OP_039 | interial case front &amp; back side seam stitching</t>
  </si>
  <si>
    <t>LPD12146</t>
  </si>
  <si>
    <t>SARIFUL GAYEN</t>
  </si>
  <si>
    <t>LPD12146 | SARIFUL GAYEN</t>
  </si>
  <si>
    <t>OP_040</t>
  </si>
  <si>
    <t>interial case side edges pasting</t>
  </si>
  <si>
    <t>OP_040 | interial case side edges pasting</t>
  </si>
  <si>
    <t>LPD12139</t>
  </si>
  <si>
    <t>LPD12139 | SARTHAJ</t>
  </si>
  <si>
    <t>OP_041</t>
  </si>
  <si>
    <t>interial case mold used edge folding</t>
  </si>
  <si>
    <t>OP_041 | interial case mold used edge folding</t>
  </si>
  <si>
    <t>LPD08486</t>
  </si>
  <si>
    <t>SASIKALA</t>
  </si>
  <si>
    <t>LPD08486 | SASIKALA</t>
  </si>
  <si>
    <t>OP_042</t>
  </si>
  <si>
    <t>OP_042 | interial case side edges pasting</t>
  </si>
  <si>
    <t>LPDS94681</t>
  </si>
  <si>
    <t>SATHIYABAMA M</t>
  </si>
  <si>
    <t>LPDS94681 | SATHIYABAMA M</t>
  </si>
  <si>
    <t>OP_043</t>
  </si>
  <si>
    <t>OP_043 | interial case mold used edge folding</t>
  </si>
  <si>
    <t>LPDS95684</t>
  </si>
  <si>
    <t>SELVI VENGATESAN</t>
  </si>
  <si>
    <t>LPDS95684 | SELVI VENGATESAN</t>
  </si>
  <si>
    <t>OP_044</t>
  </si>
  <si>
    <t>OP_044 | interial case front &amp; back side seam stitching</t>
  </si>
  <si>
    <t>LPD11018</t>
  </si>
  <si>
    <t>LPD11018 | SHABANA</t>
  </si>
  <si>
    <t>OP_045</t>
  </si>
  <si>
    <t>Gusset leather with D-ring pasting &amp; attatching</t>
  </si>
  <si>
    <t>OP_045 | Gusset leather with D-ring pasting &amp; attatching</t>
  </si>
  <si>
    <t>LPD11153</t>
  </si>
  <si>
    <t>SHAINAN</t>
  </si>
  <si>
    <t>LPD11153 | SHAINAN</t>
  </si>
  <si>
    <t>OP_046</t>
  </si>
  <si>
    <t>Gusset leather with D-ring &amp; zipper AMS stitching</t>
  </si>
  <si>
    <t>OP_046 | Gusset leather with D-ring &amp; zipper AMS stitching</t>
  </si>
  <si>
    <t>LPD11973</t>
  </si>
  <si>
    <t>SHAJAN R</t>
  </si>
  <si>
    <t>LPD11973 | SHAJAN R</t>
  </si>
  <si>
    <t>OP_047</t>
  </si>
  <si>
    <t>Gusset leather with D-ring &amp; zipper opposite AMS stitching</t>
  </si>
  <si>
    <t>OP_047 | Gusset leather with D-ring &amp; zipper opposite AMS stitching</t>
  </si>
  <si>
    <t>LPD10526</t>
  </si>
  <si>
    <t>LPD10526 | SHAKEERA</t>
  </si>
  <si>
    <t>OP_048</t>
  </si>
  <si>
    <t>first patti &amp; window side edges pasting</t>
  </si>
  <si>
    <t>OP_048 | first patti &amp; window side edges pasting</t>
  </si>
  <si>
    <t>LPD10044</t>
  </si>
  <si>
    <t>SHAKIRA</t>
  </si>
  <si>
    <t>LPD10044 | SHAKIRA</t>
  </si>
  <si>
    <t>OP_049</t>
  </si>
  <si>
    <t>first patti  with cc pkt &amp; window attatching</t>
  </si>
  <si>
    <t>OP_049 | first patti  with cc pkt &amp; window attatching</t>
  </si>
  <si>
    <t>LPD11572</t>
  </si>
  <si>
    <t>SHALINI</t>
  </si>
  <si>
    <t>LPD11572 | SHALINI</t>
  </si>
  <si>
    <t>OP_050</t>
  </si>
  <si>
    <t>gusset leather zipper  with side edges pasting</t>
  </si>
  <si>
    <t>OP_050 | gusset leather zipper  with side edges pasting</t>
  </si>
  <si>
    <t>LPD10562</t>
  </si>
  <si>
    <t>SHAMIMA</t>
  </si>
  <si>
    <t>LPD10562 | SHAMIMA</t>
  </si>
  <si>
    <t>OP_051</t>
  </si>
  <si>
    <t>zipper stitching area thread full &amp; kimlon pasting</t>
  </si>
  <si>
    <t>OP_051 | zipper stitching area thread full &amp; kimlon pasting</t>
  </si>
  <si>
    <t>LPD10727</t>
  </si>
  <si>
    <t>LPD10727 | SHAN BASHA</t>
  </si>
  <si>
    <t>OP_052</t>
  </si>
  <si>
    <t>kimlon &amp; zipper mold used attatching</t>
  </si>
  <si>
    <t>OP_052 | kimlon &amp; zipper mold used attatching</t>
  </si>
  <si>
    <t>LPD11709</t>
  </si>
  <si>
    <t>LPD11709 | SHANKARI</t>
  </si>
  <si>
    <t>OP_053</t>
  </si>
  <si>
    <t>kimlon &amp; zipper mold used folding</t>
  </si>
  <si>
    <t>OP_053 | kimlon &amp; zipper mold used folding</t>
  </si>
  <si>
    <t>LPD08619</t>
  </si>
  <si>
    <t>SHARFUDDIN</t>
  </si>
  <si>
    <t>LPD08619 | SHARFUDDIN</t>
  </si>
  <si>
    <t>OP_054</t>
  </si>
  <si>
    <t>OP_054 | kimlon &amp; zipper mold used folding</t>
  </si>
  <si>
    <t>LPD05252</t>
  </si>
  <si>
    <t>LPD05252 | SHEINAAZ</t>
  </si>
  <si>
    <t>OP_055</t>
  </si>
  <si>
    <t>interial case  with cc pkt pasting &amp; attatching</t>
  </si>
  <si>
    <t>OP_055 | interial case  with cc pkt pasting &amp; attatching</t>
  </si>
  <si>
    <t>LPD11463</t>
  </si>
  <si>
    <t>SHINAS</t>
  </si>
  <si>
    <t>LPD11463 | SHINAS</t>
  </si>
  <si>
    <t>OP_056</t>
  </si>
  <si>
    <t>interial case  with cc pkt  step patti stitching</t>
  </si>
  <si>
    <t>OP_056 | interial case  with cc pkt  step patti stitching</t>
  </si>
  <si>
    <t>LPD09954</t>
  </si>
  <si>
    <t>SHOBANA</t>
  </si>
  <si>
    <t>LPD09954 | SHOBANA</t>
  </si>
  <si>
    <t>OP_057</t>
  </si>
  <si>
    <t>interial case with pasting &amp; attatching&amp; thread pull operation</t>
  </si>
  <si>
    <t>OP_057 | interial case with pasting &amp; attatching&amp; thread pull operation</t>
  </si>
  <si>
    <t>LPDS95712</t>
  </si>
  <si>
    <t>LPDS95712 | SOWMIYA</t>
  </si>
  <si>
    <t>OP_058</t>
  </si>
  <si>
    <t>interial case with window pkt pasting</t>
  </si>
  <si>
    <t>OP_058 | interial case with window pkt pasting</t>
  </si>
  <si>
    <t>LPD09853</t>
  </si>
  <si>
    <t>LPD09853 | SUBAN</t>
  </si>
  <si>
    <t>OP_059</t>
  </si>
  <si>
    <t>interial case with window pkt mold used attatching</t>
  </si>
  <si>
    <t>OP_059 | interial case with window pkt mold used attatching</t>
  </si>
  <si>
    <t>LPDS95742</t>
  </si>
  <si>
    <t>SUGUNA</t>
  </si>
  <si>
    <t>LPDS95742 | SUGUNA</t>
  </si>
  <si>
    <t>OP_060</t>
  </si>
  <si>
    <t>interial case with cc pkt stamp side stitching</t>
  </si>
  <si>
    <t>OP_060 | interial case with cc pkt stamp side stitching</t>
  </si>
  <si>
    <t>LPD11187</t>
  </si>
  <si>
    <t>SUJATHA</t>
  </si>
  <si>
    <t>LPD11187 | SUJATHA</t>
  </si>
  <si>
    <t>OP_061</t>
  </si>
  <si>
    <t>interial case with cc pkt  window stitching</t>
  </si>
  <si>
    <t>OP_061 | interial case with cc pkt  window stitching</t>
  </si>
  <si>
    <t>LPD11358</t>
  </si>
  <si>
    <t>SUMATHI</t>
  </si>
  <si>
    <t>LPD11358 | SUMATHI</t>
  </si>
  <si>
    <t>OP_062</t>
  </si>
  <si>
    <t>final case stage mold used pressing</t>
  </si>
  <si>
    <t>OP_062 | final case stage mold used pressing</t>
  </si>
  <si>
    <t>LPD11567</t>
  </si>
  <si>
    <t>LPD11567 | SUMATHI</t>
  </si>
  <si>
    <t>OP_063</t>
  </si>
  <si>
    <t>interial case with final case pasting &amp;  Shape process</t>
  </si>
  <si>
    <t>OP_063 | interial case with final case pasting &amp;  Shape process</t>
  </si>
  <si>
    <t>LPDS94726</t>
  </si>
  <si>
    <t>SUMATHI R</t>
  </si>
  <si>
    <t>LPDS94726 | SUMATHI R</t>
  </si>
  <si>
    <t>OP_064</t>
  </si>
  <si>
    <t>interial case with final case Attatching</t>
  </si>
  <si>
    <t>OP_064 | interial case with final case Attatching</t>
  </si>
  <si>
    <t>LPD10909</t>
  </si>
  <si>
    <t>T.H. MOHAMED SAQIB</t>
  </si>
  <si>
    <t>LPD10909 | T.H. MOHAMED SAQIB</t>
  </si>
  <si>
    <t>OP_065</t>
  </si>
  <si>
    <t>OP_065 | interial case with final case Attatching</t>
  </si>
  <si>
    <t>LPD11099</t>
  </si>
  <si>
    <t>LPD11099 | TAMIL ARASI</t>
  </si>
  <si>
    <t>OP_066</t>
  </si>
  <si>
    <t>final stage window side stitching</t>
  </si>
  <si>
    <t>OP_066 | final stage window side stitching</t>
  </si>
  <si>
    <t>LPD10455</t>
  </si>
  <si>
    <t>THAMRIN</t>
  </si>
  <si>
    <t>LPD10455 | THAMRIN</t>
  </si>
  <si>
    <t>OP_067</t>
  </si>
  <si>
    <t>final stage straight  stitching</t>
  </si>
  <si>
    <t>OP_067 | final stage straight  stitching</t>
  </si>
  <si>
    <t>LPD123456</t>
  </si>
  <si>
    <t>Test Name</t>
  </si>
  <si>
    <t>LPD123456 | Test Name</t>
  </si>
  <si>
    <t>OP_068</t>
  </si>
  <si>
    <t>final lamping</t>
  </si>
  <si>
    <t>OP_068 | final lamping</t>
  </si>
  <si>
    <t>LPD12239</t>
  </si>
  <si>
    <t>U. SHYLAJA</t>
  </si>
  <si>
    <t>LPD12239 | U. SHYLAJA</t>
  </si>
  <si>
    <t>OP_069</t>
  </si>
  <si>
    <t>shapping process</t>
  </si>
  <si>
    <t>OP_069 | shapping process</t>
  </si>
  <si>
    <t>LPD10253</t>
  </si>
  <si>
    <t>UMA</t>
  </si>
  <si>
    <t>LPD10253 | UMA</t>
  </si>
  <si>
    <t>OP_070</t>
  </si>
  <si>
    <t>cleaning process</t>
  </si>
  <si>
    <t>OP_070 | cleaning process</t>
  </si>
  <si>
    <t>LPDS94756</t>
  </si>
  <si>
    <t>UMA C</t>
  </si>
  <si>
    <t>LPDS94756 | UMA C</t>
  </si>
  <si>
    <t>OP_071</t>
  </si>
  <si>
    <t>Quality Analysys</t>
  </si>
  <si>
    <t>OP_071 | Quality Analysys</t>
  </si>
  <si>
    <t>LPD08891</t>
  </si>
  <si>
    <t>UMA MAHESWARI</t>
  </si>
  <si>
    <t>LPD08891 | UMA MAHESWARI</t>
  </si>
  <si>
    <t>LPD11454</t>
  </si>
  <si>
    <t>LPD11454 | USHA</t>
  </si>
  <si>
    <t>LPD08092</t>
  </si>
  <si>
    <t>LPD08092 | USHA</t>
  </si>
  <si>
    <t>LPD07514</t>
  </si>
  <si>
    <t>V. DHANALAKSHMI</t>
  </si>
  <si>
    <t>LPD07514 | V. DHANALAKSHMI</t>
  </si>
  <si>
    <t>LPD11691</t>
  </si>
  <si>
    <t>V. JAYANTHI</t>
  </si>
  <si>
    <t>LPD11691 | V. JAYANTHI</t>
  </si>
  <si>
    <t>LPD11006</t>
  </si>
  <si>
    <t>V. LAKSHMI</t>
  </si>
  <si>
    <t>LPD11006 | V. LAKSHMI</t>
  </si>
  <si>
    <t>LPD04804</t>
  </si>
  <si>
    <t>V. MEENATCHI</t>
  </si>
  <si>
    <t>LPD04804 | V. MEENATCHI</t>
  </si>
  <si>
    <t>LPD07392</t>
  </si>
  <si>
    <t>V.P. MUBARAK</t>
  </si>
  <si>
    <t>LPD07392 | V.P. MUBARAK</t>
  </si>
  <si>
    <t>LPD08268</t>
  </si>
  <si>
    <t>VASANTHI</t>
  </si>
  <si>
    <t>LPD08268 | VASANTHI</t>
  </si>
  <si>
    <t>LPD12243</t>
  </si>
  <si>
    <t>VASIM AKARAM</t>
  </si>
  <si>
    <t>LPD12243 | VASIM AKARAM</t>
  </si>
  <si>
    <t>LPD05998</t>
  </si>
  <si>
    <t>LPD05998 | VENDA</t>
  </si>
  <si>
    <t>LPD11088</t>
  </si>
  <si>
    <t>Y. ALMAS BEGUM</t>
  </si>
  <si>
    <t>LPD11088 | Y. ALMAS BEGUM</t>
  </si>
  <si>
    <t>LPD08685</t>
  </si>
  <si>
    <t>Z. NAYEEMUNNISA</t>
  </si>
  <si>
    <t>LPD08685 | Z. NAYEEMUNNISA</t>
  </si>
  <si>
    <t>LPD11520</t>
  </si>
  <si>
    <t>LPD11520 | ZAREENA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</si>
</sst>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i/>
      <sz val="10"/>
      <color rgb="FF6B7280"/>
      <name val="Calibri"/>
    </font>
    <font>
      <b/>
      <sz val="11"/>
      <color rgb="FF1D6F42"/>
      <name val="Calibri"/>
    </font>
    <font>
      <b/>
      <sz val="11"/>
      <color rgb="FFFFFFFF"/>
      <name val="Calibri"/>
    </font>
    <font>
      <i/>
      <sz val="11"/>
      <color rgb="FF374151"/>
      <name val="Calibri"/>
    </font>
    <font>
      <i/>
      <sz val="10"/>
      <color rgb="FF92400E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F2F2F2"/>
      </patternFill>
    </fill>
    <fill>
      <patternFill patternType="solid">
        <fgColor rgb="FFD1FAE5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E8F5E9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2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tabSelected="1" workbookViewId="0">
      <selection activeCell="A108" sqref="A108:A111"/>
    </sheetView>
  </sheetViews>
  <sheetFormatPr defaultRowHeight="14.5" x14ac:dyDescent="0.35"/>
  <cols>
    <col min="1" max="1" width="14" customWidth="1"/>
    <col min="2" max="2" width="10" customWidth="1"/>
    <col min="3" max="3" width="16" customWidth="1"/>
    <col min="4" max="4" width="18" customWidth="1"/>
    <col min="5" max="5" width="36" customWidth="1"/>
    <col min="6" max="7" width="16" customWidth="1"/>
    <col min="8" max="8" width="12" customWidth="1"/>
    <col min="9" max="9" width="18" customWidth="1"/>
    <col min="10" max="10" width="28" customWidth="1"/>
  </cols>
  <sheetData>
    <row r="1" spans="1:10" ht="20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4" customHeight="1" x14ac:dyDescent="0.35"/>
    <row r="3" spans="1:10" x14ac:dyDescent="0.35">
      <c r="A3" s="1" t="s">
        <v>1</v>
      </c>
      <c r="B3" s="2" t="s">
        <v>2</v>
      </c>
      <c r="C3" s="15" t="s">
        <v>3</v>
      </c>
      <c r="D3" s="15"/>
      <c r="E3" s="15"/>
      <c r="F3" s="15"/>
      <c r="G3" s="15"/>
      <c r="H3" s="15"/>
      <c r="I3" s="15"/>
      <c r="J3" s="15"/>
    </row>
    <row r="4" spans="1:10" x14ac:dyDescent="0.35">
      <c r="A4" s="1" t="s">
        <v>4</v>
      </c>
      <c r="B4" s="2" t="s">
        <v>5</v>
      </c>
      <c r="C4" s="15" t="s">
        <v>6</v>
      </c>
      <c r="D4" s="15"/>
      <c r="E4" s="15"/>
      <c r="F4" s="15"/>
      <c r="G4" s="15"/>
      <c r="H4" s="15"/>
      <c r="I4" s="15"/>
      <c r="J4" s="15"/>
    </row>
    <row r="5" spans="1:10" x14ac:dyDescent="0.35">
      <c r="A5" s="1" t="s">
        <v>7</v>
      </c>
      <c r="B5" s="2" t="s">
        <v>8</v>
      </c>
      <c r="C5" s="15" t="s">
        <v>9</v>
      </c>
      <c r="D5" s="15"/>
      <c r="E5" s="15"/>
      <c r="F5" s="15"/>
      <c r="G5" s="15"/>
      <c r="H5" s="15"/>
      <c r="I5" s="15"/>
      <c r="J5" s="15"/>
    </row>
    <row r="6" spans="1:10" x14ac:dyDescent="0.35">
      <c r="A6" s="1" t="s">
        <v>10</v>
      </c>
      <c r="B6" s="2" t="s">
        <v>11</v>
      </c>
      <c r="C6" s="15" t="s">
        <v>12</v>
      </c>
      <c r="D6" s="15"/>
      <c r="E6" s="15"/>
      <c r="F6" s="15"/>
      <c r="G6" s="15"/>
      <c r="H6" s="15"/>
      <c r="I6" s="15"/>
      <c r="J6" s="15"/>
    </row>
    <row r="7" spans="1:10" x14ac:dyDescent="0.35">
      <c r="A7" s="1" t="s">
        <v>13</v>
      </c>
      <c r="B7" s="2" t="s">
        <v>14</v>
      </c>
      <c r="C7" s="15" t="s">
        <v>15</v>
      </c>
      <c r="D7" s="15"/>
      <c r="E7" s="15"/>
      <c r="F7" s="15"/>
      <c r="G7" s="15"/>
      <c r="H7" s="15"/>
      <c r="I7" s="15"/>
      <c r="J7" s="15"/>
    </row>
    <row r="8" spans="1:10" x14ac:dyDescent="0.35">
      <c r="A8" s="1" t="s">
        <v>16</v>
      </c>
      <c r="B8" s="2" t="s">
        <v>17</v>
      </c>
      <c r="C8" s="15" t="s">
        <v>18</v>
      </c>
      <c r="D8" s="15"/>
      <c r="E8" s="15"/>
      <c r="F8" s="15"/>
      <c r="G8" s="15"/>
      <c r="H8" s="15"/>
      <c r="I8" s="15"/>
      <c r="J8" s="15"/>
    </row>
    <row r="9" spans="1:10" x14ac:dyDescent="0.35">
      <c r="A9" s="1" t="s">
        <v>19</v>
      </c>
      <c r="B9" s="2" t="s">
        <v>20</v>
      </c>
      <c r="C9" s="15" t="s">
        <v>21</v>
      </c>
      <c r="D9" s="15"/>
      <c r="E9" s="15"/>
      <c r="F9" s="15"/>
      <c r="G9" s="15"/>
      <c r="H9" s="15"/>
      <c r="I9" s="15"/>
      <c r="J9" s="15"/>
    </row>
    <row r="10" spans="1:10" x14ac:dyDescent="0.35">
      <c r="A10" s="1" t="s">
        <v>22</v>
      </c>
      <c r="B10" s="2">
        <v>350</v>
      </c>
      <c r="C10" s="15" t="s">
        <v>23</v>
      </c>
      <c r="D10" s="15"/>
      <c r="E10" s="15"/>
      <c r="F10" s="15"/>
      <c r="G10" s="15"/>
      <c r="H10" s="15"/>
      <c r="I10" s="15"/>
      <c r="J10" s="15"/>
    </row>
    <row r="11" spans="1:10" x14ac:dyDescent="0.35">
      <c r="A11" s="1" t="s">
        <v>24</v>
      </c>
      <c r="B11" s="2" t="s">
        <v>17</v>
      </c>
      <c r="C11" s="15" t="s">
        <v>25</v>
      </c>
      <c r="D11" s="15"/>
      <c r="E11" s="15"/>
      <c r="F11" s="15"/>
      <c r="G11" s="15"/>
      <c r="H11" s="15"/>
      <c r="I11" s="15"/>
      <c r="J11" s="15"/>
    </row>
    <row r="12" spans="1:10" x14ac:dyDescent="0.35">
      <c r="A12" s="1" t="s">
        <v>26</v>
      </c>
      <c r="B12" s="2" t="s">
        <v>17</v>
      </c>
      <c r="C12" s="15" t="s">
        <v>27</v>
      </c>
      <c r="D12" s="15"/>
      <c r="E12" s="15"/>
      <c r="F12" s="15"/>
      <c r="G12" s="15"/>
      <c r="H12" s="15"/>
      <c r="I12" s="15"/>
      <c r="J12" s="15"/>
    </row>
    <row r="13" spans="1:10" x14ac:dyDescent="0.35">
      <c r="A13" s="1" t="s">
        <v>28</v>
      </c>
      <c r="B13" s="3" t="s">
        <v>29</v>
      </c>
      <c r="C13" s="15" t="s">
        <v>30</v>
      </c>
      <c r="D13" s="15"/>
      <c r="E13" s="15"/>
      <c r="F13" s="15"/>
      <c r="G13" s="15"/>
      <c r="H13" s="15"/>
      <c r="I13" s="15"/>
      <c r="J13" s="15"/>
    </row>
    <row r="14" spans="1:10" ht="5.4" customHeight="1" x14ac:dyDescent="0.35"/>
    <row r="15" spans="1:10" ht="14.65" customHeight="1" x14ac:dyDescent="0.35">
      <c r="A15" s="4" t="s">
        <v>31</v>
      </c>
      <c r="B15" s="4" t="s">
        <v>32</v>
      </c>
      <c r="C15" s="4" t="s">
        <v>33</v>
      </c>
      <c r="D15" s="5" t="s">
        <v>34</v>
      </c>
      <c r="E15" s="4" t="s">
        <v>35</v>
      </c>
      <c r="F15" s="4" t="s">
        <v>36</v>
      </c>
      <c r="G15" s="5" t="s">
        <v>37</v>
      </c>
      <c r="H15" s="5" t="s">
        <v>38</v>
      </c>
      <c r="I15" s="5" t="s">
        <v>39</v>
      </c>
      <c r="J15" s="4" t="s">
        <v>40</v>
      </c>
    </row>
    <row r="16" spans="1:10" ht="12" customHeight="1" x14ac:dyDescent="0.35">
      <c r="A16" s="6" t="s">
        <v>41</v>
      </c>
      <c r="B16" s="6" t="s">
        <v>42</v>
      </c>
      <c r="C16" s="6" t="s">
        <v>43</v>
      </c>
      <c r="D16" s="7" t="str">
        <f>IF(E16="","",IF(ISNUMBER(FIND("|",E16)),TRIM(LEFT(E16,FIND("|",E16)-1)),IF(ISNUMBER(MATCH(E16,Config!$C$1:$C$211,0)),E16,IFERROR(INDEX(Config!$C$1:$C$211,MATCH(E16,Config!$D$1:$D$211,0)),""))))</f>
        <v>OP-0014</v>
      </c>
      <c r="E16" s="8" t="s">
        <v>44</v>
      </c>
      <c r="F16" s="9">
        <v>10</v>
      </c>
      <c r="G16" s="10">
        <f t="shared" ref="G16:G79" si="0">SUMIF($C$16:$C$241,C16,$F$16:$F$241)</f>
        <v>61</v>
      </c>
      <c r="H16" s="11">
        <f t="shared" ref="H16:H79" si="1">F16/3600</f>
        <v>2.7777777777777779E-3</v>
      </c>
      <c r="I16" s="7" t="str">
        <f>IF(J16="","",IF(ISNUMBER(FIND("|",J16)),TRIM(LEFT(J16,FIND("|",J16)-1)),IF(ISNUMBER(MATCH(J16,Config!$F$1:$F$224,0)),J16,IFERROR(INDEX(Config!$F$1:$F$224,MATCH(J16,Config!$G$1:$G$224,0)),""))))</f>
        <v>LPD07739</v>
      </c>
      <c r="J16" s="8" t="s">
        <v>45</v>
      </c>
    </row>
    <row r="17" spans="1:10" ht="12" customHeight="1" x14ac:dyDescent="0.35">
      <c r="A17" s="6" t="s">
        <v>41</v>
      </c>
      <c r="B17" s="6" t="s">
        <v>42</v>
      </c>
      <c r="C17" s="6" t="s">
        <v>43</v>
      </c>
      <c r="D17" s="7" t="str">
        <f>IF(E17="","",IF(ISNUMBER(FIND("|",E17)),TRIM(LEFT(E17,FIND("|",E17)-1)),IF(ISNUMBER(MATCH(E17,Config!$C$1:$C$211,0)),E17,IFERROR(INDEX(Config!$C$1:$C$211,MATCH(E17,Config!$D$1:$D$211,0)),""))))</f>
        <v>OP-0015</v>
      </c>
      <c r="E17" s="8" t="s">
        <v>46</v>
      </c>
      <c r="F17" s="9">
        <v>25.5</v>
      </c>
      <c r="G17" s="10">
        <f t="shared" si="0"/>
        <v>61</v>
      </c>
      <c r="H17" s="11">
        <f t="shared" si="1"/>
        <v>7.083333333333333E-3</v>
      </c>
      <c r="I17" s="7" t="str">
        <f>IF(J17="","",IF(ISNUMBER(FIND("|",J17)),TRIM(LEFT(J17,FIND("|",J17)-1)),IF(ISNUMBER(MATCH(J17,Config!$F$1:$F$224,0)),J17,IFERROR(INDEX(Config!$F$1:$F$224,MATCH(J17,Config!$G$1:$G$224,0)),""))))</f>
        <v>LPD07739</v>
      </c>
      <c r="J17" s="12" t="str">
        <f>IFERROR(INDEX($J$16:J16,MATCH(C17,$C$16:C16,0)),"")</f>
        <v>A. JAMEELA</v>
      </c>
    </row>
    <row r="18" spans="1:10" ht="12" customHeight="1" x14ac:dyDescent="0.35">
      <c r="A18" s="6" t="s">
        <v>41</v>
      </c>
      <c r="B18" s="6" t="s">
        <v>42</v>
      </c>
      <c r="C18" s="6" t="s">
        <v>43</v>
      </c>
      <c r="D18" s="7" t="str">
        <f>IF(E18="","",IF(ISNUMBER(FIND("|",E18)),TRIM(LEFT(E18,FIND("|",E18)-1)),IF(ISNUMBER(MATCH(E18,Config!$C$1:$C$211,0)),E18,IFERROR(INDEX(Config!$C$1:$C$211,MATCH(E18,Config!$D$1:$D$211,0)),""))))</f>
        <v>OP-0016</v>
      </c>
      <c r="E18" s="8" t="s">
        <v>47</v>
      </c>
      <c r="F18" s="9">
        <v>25.5</v>
      </c>
      <c r="G18" s="10">
        <f t="shared" si="0"/>
        <v>61</v>
      </c>
      <c r="H18" s="11">
        <f t="shared" si="1"/>
        <v>7.083333333333333E-3</v>
      </c>
      <c r="I18" s="7" t="str">
        <f>IF(J18="","",IF(ISNUMBER(FIND("|",J18)),TRIM(LEFT(J18,FIND("|",J18)-1)),IF(ISNUMBER(MATCH(J18,Config!$F$1:$F$224,0)),J18,IFERROR(INDEX(Config!$F$1:$F$224,MATCH(J18,Config!$G$1:$G$224,0)),""))))</f>
        <v>LPD07739</v>
      </c>
      <c r="J18" s="12" t="str">
        <f>IFERROR(INDEX($J$16:J17,MATCH(C18,$C$16:C17,0)),"")</f>
        <v>A. JAMEELA</v>
      </c>
    </row>
    <row r="19" spans="1:10" ht="12" customHeight="1" x14ac:dyDescent="0.35">
      <c r="A19" s="6" t="s">
        <v>41</v>
      </c>
      <c r="B19" s="6" t="s">
        <v>42</v>
      </c>
      <c r="C19" s="6" t="s">
        <v>48</v>
      </c>
      <c r="D19" s="7" t="str">
        <f>IF(E19="","",IF(ISNUMBER(FIND("|",E19)),TRIM(LEFT(E19,FIND("|",E19)-1)),IF(ISNUMBER(MATCH(E19,Config!$C$1:$C$211,0)),E19,IFERROR(INDEX(Config!$C$1:$C$211,MATCH(E19,Config!$D$1:$D$211,0)),""))))</f>
        <v>OP-0014</v>
      </c>
      <c r="E19" s="8" t="s">
        <v>44</v>
      </c>
      <c r="F19" s="9">
        <v>10</v>
      </c>
      <c r="G19" s="10">
        <f t="shared" si="0"/>
        <v>61</v>
      </c>
      <c r="H19" s="11">
        <f t="shared" si="1"/>
        <v>2.7777777777777779E-3</v>
      </c>
      <c r="I19" s="7" t="str">
        <f>IF(J19="","",IF(ISNUMBER(FIND("|",J19)),TRIM(LEFT(J19,FIND("|",J19)-1)),IF(ISNUMBER(MATCH(J19,Config!$F$1:$F$224,0)),J19,IFERROR(INDEX(Config!$F$1:$F$224,MATCH(J19,Config!$G$1:$G$224,0)),""))))</f>
        <v>LPD11454</v>
      </c>
      <c r="J19" s="8" t="s">
        <v>49</v>
      </c>
    </row>
    <row r="20" spans="1:10" ht="12" customHeight="1" x14ac:dyDescent="0.35">
      <c r="A20" s="6" t="s">
        <v>41</v>
      </c>
      <c r="B20" s="6" t="s">
        <v>42</v>
      </c>
      <c r="C20" s="6" t="s">
        <v>48</v>
      </c>
      <c r="D20" s="7" t="str">
        <f>IF(E20="","",IF(ISNUMBER(FIND("|",E20)),TRIM(LEFT(E20,FIND("|",E20)-1)),IF(ISNUMBER(MATCH(E20,Config!$C$1:$C$211,0)),E20,IFERROR(INDEX(Config!$C$1:$C$211,MATCH(E20,Config!$D$1:$D$211,0)),""))))</f>
        <v>OP-0015</v>
      </c>
      <c r="E20" s="8" t="s">
        <v>46</v>
      </c>
      <c r="F20" s="9">
        <v>25.5</v>
      </c>
      <c r="G20" s="10">
        <f t="shared" si="0"/>
        <v>61</v>
      </c>
      <c r="H20" s="11">
        <f t="shared" si="1"/>
        <v>7.083333333333333E-3</v>
      </c>
      <c r="I20" s="7" t="str">
        <f>IF(J20="","",IF(ISNUMBER(FIND("|",J20)),TRIM(LEFT(J20,FIND("|",J20)-1)),IF(ISNUMBER(MATCH(J20,Config!$F$1:$F$224,0)),J20,IFERROR(INDEX(Config!$F$1:$F$224,MATCH(J20,Config!$G$1:$G$224,0)),""))))</f>
        <v>LPD11454</v>
      </c>
      <c r="J20" s="12" t="str">
        <f>IFERROR(INDEX($J$16:J19,MATCH(C20,$C$16:C19,0)),"")</f>
        <v>USHA</v>
      </c>
    </row>
    <row r="21" spans="1:10" ht="12" customHeight="1" x14ac:dyDescent="0.35">
      <c r="A21" s="6" t="s">
        <v>41</v>
      </c>
      <c r="B21" s="6" t="s">
        <v>42</v>
      </c>
      <c r="C21" s="6" t="s">
        <v>48</v>
      </c>
      <c r="D21" s="7" t="str">
        <f>IF(E21="","",IF(ISNUMBER(FIND("|",E21)),TRIM(LEFT(E21,FIND("|",E21)-1)),IF(ISNUMBER(MATCH(E21,Config!$C$1:$C$211,0)),E21,IFERROR(INDEX(Config!$C$1:$C$211,MATCH(E21,Config!$D$1:$D$211,0)),""))))</f>
        <v>OP-0016</v>
      </c>
      <c r="E21" s="8" t="s">
        <v>47</v>
      </c>
      <c r="F21" s="9">
        <v>25.5</v>
      </c>
      <c r="G21" s="10">
        <f t="shared" si="0"/>
        <v>61</v>
      </c>
      <c r="H21" s="11">
        <f t="shared" si="1"/>
        <v>7.083333333333333E-3</v>
      </c>
      <c r="I21" s="7" t="str">
        <f>IF(J21="","",IF(ISNUMBER(FIND("|",J21)),TRIM(LEFT(J21,FIND("|",J21)-1)),IF(ISNUMBER(MATCH(J21,Config!$F$1:$F$224,0)),J21,IFERROR(INDEX(Config!$F$1:$F$224,MATCH(J21,Config!$G$1:$G$224,0)),""))))</f>
        <v>LPD11454</v>
      </c>
      <c r="J21" s="12" t="str">
        <f>IFERROR(INDEX($J$16:J20,MATCH(C21,$C$16:C20,0)),"")</f>
        <v>USHA</v>
      </c>
    </row>
    <row r="22" spans="1:10" ht="12" customHeight="1" x14ac:dyDescent="0.35">
      <c r="A22" s="6" t="s">
        <v>41</v>
      </c>
      <c r="B22" s="6" t="s">
        <v>42</v>
      </c>
      <c r="C22" s="6" t="s">
        <v>50</v>
      </c>
      <c r="D22" s="7" t="str">
        <f>IF(E22="","",IF(ISNUMBER(FIND("|",E22)),TRIM(LEFT(E22,FIND("|",E22)-1)),IF(ISNUMBER(MATCH(E22,Config!$C$1:$C$211,0)),E22,IFERROR(INDEX(Config!$C$1:$C$211,MATCH(E22,Config!$D$1:$D$211,0)),""))))</f>
        <v>OP-0017</v>
      </c>
      <c r="E22" s="8" t="s">
        <v>51</v>
      </c>
      <c r="F22" s="9">
        <v>15</v>
      </c>
      <c r="G22" s="10">
        <f t="shared" si="0"/>
        <v>75</v>
      </c>
      <c r="H22" s="11">
        <f t="shared" si="1"/>
        <v>4.1666666666666666E-3</v>
      </c>
      <c r="I22" s="7" t="str">
        <f>IF(J22="","",IF(ISNUMBER(FIND("|",J22)),TRIM(LEFT(J22,FIND("|",J22)-1)),IF(ISNUMBER(MATCH(J22,Config!$F$1:$F$224,0)),J22,IFERROR(INDEX(Config!$F$1:$F$224,MATCH(J22,Config!$G$1:$G$224,0)),""))))</f>
        <v>LPD11454</v>
      </c>
      <c r="J22" s="8" t="s">
        <v>49</v>
      </c>
    </row>
    <row r="23" spans="1:10" ht="12" customHeight="1" x14ac:dyDescent="0.35">
      <c r="A23" s="6" t="s">
        <v>41</v>
      </c>
      <c r="B23" s="6" t="s">
        <v>42</v>
      </c>
      <c r="C23" s="6" t="s">
        <v>50</v>
      </c>
      <c r="D23" s="7" t="str">
        <f>IF(E23="","",IF(ISNUMBER(FIND("|",E23)),TRIM(LEFT(E23,FIND("|",E23)-1)),IF(ISNUMBER(MATCH(E23,Config!$C$1:$C$211,0)),E23,IFERROR(INDEX(Config!$C$1:$C$211,MATCH(E23,Config!$D$1:$D$211,0)),""))))</f>
        <v>OP-0018</v>
      </c>
      <c r="E23" s="8" t="s">
        <v>52</v>
      </c>
      <c r="F23" s="9">
        <v>16</v>
      </c>
      <c r="G23" s="10">
        <f t="shared" si="0"/>
        <v>75</v>
      </c>
      <c r="H23" s="11">
        <f t="shared" si="1"/>
        <v>4.4444444444444444E-3</v>
      </c>
      <c r="I23" s="7" t="str">
        <f>IF(J23="","",IF(ISNUMBER(FIND("|",J23)),TRIM(LEFT(J23,FIND("|",J23)-1)),IF(ISNUMBER(MATCH(J23,Config!$F$1:$F$224,0)),J23,IFERROR(INDEX(Config!$F$1:$F$224,MATCH(J23,Config!$G$1:$G$224,0)),""))))</f>
        <v>LPD11454</v>
      </c>
      <c r="J23" s="12" t="str">
        <f>IFERROR(INDEX($J$16:J22,MATCH(C23,$C$16:C22,0)),"")</f>
        <v>USHA</v>
      </c>
    </row>
    <row r="24" spans="1:10" ht="12" customHeight="1" x14ac:dyDescent="0.35">
      <c r="A24" s="6" t="s">
        <v>41</v>
      </c>
      <c r="B24" s="6" t="s">
        <v>42</v>
      </c>
      <c r="C24" s="6" t="s">
        <v>50</v>
      </c>
      <c r="D24" s="7" t="str">
        <f>IF(E24="","",IF(ISNUMBER(FIND("|",E24)),TRIM(LEFT(E24,FIND("|",E24)-1)),IF(ISNUMBER(MATCH(E24,Config!$C$1:$C$211,0)),E24,IFERROR(INDEX(Config!$C$1:$C$211,MATCH(E24,Config!$D$1:$D$211,0)),""))))</f>
        <v>OP-0019</v>
      </c>
      <c r="E24" s="8" t="s">
        <v>53</v>
      </c>
      <c r="F24" s="9">
        <v>12</v>
      </c>
      <c r="G24" s="10">
        <f t="shared" si="0"/>
        <v>75</v>
      </c>
      <c r="H24" s="11">
        <f t="shared" si="1"/>
        <v>3.3333333333333335E-3</v>
      </c>
      <c r="I24" s="7" t="str">
        <f>IF(J24="","",IF(ISNUMBER(FIND("|",J24)),TRIM(LEFT(J24,FIND("|",J24)-1)),IF(ISNUMBER(MATCH(J24,Config!$F$1:$F$224,0)),J24,IFERROR(INDEX(Config!$F$1:$F$224,MATCH(J24,Config!$G$1:$G$224,0)),""))))</f>
        <v>LPD11454</v>
      </c>
      <c r="J24" s="12" t="str">
        <f>IFERROR(INDEX($J$16:J23,MATCH(C24,$C$16:C23,0)),"")</f>
        <v>USHA</v>
      </c>
    </row>
    <row r="25" spans="1:10" ht="12" customHeight="1" x14ac:dyDescent="0.35">
      <c r="A25" s="6" t="s">
        <v>41</v>
      </c>
      <c r="B25" s="6" t="s">
        <v>42</v>
      </c>
      <c r="C25" s="6" t="s">
        <v>50</v>
      </c>
      <c r="D25" s="7" t="str">
        <f>IF(E25="","",IF(ISNUMBER(FIND("|",E25)),TRIM(LEFT(E25,FIND("|",E25)-1)),IF(ISNUMBER(MATCH(E25,Config!$C$1:$C$211,0)),E25,IFERROR(INDEX(Config!$C$1:$C$211,MATCH(E25,Config!$D$1:$D$211,0)),""))))</f>
        <v>OP-0020</v>
      </c>
      <c r="E25" s="8" t="s">
        <v>54</v>
      </c>
      <c r="F25" s="9">
        <v>8</v>
      </c>
      <c r="G25" s="10">
        <f t="shared" si="0"/>
        <v>75</v>
      </c>
      <c r="H25" s="11">
        <f t="shared" si="1"/>
        <v>2.2222222222222222E-3</v>
      </c>
      <c r="I25" s="7" t="str">
        <f>IF(J25="","",IF(ISNUMBER(FIND("|",J25)),TRIM(LEFT(J25,FIND("|",J25)-1)),IF(ISNUMBER(MATCH(J25,Config!$F$1:$F$224,0)),J25,IFERROR(INDEX(Config!$F$1:$F$224,MATCH(J25,Config!$G$1:$G$224,0)),""))))</f>
        <v>LPD11454</v>
      </c>
      <c r="J25" s="12" t="str">
        <f>IFERROR(INDEX($J$16:J24,MATCH(C25,$C$16:C24,0)),"")</f>
        <v>USHA</v>
      </c>
    </row>
    <row r="26" spans="1:10" ht="12" customHeight="1" x14ac:dyDescent="0.35">
      <c r="A26" s="6" t="s">
        <v>41</v>
      </c>
      <c r="B26" s="6" t="s">
        <v>42</v>
      </c>
      <c r="C26" s="6" t="s">
        <v>50</v>
      </c>
      <c r="D26" s="7" t="str">
        <f>IF(E26="","",IF(ISNUMBER(FIND("|",E26)),TRIM(LEFT(E26,FIND("|",E26)-1)),IF(ISNUMBER(MATCH(E26,Config!$C$1:$C$211,0)),E26,IFERROR(INDEX(Config!$C$1:$C$211,MATCH(E26,Config!$D$1:$D$211,0)),""))))</f>
        <v>OP-0021</v>
      </c>
      <c r="E26" s="8" t="s">
        <v>55</v>
      </c>
      <c r="F26" s="9">
        <v>12</v>
      </c>
      <c r="G26" s="10">
        <f t="shared" si="0"/>
        <v>75</v>
      </c>
      <c r="H26" s="11">
        <f t="shared" si="1"/>
        <v>3.3333333333333335E-3</v>
      </c>
      <c r="I26" s="7" t="str">
        <f>IF(J26="","",IF(ISNUMBER(FIND("|",J26)),TRIM(LEFT(J26,FIND("|",J26)-1)),IF(ISNUMBER(MATCH(J26,Config!$F$1:$F$224,0)),J26,IFERROR(INDEX(Config!$F$1:$F$224,MATCH(J26,Config!$G$1:$G$224,0)),""))))</f>
        <v>LPD11454</v>
      </c>
      <c r="J26" s="12" t="str">
        <f>IFERROR(INDEX($J$16:J25,MATCH(C26,$C$16:C25,0)),"")</f>
        <v>USHA</v>
      </c>
    </row>
    <row r="27" spans="1:10" ht="12" customHeight="1" x14ac:dyDescent="0.35">
      <c r="A27" s="6" t="s">
        <v>41</v>
      </c>
      <c r="B27" s="6" t="s">
        <v>42</v>
      </c>
      <c r="C27" s="6" t="s">
        <v>50</v>
      </c>
      <c r="D27" s="7" t="str">
        <f>IF(E27="","",IF(ISNUMBER(FIND("|",E27)),TRIM(LEFT(E27,FIND("|",E27)-1)),IF(ISNUMBER(MATCH(E27,Config!$C$1:$C$211,0)),E27,IFERROR(INDEX(Config!$C$1:$C$211,MATCH(E27,Config!$D$1:$D$211,0)),""))))</f>
        <v>OP-0022</v>
      </c>
      <c r="E27" s="8" t="s">
        <v>56</v>
      </c>
      <c r="F27" s="9">
        <v>12</v>
      </c>
      <c r="G27" s="10">
        <f t="shared" si="0"/>
        <v>75</v>
      </c>
      <c r="H27" s="11">
        <f t="shared" si="1"/>
        <v>3.3333333333333335E-3</v>
      </c>
      <c r="I27" s="7" t="str">
        <f>IF(J27="","",IF(ISNUMBER(FIND("|",J27)),TRIM(LEFT(J27,FIND("|",J27)-1)),IF(ISNUMBER(MATCH(J27,Config!$F$1:$F$224,0)),J27,IFERROR(INDEX(Config!$F$1:$F$224,MATCH(J27,Config!$G$1:$G$224,0)),""))))</f>
        <v>LPD11454</v>
      </c>
      <c r="J27" s="12" t="str">
        <f>IFERROR(INDEX($J$16:J26,MATCH(C27,$C$16:C26,0)),"")</f>
        <v>USHA</v>
      </c>
    </row>
    <row r="28" spans="1:10" ht="12" customHeight="1" x14ac:dyDescent="0.35">
      <c r="A28" s="6" t="s">
        <v>41</v>
      </c>
      <c r="B28" s="6" t="s">
        <v>42</v>
      </c>
      <c r="C28" s="6" t="s">
        <v>57</v>
      </c>
      <c r="D28" s="7" t="str">
        <f>IF(E28="","",IF(ISNUMBER(FIND("|",E28)),TRIM(LEFT(E28,FIND("|",E28)-1)),IF(ISNUMBER(MATCH(E28,Config!$C$1:$C$211,0)),E28,IFERROR(INDEX(Config!$C$1:$C$211,MATCH(E28,Config!$D$1:$D$211,0)),""))))</f>
        <v>OP-0023</v>
      </c>
      <c r="E28" s="8" t="s">
        <v>58</v>
      </c>
      <c r="F28" s="9">
        <v>20</v>
      </c>
      <c r="G28" s="10">
        <f t="shared" si="0"/>
        <v>50.5</v>
      </c>
      <c r="H28" s="11">
        <f t="shared" si="1"/>
        <v>5.5555555555555558E-3</v>
      </c>
      <c r="I28" s="7" t="str">
        <f>IF(J28="","",IF(ISNUMBER(FIND("|",J28)),TRIM(LEFT(J28,FIND("|",J28)-1)),IF(ISNUMBER(MATCH(J28,Config!$F$1:$F$224,0)),J28,IFERROR(INDEX(Config!$F$1:$F$224,MATCH(J28,Config!$G$1:$G$224,0)),""))))</f>
        <v>LPDS95750</v>
      </c>
      <c r="J28" s="8" t="s">
        <v>59</v>
      </c>
    </row>
    <row r="29" spans="1:10" ht="12" customHeight="1" x14ac:dyDescent="0.35">
      <c r="A29" s="6" t="s">
        <v>41</v>
      </c>
      <c r="B29" s="6" t="s">
        <v>42</v>
      </c>
      <c r="C29" s="6" t="s">
        <v>57</v>
      </c>
      <c r="D29" s="7" t="str">
        <f>IF(E29="","",IF(ISNUMBER(FIND("|",E29)),TRIM(LEFT(E29,FIND("|",E29)-1)),IF(ISNUMBER(MATCH(E29,Config!$C$1:$C$211,0)),E29,IFERROR(INDEX(Config!$C$1:$C$211,MATCH(E29,Config!$D$1:$D$211,0)),""))))</f>
        <v>OP-0024</v>
      </c>
      <c r="E29" s="8" t="s">
        <v>60</v>
      </c>
      <c r="F29" s="9">
        <v>12</v>
      </c>
      <c r="G29" s="10">
        <f t="shared" si="0"/>
        <v>50.5</v>
      </c>
      <c r="H29" s="11">
        <f t="shared" si="1"/>
        <v>3.3333333333333335E-3</v>
      </c>
      <c r="I29" s="7" t="str">
        <f>IF(J29="","",IF(ISNUMBER(FIND("|",J29)),TRIM(LEFT(J29,FIND("|",J29)-1)),IF(ISNUMBER(MATCH(J29,Config!$F$1:$F$224,0)),J29,IFERROR(INDEX(Config!$F$1:$F$224,MATCH(J29,Config!$G$1:$G$224,0)),""))))</f>
        <v>LPDS95750</v>
      </c>
      <c r="J29" s="12" t="str">
        <f>IFERROR(INDEX($J$16:J28,MATCH(C29,$C$16:C28,0)),"")</f>
        <v>JAYALAKSHMI</v>
      </c>
    </row>
    <row r="30" spans="1:10" ht="12" customHeight="1" x14ac:dyDescent="0.35">
      <c r="A30" s="6" t="s">
        <v>41</v>
      </c>
      <c r="B30" s="6" t="s">
        <v>42</v>
      </c>
      <c r="C30" s="6" t="s">
        <v>57</v>
      </c>
      <c r="D30" s="7" t="str">
        <f>IF(E30="","",IF(ISNUMBER(FIND("|",E30)),TRIM(LEFT(E30,FIND("|",E30)-1)),IF(ISNUMBER(MATCH(E30,Config!$C$1:$C$211,0)),E30,IFERROR(INDEX(Config!$C$1:$C$211,MATCH(E30,Config!$D$1:$D$211,0)),""))))</f>
        <v>OP-0025</v>
      </c>
      <c r="E30" s="8" t="s">
        <v>61</v>
      </c>
      <c r="F30" s="9">
        <v>13.5</v>
      </c>
      <c r="G30" s="10">
        <f t="shared" si="0"/>
        <v>50.5</v>
      </c>
      <c r="H30" s="11">
        <f t="shared" si="1"/>
        <v>3.7499999999999999E-3</v>
      </c>
      <c r="I30" s="7" t="str">
        <f>IF(J30="","",IF(ISNUMBER(FIND("|",J30)),TRIM(LEFT(J30,FIND("|",J30)-1)),IF(ISNUMBER(MATCH(J30,Config!$F$1:$F$224,0)),J30,IFERROR(INDEX(Config!$F$1:$F$224,MATCH(J30,Config!$G$1:$G$224,0)),""))))</f>
        <v>LPDS95750</v>
      </c>
      <c r="J30" s="12" t="str">
        <f>IFERROR(INDEX($J$16:J29,MATCH(C30,$C$16:C29,0)),"")</f>
        <v>JAYALAKSHMI</v>
      </c>
    </row>
    <row r="31" spans="1:10" ht="12" customHeight="1" x14ac:dyDescent="0.35">
      <c r="A31" s="6" t="s">
        <v>41</v>
      </c>
      <c r="B31" s="6" t="s">
        <v>42</v>
      </c>
      <c r="C31" s="6" t="s">
        <v>57</v>
      </c>
      <c r="D31" s="7" t="str">
        <f>IF(E31="","",IF(ISNUMBER(FIND("|",E31)),TRIM(LEFT(E31,FIND("|",E31)-1)),IF(ISNUMBER(MATCH(E31,Config!$C$1:$C$211,0)),E31,IFERROR(INDEX(Config!$C$1:$C$211,MATCH(E31,Config!$D$1:$D$211,0)),""))))</f>
        <v>OP-0026</v>
      </c>
      <c r="E31" s="8" t="s">
        <v>62</v>
      </c>
      <c r="F31" s="9">
        <v>5</v>
      </c>
      <c r="G31" s="10">
        <f t="shared" si="0"/>
        <v>50.5</v>
      </c>
      <c r="H31" s="11">
        <f t="shared" si="1"/>
        <v>1.3888888888888889E-3</v>
      </c>
      <c r="I31" s="7" t="str">
        <f>IF(J31="","",IF(ISNUMBER(FIND("|",J31)),TRIM(LEFT(J31,FIND("|",J31)-1)),IF(ISNUMBER(MATCH(J31,Config!$F$1:$F$224,0)),J31,IFERROR(INDEX(Config!$F$1:$F$224,MATCH(J31,Config!$G$1:$G$224,0)),""))))</f>
        <v>LPDS95750</v>
      </c>
      <c r="J31" s="12" t="str">
        <f>IFERROR(INDEX($J$16:J30,MATCH(C31,$C$16:C30,0)),"")</f>
        <v>JAYALAKSHMI</v>
      </c>
    </row>
    <row r="32" spans="1:10" ht="12" customHeight="1" x14ac:dyDescent="0.35">
      <c r="A32" s="6" t="s">
        <v>41</v>
      </c>
      <c r="B32" s="6" t="s">
        <v>42</v>
      </c>
      <c r="C32" s="6" t="s">
        <v>63</v>
      </c>
      <c r="D32" s="7" t="str">
        <f>IF(E32="","",IF(ISNUMBER(FIND("|",E32)),TRIM(LEFT(E32,FIND("|",E32)-1)),IF(ISNUMBER(MATCH(E32,Config!$C$1:$C$211,0)),E32,IFERROR(INDEX(Config!$C$1:$C$211,MATCH(E32,Config!$D$1:$D$211,0)),""))))</f>
        <v>OP-0027</v>
      </c>
      <c r="E32" s="8" t="s">
        <v>64</v>
      </c>
      <c r="F32" s="9">
        <v>8</v>
      </c>
      <c r="G32" s="10">
        <f t="shared" si="0"/>
        <v>34</v>
      </c>
      <c r="H32" s="11">
        <f t="shared" si="1"/>
        <v>2.2222222222222222E-3</v>
      </c>
      <c r="I32" s="7" t="str">
        <f>IF(J32="","",IF(ISNUMBER(FIND("|",J32)),TRIM(LEFT(J32,FIND("|",J32)-1)),IF(ISNUMBER(MATCH(J32,Config!$F$1:$F$224,0)),J32,IFERROR(INDEX(Config!$F$1:$F$224,MATCH(J32,Config!$G$1:$G$224,0)),""))))</f>
        <v>LPDS95789</v>
      </c>
      <c r="J32" s="8" t="s">
        <v>65</v>
      </c>
    </row>
    <row r="33" spans="1:10" ht="12" customHeight="1" x14ac:dyDescent="0.35">
      <c r="A33" s="6" t="s">
        <v>41</v>
      </c>
      <c r="B33" s="6" t="s">
        <v>42</v>
      </c>
      <c r="C33" s="6" t="s">
        <v>63</v>
      </c>
      <c r="D33" s="7" t="str">
        <f>IF(E33="","",IF(ISNUMBER(FIND("|",E33)),TRIM(LEFT(E33,FIND("|",E33)-1)),IF(ISNUMBER(MATCH(E33,Config!$C$1:$C$211,0)),E33,IFERROR(INDEX(Config!$C$1:$C$211,MATCH(E33,Config!$D$1:$D$211,0)),""))))</f>
        <v>OP-0027</v>
      </c>
      <c r="E33" s="8" t="s">
        <v>64</v>
      </c>
      <c r="F33" s="9">
        <v>8</v>
      </c>
      <c r="G33" s="10">
        <f t="shared" si="0"/>
        <v>34</v>
      </c>
      <c r="H33" s="11">
        <f t="shared" si="1"/>
        <v>2.2222222222222222E-3</v>
      </c>
      <c r="I33" s="7" t="str">
        <f>IF(J33="","",IF(ISNUMBER(FIND("|",J33)),TRIM(LEFT(J33,FIND("|",J33)-1)),IF(ISNUMBER(MATCH(J33,Config!$F$1:$F$224,0)),J33,IFERROR(INDEX(Config!$F$1:$F$224,MATCH(J33,Config!$G$1:$G$224,0)),""))))</f>
        <v>LPDS95789</v>
      </c>
      <c r="J33" s="12" t="str">
        <f>IFERROR(INDEX($J$16:J32,MATCH(C33,$C$16:C32,0)),"")</f>
        <v>ASLAM</v>
      </c>
    </row>
    <row r="34" spans="1:10" ht="12" customHeight="1" x14ac:dyDescent="0.35">
      <c r="A34" s="6" t="s">
        <v>41</v>
      </c>
      <c r="B34" s="6" t="s">
        <v>42</v>
      </c>
      <c r="C34" s="6" t="s">
        <v>63</v>
      </c>
      <c r="D34" s="7" t="str">
        <f>IF(E34="","",IF(ISNUMBER(FIND("|",E34)),TRIM(LEFT(E34,FIND("|",E34)-1)),IF(ISNUMBER(MATCH(E34,Config!$C$1:$C$211,0)),E34,IFERROR(INDEX(Config!$C$1:$C$211,MATCH(E34,Config!$D$1:$D$211,0)),""))))</f>
        <v>OP-0028</v>
      </c>
      <c r="E34" s="8" t="s">
        <v>66</v>
      </c>
      <c r="F34" s="9">
        <v>9</v>
      </c>
      <c r="G34" s="10">
        <f t="shared" si="0"/>
        <v>34</v>
      </c>
      <c r="H34" s="11">
        <f t="shared" si="1"/>
        <v>2.5000000000000001E-3</v>
      </c>
      <c r="I34" s="7" t="str">
        <f>IF(J34="","",IF(ISNUMBER(FIND("|",J34)),TRIM(LEFT(J34,FIND("|",J34)-1)),IF(ISNUMBER(MATCH(J34,Config!$F$1:$F$224,0)),J34,IFERROR(INDEX(Config!$F$1:$F$224,MATCH(J34,Config!$G$1:$G$224,0)),""))))</f>
        <v>LPDS95789</v>
      </c>
      <c r="J34" s="12" t="str">
        <f>IFERROR(INDEX($J$16:J33,MATCH(C34,$C$16:C33,0)),"")</f>
        <v>ASLAM</v>
      </c>
    </row>
    <row r="35" spans="1:10" ht="12" customHeight="1" x14ac:dyDescent="0.35">
      <c r="A35" s="6" t="s">
        <v>41</v>
      </c>
      <c r="B35" s="6" t="s">
        <v>42</v>
      </c>
      <c r="C35" s="6" t="s">
        <v>63</v>
      </c>
      <c r="D35" s="7" t="str">
        <f>IF(E35="","",IF(ISNUMBER(FIND("|",E35)),TRIM(LEFT(E35,FIND("|",E35)-1)),IF(ISNUMBER(MATCH(E35,Config!$C$1:$C$211,0)),E35,IFERROR(INDEX(Config!$C$1:$C$211,MATCH(E35,Config!$D$1:$D$211,0)),""))))</f>
        <v>OP-0028</v>
      </c>
      <c r="E35" s="8" t="s">
        <v>66</v>
      </c>
      <c r="F35" s="9">
        <v>9</v>
      </c>
      <c r="G35" s="10">
        <f t="shared" si="0"/>
        <v>34</v>
      </c>
      <c r="H35" s="11">
        <f t="shared" si="1"/>
        <v>2.5000000000000001E-3</v>
      </c>
      <c r="I35" s="7" t="str">
        <f>IF(J35="","",IF(ISNUMBER(FIND("|",J35)),TRIM(LEFT(J35,FIND("|",J35)-1)),IF(ISNUMBER(MATCH(J35,Config!$F$1:$F$224,0)),J35,IFERROR(INDEX(Config!$F$1:$F$224,MATCH(J35,Config!$G$1:$G$224,0)),""))))</f>
        <v>LPDS95789</v>
      </c>
      <c r="J35" s="12" t="str">
        <f>IFERROR(INDEX($J$16:J34,MATCH(C35,$C$16:C34,0)),"")</f>
        <v>ASLAM</v>
      </c>
    </row>
    <row r="36" spans="1:10" ht="12" customHeight="1" x14ac:dyDescent="0.35">
      <c r="A36" s="6" t="s">
        <v>41</v>
      </c>
      <c r="B36" s="6" t="s">
        <v>42</v>
      </c>
      <c r="C36" s="6" t="s">
        <v>67</v>
      </c>
      <c r="D36" s="7" t="str">
        <f>IF(E36="","",IF(ISNUMBER(FIND("|",E36)),TRIM(LEFT(E36,FIND("|",E36)-1)),IF(ISNUMBER(MATCH(E36,Config!$C$1:$C$211,0)),E36,IFERROR(INDEX(Config!$C$1:$C$211,MATCH(E36,Config!$D$1:$D$211,0)),""))))</f>
        <v>OP-0029</v>
      </c>
      <c r="E36" s="8" t="s">
        <v>68</v>
      </c>
      <c r="F36" s="9">
        <v>10</v>
      </c>
      <c r="G36" s="10">
        <f t="shared" si="0"/>
        <v>69</v>
      </c>
      <c r="H36" s="11">
        <f t="shared" si="1"/>
        <v>2.7777777777777779E-3</v>
      </c>
      <c r="I36" s="7" t="str">
        <f>IF(J36="","",IF(ISNUMBER(FIND("|",J36)),TRIM(LEFT(J36,FIND("|",J36)-1)),IF(ISNUMBER(MATCH(J36,Config!$F$1:$F$224,0)),J36,IFERROR(INDEX(Config!$F$1:$F$224,MATCH(J36,Config!$G$1:$G$224,0)),""))))</f>
        <v>LPD05998</v>
      </c>
      <c r="J36" s="8" t="s">
        <v>69</v>
      </c>
    </row>
    <row r="37" spans="1:10" ht="12" customHeight="1" x14ac:dyDescent="0.35">
      <c r="A37" s="6" t="s">
        <v>41</v>
      </c>
      <c r="B37" s="6" t="s">
        <v>42</v>
      </c>
      <c r="C37" s="6" t="s">
        <v>67</v>
      </c>
      <c r="D37" s="7" t="str">
        <f>IF(E37="","",IF(ISNUMBER(FIND("|",E37)),TRIM(LEFT(E37,FIND("|",E37)-1)),IF(ISNUMBER(MATCH(E37,Config!$C$1:$C$211,0)),E37,IFERROR(INDEX(Config!$C$1:$C$211,MATCH(E37,Config!$D$1:$D$211,0)),""))))</f>
        <v>OP-0030</v>
      </c>
      <c r="E37" s="8" t="s">
        <v>70</v>
      </c>
      <c r="F37" s="9">
        <v>7</v>
      </c>
      <c r="G37" s="10">
        <f t="shared" si="0"/>
        <v>69</v>
      </c>
      <c r="H37" s="11">
        <f t="shared" si="1"/>
        <v>1.9444444444444444E-3</v>
      </c>
      <c r="I37" s="7" t="str">
        <f>IF(J37="","",IF(ISNUMBER(FIND("|",J37)),TRIM(LEFT(J37,FIND("|",J37)-1)),IF(ISNUMBER(MATCH(J37,Config!$F$1:$F$224,0)),J37,IFERROR(INDEX(Config!$F$1:$F$224,MATCH(J37,Config!$G$1:$G$224,0)),""))))</f>
        <v>LPD05998</v>
      </c>
      <c r="J37" s="12" t="str">
        <f>IFERROR(INDEX($J$16:J36,MATCH(C37,$C$16:C36,0)),"")</f>
        <v>VENDA</v>
      </c>
    </row>
    <row r="38" spans="1:10" ht="12" customHeight="1" x14ac:dyDescent="0.35">
      <c r="A38" s="6" t="s">
        <v>41</v>
      </c>
      <c r="B38" s="6" t="s">
        <v>42</v>
      </c>
      <c r="C38" s="6" t="s">
        <v>67</v>
      </c>
      <c r="D38" s="7" t="str">
        <f>IF(E38="","",IF(ISNUMBER(FIND("|",E38)),TRIM(LEFT(E38,FIND("|",E38)-1)),IF(ISNUMBER(MATCH(E38,Config!$C$1:$C$211,0)),E38,IFERROR(INDEX(Config!$C$1:$C$211,MATCH(E38,Config!$D$1:$D$211,0)),""))))</f>
        <v>OP-0031</v>
      </c>
      <c r="E38" s="8" t="s">
        <v>71</v>
      </c>
      <c r="F38" s="9">
        <v>14</v>
      </c>
      <c r="G38" s="10">
        <f t="shared" si="0"/>
        <v>69</v>
      </c>
      <c r="H38" s="11">
        <f t="shared" si="1"/>
        <v>3.8888888888888888E-3</v>
      </c>
      <c r="I38" s="7" t="str">
        <f>IF(J38="","",IF(ISNUMBER(FIND("|",J38)),TRIM(LEFT(J38,FIND("|",J38)-1)),IF(ISNUMBER(MATCH(J38,Config!$F$1:$F$224,0)),J38,IFERROR(INDEX(Config!$F$1:$F$224,MATCH(J38,Config!$G$1:$G$224,0)),""))))</f>
        <v>LPD05998</v>
      </c>
      <c r="J38" s="12" t="str">
        <f>IFERROR(INDEX($J$16:J37,MATCH(C38,$C$16:C37,0)),"")</f>
        <v>VENDA</v>
      </c>
    </row>
    <row r="39" spans="1:10" ht="12" customHeight="1" x14ac:dyDescent="0.35">
      <c r="A39" s="6" t="s">
        <v>41</v>
      </c>
      <c r="B39" s="6" t="s">
        <v>42</v>
      </c>
      <c r="C39" s="6" t="s">
        <v>67</v>
      </c>
      <c r="D39" s="7" t="str">
        <f>IF(E39="","",IF(ISNUMBER(FIND("|",E39)),TRIM(LEFT(E39,FIND("|",E39)-1)),IF(ISNUMBER(MATCH(E39,Config!$C$1:$C$211,0)),E39,IFERROR(INDEX(Config!$C$1:$C$211,MATCH(E39,Config!$D$1:$D$211,0)),""))))</f>
        <v>OP-0032</v>
      </c>
      <c r="E39" s="8" t="s">
        <v>72</v>
      </c>
      <c r="F39" s="9">
        <v>10</v>
      </c>
      <c r="G39" s="10">
        <f t="shared" si="0"/>
        <v>69</v>
      </c>
      <c r="H39" s="11">
        <f t="shared" si="1"/>
        <v>2.7777777777777779E-3</v>
      </c>
      <c r="I39" s="7" t="str">
        <f>IF(J39="","",IF(ISNUMBER(FIND("|",J39)),TRIM(LEFT(J39,FIND("|",J39)-1)),IF(ISNUMBER(MATCH(J39,Config!$F$1:$F$224,0)),J39,IFERROR(INDEX(Config!$F$1:$F$224,MATCH(J39,Config!$G$1:$G$224,0)),""))))</f>
        <v>LPD05998</v>
      </c>
      <c r="J39" s="12" t="str">
        <f>IFERROR(INDEX($J$16:J38,MATCH(C39,$C$16:C38,0)),"")</f>
        <v>VENDA</v>
      </c>
    </row>
    <row r="40" spans="1:10" ht="12" customHeight="1" x14ac:dyDescent="0.35">
      <c r="A40" s="6" t="s">
        <v>41</v>
      </c>
      <c r="B40" s="6" t="s">
        <v>42</v>
      </c>
      <c r="C40" s="6" t="s">
        <v>67</v>
      </c>
      <c r="D40" s="7" t="str">
        <f>IF(E40="","",IF(ISNUMBER(FIND("|",E40)),TRIM(LEFT(E40,FIND("|",E40)-1)),IF(ISNUMBER(MATCH(E40,Config!$C$1:$C$211,0)),E40,IFERROR(INDEX(Config!$C$1:$C$211,MATCH(E40,Config!$D$1:$D$211,0)),""))))</f>
        <v>OP-0033</v>
      </c>
      <c r="E40" s="8" t="s">
        <v>73</v>
      </c>
      <c r="F40" s="9">
        <v>6</v>
      </c>
      <c r="G40" s="10">
        <f t="shared" si="0"/>
        <v>69</v>
      </c>
      <c r="H40" s="11">
        <f t="shared" si="1"/>
        <v>1.6666666666666668E-3</v>
      </c>
      <c r="I40" s="7" t="str">
        <f>IF(J40="","",IF(ISNUMBER(FIND("|",J40)),TRIM(LEFT(J40,FIND("|",J40)-1)),IF(ISNUMBER(MATCH(J40,Config!$F$1:$F$224,0)),J40,IFERROR(INDEX(Config!$F$1:$F$224,MATCH(J40,Config!$G$1:$G$224,0)),""))))</f>
        <v>LPD05998</v>
      </c>
      <c r="J40" s="12" t="str">
        <f>IFERROR(INDEX($J$16:J39,MATCH(C40,$C$16:C39,0)),"")</f>
        <v>VENDA</v>
      </c>
    </row>
    <row r="41" spans="1:10" ht="12" customHeight="1" x14ac:dyDescent="0.35">
      <c r="A41" s="6" t="s">
        <v>41</v>
      </c>
      <c r="B41" s="6" t="s">
        <v>42</v>
      </c>
      <c r="C41" s="6" t="s">
        <v>67</v>
      </c>
      <c r="D41" s="7" t="str">
        <f>IF(E41="","",IF(ISNUMBER(FIND("|",E41)),TRIM(LEFT(E41,FIND("|",E41)-1)),IF(ISNUMBER(MATCH(E41,Config!$C$1:$C$211,0)),E41,IFERROR(INDEX(Config!$C$1:$C$211,MATCH(E41,Config!$D$1:$D$211,0)),""))))</f>
        <v>OP-0034</v>
      </c>
      <c r="E41" s="8" t="s">
        <v>74</v>
      </c>
      <c r="F41" s="9">
        <v>6</v>
      </c>
      <c r="G41" s="10">
        <f t="shared" si="0"/>
        <v>69</v>
      </c>
      <c r="H41" s="11">
        <f t="shared" si="1"/>
        <v>1.6666666666666668E-3</v>
      </c>
      <c r="I41" s="7" t="str">
        <f>IF(J41="","",IF(ISNUMBER(FIND("|",J41)),TRIM(LEFT(J41,FIND("|",J41)-1)),IF(ISNUMBER(MATCH(J41,Config!$F$1:$F$224,0)),J41,IFERROR(INDEX(Config!$F$1:$F$224,MATCH(J41,Config!$G$1:$G$224,0)),""))))</f>
        <v>LPD05998</v>
      </c>
      <c r="J41" s="12" t="str">
        <f>IFERROR(INDEX($J$16:J40,MATCH(C41,$C$16:C40,0)),"")</f>
        <v>VENDA</v>
      </c>
    </row>
    <row r="42" spans="1:10" ht="12" customHeight="1" x14ac:dyDescent="0.35">
      <c r="A42" s="6" t="s">
        <v>41</v>
      </c>
      <c r="B42" s="6" t="s">
        <v>42</v>
      </c>
      <c r="C42" s="6" t="s">
        <v>67</v>
      </c>
      <c r="D42" s="7" t="str">
        <f>IF(E42="","",IF(ISNUMBER(FIND("|",E42)),TRIM(LEFT(E42,FIND("|",E42)-1)),IF(ISNUMBER(MATCH(E42,Config!$C$1:$C$211,0)),E42,IFERROR(INDEX(Config!$C$1:$C$211,MATCH(E42,Config!$D$1:$D$211,0)),""))))</f>
        <v>OP-0035</v>
      </c>
      <c r="E42" s="8" t="s">
        <v>75</v>
      </c>
      <c r="F42" s="9">
        <v>8</v>
      </c>
      <c r="G42" s="10">
        <f t="shared" si="0"/>
        <v>69</v>
      </c>
      <c r="H42" s="11">
        <f t="shared" si="1"/>
        <v>2.2222222222222222E-3</v>
      </c>
      <c r="I42" s="7" t="str">
        <f>IF(J42="","",IF(ISNUMBER(FIND("|",J42)),TRIM(LEFT(J42,FIND("|",J42)-1)),IF(ISNUMBER(MATCH(J42,Config!$F$1:$F$224,0)),J42,IFERROR(INDEX(Config!$F$1:$F$224,MATCH(J42,Config!$G$1:$G$224,0)),""))))</f>
        <v>LPD05998</v>
      </c>
      <c r="J42" s="12" t="str">
        <f>IFERROR(INDEX($J$16:J41,MATCH(C42,$C$16:C41,0)),"")</f>
        <v>VENDA</v>
      </c>
    </row>
    <row r="43" spans="1:10" ht="12" customHeight="1" x14ac:dyDescent="0.35">
      <c r="A43" s="6" t="s">
        <v>41</v>
      </c>
      <c r="B43" s="6" t="s">
        <v>42</v>
      </c>
      <c r="C43" s="6" t="s">
        <v>67</v>
      </c>
      <c r="D43" s="7" t="str">
        <f>IF(E43="","",IF(ISNUMBER(FIND("|",E43)),TRIM(LEFT(E43,FIND("|",E43)-1)),IF(ISNUMBER(MATCH(E43,Config!$C$1:$C$211,0)),E43,IFERROR(INDEX(Config!$C$1:$C$211,MATCH(E43,Config!$D$1:$D$211,0)),""))))</f>
        <v>OP-0036</v>
      </c>
      <c r="E43" s="8" t="s">
        <v>76</v>
      </c>
      <c r="F43" s="9">
        <v>8</v>
      </c>
      <c r="G43" s="10">
        <f t="shared" si="0"/>
        <v>69</v>
      </c>
      <c r="H43" s="11">
        <f t="shared" si="1"/>
        <v>2.2222222222222222E-3</v>
      </c>
      <c r="I43" s="7" t="str">
        <f>IF(J43="","",IF(ISNUMBER(FIND("|",J43)),TRIM(LEFT(J43,FIND("|",J43)-1)),IF(ISNUMBER(MATCH(J43,Config!$F$1:$F$224,0)),J43,IFERROR(INDEX(Config!$F$1:$F$224,MATCH(J43,Config!$G$1:$G$224,0)),""))))</f>
        <v>LPD05998</v>
      </c>
      <c r="J43" s="12" t="str">
        <f>IFERROR(INDEX($J$16:J42,MATCH(C43,$C$16:C42,0)),"")</f>
        <v>VENDA</v>
      </c>
    </row>
    <row r="44" spans="1:10" ht="12" customHeight="1" x14ac:dyDescent="0.35">
      <c r="A44" s="6" t="s">
        <v>41</v>
      </c>
      <c r="B44" s="6" t="s">
        <v>42</v>
      </c>
      <c r="C44" s="6" t="s">
        <v>77</v>
      </c>
      <c r="D44" s="7" t="str">
        <f>IF(E44="","",IF(ISNUMBER(FIND("|",E44)),TRIM(LEFT(E44,FIND("|",E44)-1)),IF(ISNUMBER(MATCH(E44,Config!$C$1:$C$211,0)),E44,IFERROR(INDEX(Config!$C$1:$C$211,MATCH(E44,Config!$D$1:$D$211,0)),""))))</f>
        <v>OP-0037</v>
      </c>
      <c r="E44" s="8" t="s">
        <v>78</v>
      </c>
      <c r="F44" s="9">
        <v>4</v>
      </c>
      <c r="G44" s="10">
        <f t="shared" si="0"/>
        <v>65</v>
      </c>
      <c r="H44" s="11">
        <f t="shared" si="1"/>
        <v>1.1111111111111111E-3</v>
      </c>
      <c r="I44" s="7" t="str">
        <f>IF(J44="","",IF(ISNUMBER(FIND("|",J44)),TRIM(LEFT(J44,FIND("|",J44)-1)),IF(ISNUMBER(MATCH(J44,Config!$F$1:$F$224,0)),J44,IFERROR(INDEX(Config!$F$1:$F$224,MATCH(J44,Config!$G$1:$G$224,0)),""))))</f>
        <v>LPD11099</v>
      </c>
      <c r="J44" s="8" t="s">
        <v>79</v>
      </c>
    </row>
    <row r="45" spans="1:10" ht="12" customHeight="1" x14ac:dyDescent="0.35">
      <c r="A45" s="6" t="s">
        <v>41</v>
      </c>
      <c r="B45" s="6" t="s">
        <v>42</v>
      </c>
      <c r="C45" s="6" t="s">
        <v>77</v>
      </c>
      <c r="D45" s="7" t="str">
        <f>IF(E45="","",IF(ISNUMBER(FIND("|",E45)),TRIM(LEFT(E45,FIND("|",E45)-1)),IF(ISNUMBER(MATCH(E45,Config!$C$1:$C$211,0)),E45,IFERROR(INDEX(Config!$C$1:$C$211,MATCH(E45,Config!$D$1:$D$211,0)),""))))</f>
        <v>OP-0038</v>
      </c>
      <c r="E45" s="8" t="s">
        <v>80</v>
      </c>
      <c r="F45" s="9">
        <v>5</v>
      </c>
      <c r="G45" s="10">
        <f t="shared" si="0"/>
        <v>65</v>
      </c>
      <c r="H45" s="11">
        <f t="shared" si="1"/>
        <v>1.3888888888888889E-3</v>
      </c>
      <c r="I45" s="7" t="str">
        <f>IF(J45="","",IF(ISNUMBER(FIND("|",J45)),TRIM(LEFT(J45,FIND("|",J45)-1)),IF(ISNUMBER(MATCH(J45,Config!$F$1:$F$224,0)),J45,IFERROR(INDEX(Config!$F$1:$F$224,MATCH(J45,Config!$G$1:$G$224,0)),""))))</f>
        <v>LPD11099</v>
      </c>
      <c r="J45" s="12" t="str">
        <f>IFERROR(INDEX($J$16:J44,MATCH(C45,$C$16:C44,0)),"")</f>
        <v>TAMIL ARASI</v>
      </c>
    </row>
    <row r="46" spans="1:10" ht="12" customHeight="1" x14ac:dyDescent="0.35">
      <c r="A46" s="6" t="s">
        <v>41</v>
      </c>
      <c r="B46" s="6" t="s">
        <v>42</v>
      </c>
      <c r="C46" s="6" t="s">
        <v>77</v>
      </c>
      <c r="D46" s="7" t="str">
        <f>IF(E46="","",IF(ISNUMBER(FIND("|",E46)),TRIM(LEFT(E46,FIND("|",E46)-1)),IF(ISNUMBER(MATCH(E46,Config!$C$1:$C$211,0)),E46,IFERROR(INDEX(Config!$C$1:$C$211,MATCH(E46,Config!$D$1:$D$211,0)),""))))</f>
        <v>OP-0039</v>
      </c>
      <c r="E46" s="8" t="s">
        <v>81</v>
      </c>
      <c r="F46" s="9">
        <v>10</v>
      </c>
      <c r="G46" s="10">
        <f t="shared" si="0"/>
        <v>65</v>
      </c>
      <c r="H46" s="11">
        <f t="shared" si="1"/>
        <v>2.7777777777777779E-3</v>
      </c>
      <c r="I46" s="7" t="str">
        <f>IF(J46="","",IF(ISNUMBER(FIND("|",J46)),TRIM(LEFT(J46,FIND("|",J46)-1)),IF(ISNUMBER(MATCH(J46,Config!$F$1:$F$224,0)),J46,IFERROR(INDEX(Config!$F$1:$F$224,MATCH(J46,Config!$G$1:$G$224,0)),""))))</f>
        <v>LPD11099</v>
      </c>
      <c r="J46" s="12" t="str">
        <f>IFERROR(INDEX($J$16:J45,MATCH(C46,$C$16:C45,0)),"")</f>
        <v>TAMIL ARASI</v>
      </c>
    </row>
    <row r="47" spans="1:10" ht="12" customHeight="1" x14ac:dyDescent="0.35">
      <c r="A47" s="6" t="s">
        <v>41</v>
      </c>
      <c r="B47" s="6" t="s">
        <v>42</v>
      </c>
      <c r="C47" s="6" t="s">
        <v>77</v>
      </c>
      <c r="D47" s="7" t="str">
        <f>IF(E47="","",IF(ISNUMBER(FIND("|",E47)),TRIM(LEFT(E47,FIND("|",E47)-1)),IF(ISNUMBER(MATCH(E47,Config!$C$1:$C$211,0)),E47,IFERROR(INDEX(Config!$C$1:$C$211,MATCH(E47,Config!$D$1:$D$211,0)),""))))</f>
        <v>OP-0040</v>
      </c>
      <c r="E47" s="8" t="s">
        <v>82</v>
      </c>
      <c r="F47" s="9">
        <v>10</v>
      </c>
      <c r="G47" s="10">
        <f t="shared" si="0"/>
        <v>65</v>
      </c>
      <c r="H47" s="11">
        <f t="shared" si="1"/>
        <v>2.7777777777777779E-3</v>
      </c>
      <c r="I47" s="7" t="str">
        <f>IF(J47="","",IF(ISNUMBER(FIND("|",J47)),TRIM(LEFT(J47,FIND("|",J47)-1)),IF(ISNUMBER(MATCH(J47,Config!$F$1:$F$224,0)),J47,IFERROR(INDEX(Config!$F$1:$F$224,MATCH(J47,Config!$G$1:$G$224,0)),""))))</f>
        <v>LPD11099</v>
      </c>
      <c r="J47" s="12" t="str">
        <f>IFERROR(INDEX($J$16:J46,MATCH(C47,$C$16:C46,0)),"")</f>
        <v>TAMIL ARASI</v>
      </c>
    </row>
    <row r="48" spans="1:10" ht="12" customHeight="1" x14ac:dyDescent="0.35">
      <c r="A48" s="6" t="s">
        <v>41</v>
      </c>
      <c r="B48" s="6" t="s">
        <v>42</v>
      </c>
      <c r="C48" s="6" t="s">
        <v>77</v>
      </c>
      <c r="D48" s="7" t="str">
        <f>IF(E48="","",IF(ISNUMBER(FIND("|",E48)),TRIM(LEFT(E48,FIND("|",E48)-1)),IF(ISNUMBER(MATCH(E48,Config!$C$1:$C$211,0)),E48,IFERROR(INDEX(Config!$C$1:$C$211,MATCH(E48,Config!$D$1:$D$211,0)),""))))</f>
        <v>OP-0041</v>
      </c>
      <c r="E48" s="8" t="s">
        <v>83</v>
      </c>
      <c r="F48" s="9">
        <v>10</v>
      </c>
      <c r="G48" s="10">
        <f t="shared" si="0"/>
        <v>65</v>
      </c>
      <c r="H48" s="11">
        <f t="shared" si="1"/>
        <v>2.7777777777777779E-3</v>
      </c>
      <c r="I48" s="7" t="str">
        <f>IF(J48="","",IF(ISNUMBER(FIND("|",J48)),TRIM(LEFT(J48,FIND("|",J48)-1)),IF(ISNUMBER(MATCH(J48,Config!$F$1:$F$224,0)),J48,IFERROR(INDEX(Config!$F$1:$F$224,MATCH(J48,Config!$G$1:$G$224,0)),""))))</f>
        <v>LPD11099</v>
      </c>
      <c r="J48" s="12" t="str">
        <f>IFERROR(INDEX($J$16:J47,MATCH(C48,$C$16:C47,0)),"")</f>
        <v>TAMIL ARASI</v>
      </c>
    </row>
    <row r="49" spans="1:10" ht="12" customHeight="1" x14ac:dyDescent="0.35">
      <c r="A49" s="6" t="s">
        <v>41</v>
      </c>
      <c r="B49" s="6" t="s">
        <v>42</v>
      </c>
      <c r="C49" s="6" t="s">
        <v>77</v>
      </c>
      <c r="D49" s="7" t="str">
        <f>IF(E49="","",IF(ISNUMBER(FIND("|",E49)),TRIM(LEFT(E49,FIND("|",E49)-1)),IF(ISNUMBER(MATCH(E49,Config!$C$1:$C$211,0)),E49,IFERROR(INDEX(Config!$C$1:$C$211,MATCH(E49,Config!$D$1:$D$211,0)),""))))</f>
        <v>OP-0040</v>
      </c>
      <c r="E49" s="8" t="s">
        <v>82</v>
      </c>
      <c r="F49" s="9">
        <v>8</v>
      </c>
      <c r="G49" s="10">
        <f t="shared" si="0"/>
        <v>65</v>
      </c>
      <c r="H49" s="11">
        <f t="shared" si="1"/>
        <v>2.2222222222222222E-3</v>
      </c>
      <c r="I49" s="7" t="str">
        <f>IF(J49="","",IF(ISNUMBER(FIND("|",J49)),TRIM(LEFT(J49,FIND("|",J49)-1)),IF(ISNUMBER(MATCH(J49,Config!$F$1:$F$224,0)),J49,IFERROR(INDEX(Config!$F$1:$F$224,MATCH(J49,Config!$G$1:$G$224,0)),""))))</f>
        <v>LPD11099</v>
      </c>
      <c r="J49" s="12" t="str">
        <f>IFERROR(INDEX($J$16:J48,MATCH(C49,$C$16:C48,0)),"")</f>
        <v>TAMIL ARASI</v>
      </c>
    </row>
    <row r="50" spans="1:10" ht="12" customHeight="1" x14ac:dyDescent="0.35">
      <c r="A50" s="6" t="s">
        <v>41</v>
      </c>
      <c r="B50" s="6" t="s">
        <v>42</v>
      </c>
      <c r="C50" s="6" t="s">
        <v>77</v>
      </c>
      <c r="D50" s="7" t="str">
        <f>IF(E50="","",IF(ISNUMBER(FIND("|",E50)),TRIM(LEFT(E50,FIND("|",E50)-1)),IF(ISNUMBER(MATCH(E50,Config!$C$1:$C$211,0)),E50,IFERROR(INDEX(Config!$C$1:$C$211,MATCH(E50,Config!$D$1:$D$211,0)),""))))</f>
        <v>OP-0042</v>
      </c>
      <c r="E50" s="8" t="s">
        <v>84</v>
      </c>
      <c r="F50" s="9">
        <v>8</v>
      </c>
      <c r="G50" s="10">
        <f t="shared" si="0"/>
        <v>65</v>
      </c>
      <c r="H50" s="11">
        <f t="shared" si="1"/>
        <v>2.2222222222222222E-3</v>
      </c>
      <c r="I50" s="7" t="str">
        <f>IF(J50="","",IF(ISNUMBER(FIND("|",J50)),TRIM(LEFT(J50,FIND("|",J50)-1)),IF(ISNUMBER(MATCH(J50,Config!$F$1:$F$224,0)),J50,IFERROR(INDEX(Config!$F$1:$F$224,MATCH(J50,Config!$G$1:$G$224,0)),""))))</f>
        <v>LPD11099</v>
      </c>
      <c r="J50" s="12" t="str">
        <f>IFERROR(INDEX($J$16:J49,MATCH(C50,$C$16:C49,0)),"")</f>
        <v>TAMIL ARASI</v>
      </c>
    </row>
    <row r="51" spans="1:10" ht="12" customHeight="1" x14ac:dyDescent="0.35">
      <c r="A51" s="6" t="s">
        <v>41</v>
      </c>
      <c r="B51" s="6" t="s">
        <v>42</v>
      </c>
      <c r="C51" s="6" t="s">
        <v>77</v>
      </c>
      <c r="D51" s="7" t="str">
        <f>IF(E51="","",IF(ISNUMBER(FIND("|",E51)),TRIM(LEFT(E51,FIND("|",E51)-1)),IF(ISNUMBER(MATCH(E51,Config!$C$1:$C$211,0)),E51,IFERROR(INDEX(Config!$C$1:$C$211,MATCH(E51,Config!$D$1:$D$211,0)),""))))</f>
        <v>OP-0043</v>
      </c>
      <c r="E51" s="8" t="s">
        <v>85</v>
      </c>
      <c r="F51" s="9">
        <v>10</v>
      </c>
      <c r="G51" s="10">
        <f t="shared" si="0"/>
        <v>65</v>
      </c>
      <c r="H51" s="11">
        <f t="shared" si="1"/>
        <v>2.7777777777777779E-3</v>
      </c>
      <c r="I51" s="7" t="str">
        <f>IF(J51="","",IF(ISNUMBER(FIND("|",J51)),TRIM(LEFT(J51,FIND("|",J51)-1)),IF(ISNUMBER(MATCH(J51,Config!$F$1:$F$224,0)),J51,IFERROR(INDEX(Config!$F$1:$F$224,MATCH(J51,Config!$G$1:$G$224,0)),""))))</f>
        <v>LPD11099</v>
      </c>
      <c r="J51" s="12" t="str">
        <f>IFERROR(INDEX($J$16:J50,MATCH(C51,$C$16:C50,0)),"")</f>
        <v>TAMIL ARASI</v>
      </c>
    </row>
    <row r="52" spans="1:10" ht="12" customHeight="1" x14ac:dyDescent="0.35">
      <c r="A52" s="6" t="s">
        <v>41</v>
      </c>
      <c r="B52" s="6" t="s">
        <v>42</v>
      </c>
      <c r="C52" s="6" t="s">
        <v>86</v>
      </c>
      <c r="D52" s="7" t="str">
        <f>IF(E52="","",IF(ISNUMBER(FIND("|",E52)),TRIM(LEFT(E52,FIND("|",E52)-1)),IF(ISNUMBER(MATCH(E52,Config!$C$1:$C$211,0)),E52,IFERROR(INDEX(Config!$C$1:$C$211,MATCH(E52,Config!$D$1:$D$211,0)),""))))</f>
        <v>OP-0044</v>
      </c>
      <c r="E52" s="8" t="s">
        <v>87</v>
      </c>
      <c r="F52" s="9">
        <v>14</v>
      </c>
      <c r="G52" s="10">
        <f t="shared" si="0"/>
        <v>55</v>
      </c>
      <c r="H52" s="11">
        <f t="shared" si="1"/>
        <v>3.8888888888888888E-3</v>
      </c>
      <c r="I52" s="7" t="str">
        <f>IF(J52="","",IF(ISNUMBER(FIND("|",J52)),TRIM(LEFT(J52,FIND("|",J52)-1)),IF(ISNUMBER(MATCH(J52,Config!$F$1:$F$224,0)),J52,IFERROR(INDEX(Config!$F$1:$F$224,MATCH(J52,Config!$G$1:$G$224,0)),""))))</f>
        <v>LPD11420</v>
      </c>
      <c r="J52" s="8" t="s">
        <v>88</v>
      </c>
    </row>
    <row r="53" spans="1:10" ht="12" customHeight="1" x14ac:dyDescent="0.35">
      <c r="A53" s="6" t="s">
        <v>41</v>
      </c>
      <c r="B53" s="6" t="s">
        <v>42</v>
      </c>
      <c r="C53" s="6" t="s">
        <v>86</v>
      </c>
      <c r="D53" s="7" t="str">
        <f>IF(E53="","",IF(ISNUMBER(FIND("|",E53)),TRIM(LEFT(E53,FIND("|",E53)-1)),IF(ISNUMBER(MATCH(E53,Config!$C$1:$C$211,0)),E53,IFERROR(INDEX(Config!$C$1:$C$211,MATCH(E53,Config!$D$1:$D$211,0)),""))))</f>
        <v>OP-0045</v>
      </c>
      <c r="E53" s="8" t="s">
        <v>89</v>
      </c>
      <c r="F53" s="9">
        <v>16</v>
      </c>
      <c r="G53" s="10">
        <f t="shared" si="0"/>
        <v>55</v>
      </c>
      <c r="H53" s="11">
        <f t="shared" si="1"/>
        <v>4.4444444444444444E-3</v>
      </c>
      <c r="I53" s="7" t="str">
        <f>IF(J53="","",IF(ISNUMBER(FIND("|",J53)),TRIM(LEFT(J53,FIND("|",J53)-1)),IF(ISNUMBER(MATCH(J53,Config!$F$1:$F$224,0)),J53,IFERROR(INDEX(Config!$F$1:$F$224,MATCH(J53,Config!$G$1:$G$224,0)),""))))</f>
        <v>LPD11420</v>
      </c>
      <c r="J53" s="12" t="str">
        <f>IFERROR(INDEX($J$16:J52,MATCH(C53,$C$16:C52,0)),"")</f>
        <v>KALPANA</v>
      </c>
    </row>
    <row r="54" spans="1:10" ht="12" customHeight="1" x14ac:dyDescent="0.35">
      <c r="A54" s="6" t="s">
        <v>41</v>
      </c>
      <c r="B54" s="6" t="s">
        <v>42</v>
      </c>
      <c r="C54" s="6" t="s">
        <v>86</v>
      </c>
      <c r="D54" s="7" t="str">
        <f>IF(E54="","",IF(ISNUMBER(FIND("|",E54)),TRIM(LEFT(E54,FIND("|",E54)-1)),IF(ISNUMBER(MATCH(E54,Config!$C$1:$C$211,0)),E54,IFERROR(INDEX(Config!$C$1:$C$211,MATCH(E54,Config!$D$1:$D$211,0)),""))))</f>
        <v>OP-0046</v>
      </c>
      <c r="E54" s="8" t="s">
        <v>90</v>
      </c>
      <c r="F54" s="9">
        <v>18</v>
      </c>
      <c r="G54" s="10">
        <f t="shared" si="0"/>
        <v>55</v>
      </c>
      <c r="H54" s="11">
        <f t="shared" si="1"/>
        <v>5.0000000000000001E-3</v>
      </c>
      <c r="I54" s="7" t="str">
        <f>IF(J54="","",IF(ISNUMBER(FIND("|",J54)),TRIM(LEFT(J54,FIND("|",J54)-1)),IF(ISNUMBER(MATCH(J54,Config!$F$1:$F$224,0)),J54,IFERROR(INDEX(Config!$F$1:$F$224,MATCH(J54,Config!$G$1:$G$224,0)),""))))</f>
        <v>LPD11420</v>
      </c>
      <c r="J54" s="12" t="str">
        <f>IFERROR(INDEX($J$16:J53,MATCH(C54,$C$16:C53,0)),"")</f>
        <v>KALPANA</v>
      </c>
    </row>
    <row r="55" spans="1:10" ht="12" customHeight="1" x14ac:dyDescent="0.35">
      <c r="A55" s="6" t="s">
        <v>41</v>
      </c>
      <c r="B55" s="6" t="s">
        <v>42</v>
      </c>
      <c r="C55" s="6" t="s">
        <v>86</v>
      </c>
      <c r="D55" s="7" t="str">
        <f>IF(E55="","",IF(ISNUMBER(FIND("|",E55)),TRIM(LEFT(E55,FIND("|",E55)-1)),IF(ISNUMBER(MATCH(E55,Config!$C$1:$C$211,0)),E55,IFERROR(INDEX(Config!$C$1:$C$211,MATCH(E55,Config!$D$1:$D$211,0)),""))))</f>
        <v>OP-0047</v>
      </c>
      <c r="E55" s="8" t="s">
        <v>91</v>
      </c>
      <c r="F55" s="9">
        <v>7</v>
      </c>
      <c r="G55" s="10">
        <f t="shared" si="0"/>
        <v>55</v>
      </c>
      <c r="H55" s="11">
        <f t="shared" si="1"/>
        <v>1.9444444444444444E-3</v>
      </c>
      <c r="I55" s="7" t="str">
        <f>IF(J55="","",IF(ISNUMBER(FIND("|",J55)),TRIM(LEFT(J55,FIND("|",J55)-1)),IF(ISNUMBER(MATCH(J55,Config!$F$1:$F$224,0)),J55,IFERROR(INDEX(Config!$F$1:$F$224,MATCH(J55,Config!$G$1:$G$224,0)),""))))</f>
        <v>LPD11420</v>
      </c>
      <c r="J55" s="12" t="str">
        <f>IFERROR(INDEX($J$16:J54,MATCH(C55,$C$16:C54,0)),"")</f>
        <v>KALPANA</v>
      </c>
    </row>
    <row r="56" spans="1:10" ht="12" customHeight="1" x14ac:dyDescent="0.35">
      <c r="A56" s="6" t="s">
        <v>92</v>
      </c>
      <c r="B56" s="6" t="s">
        <v>93</v>
      </c>
      <c r="C56" s="6" t="s">
        <v>94</v>
      </c>
      <c r="D56" s="7" t="str">
        <f>IF(E56="","",IF(ISNUMBER(FIND("|",E56)),TRIM(LEFT(E56,FIND("|",E56)-1)),IF(ISNUMBER(MATCH(E56,Config!$C$1:$C$211,0)),E56,IFERROR(INDEX(Config!$C$1:$C$211,MATCH(E56,Config!$D$1:$D$211,0)),""))))</f>
        <v>OP-0048</v>
      </c>
      <c r="E56" s="8" t="s">
        <v>95</v>
      </c>
      <c r="F56" s="9">
        <v>24</v>
      </c>
      <c r="G56" s="10">
        <f t="shared" si="0"/>
        <v>56</v>
      </c>
      <c r="H56" s="11">
        <f t="shared" si="1"/>
        <v>6.6666666666666671E-3</v>
      </c>
      <c r="I56" s="7" t="str">
        <f>IF(J56="","",IF(ISNUMBER(FIND("|",J56)),TRIM(LEFT(J56,FIND("|",J56)-1)),IF(ISNUMBER(MATCH(J56,Config!$F$1:$F$224,0)),J56,IFERROR(INDEX(Config!$F$1:$F$224,MATCH(J56,Config!$G$1:$G$224,0)),""))))</f>
        <v>LPD12204</v>
      </c>
      <c r="J56" s="8" t="s">
        <v>96</v>
      </c>
    </row>
    <row r="57" spans="1:10" ht="12" customHeight="1" x14ac:dyDescent="0.35">
      <c r="A57" s="6" t="s">
        <v>92</v>
      </c>
      <c r="B57" s="6" t="s">
        <v>93</v>
      </c>
      <c r="C57" s="6" t="s">
        <v>94</v>
      </c>
      <c r="D57" s="7" t="str">
        <f>IF(E57="","",IF(ISNUMBER(FIND("|",E57)),TRIM(LEFT(E57,FIND("|",E57)-1)),IF(ISNUMBER(MATCH(E57,Config!$C$1:$C$211,0)),E57,IFERROR(INDEX(Config!$C$1:$C$211,MATCH(E57,Config!$D$1:$D$211,0)),""))))</f>
        <v>OP-0049</v>
      </c>
      <c r="E57" s="8" t="s">
        <v>97</v>
      </c>
      <c r="F57" s="9">
        <v>20</v>
      </c>
      <c r="G57" s="10">
        <f t="shared" si="0"/>
        <v>56</v>
      </c>
      <c r="H57" s="11">
        <f t="shared" si="1"/>
        <v>5.5555555555555558E-3</v>
      </c>
      <c r="I57" s="7" t="str">
        <f>IF(J57="","",IF(ISNUMBER(FIND("|",J57)),TRIM(LEFT(J57,FIND("|",J57)-1)),IF(ISNUMBER(MATCH(J57,Config!$F$1:$F$224,0)),J57,IFERROR(INDEX(Config!$F$1:$F$224,MATCH(J57,Config!$G$1:$G$224,0)),""))))</f>
        <v>LPD12204</v>
      </c>
      <c r="J57" s="12" t="str">
        <f>IFERROR(INDEX($J$16:J56,MATCH(C57,$C$16:C56,0)),"")</f>
        <v>KUMARI</v>
      </c>
    </row>
    <row r="58" spans="1:10" ht="12" customHeight="1" x14ac:dyDescent="0.35">
      <c r="A58" s="6" t="s">
        <v>92</v>
      </c>
      <c r="B58" s="6" t="s">
        <v>93</v>
      </c>
      <c r="C58" s="6" t="s">
        <v>94</v>
      </c>
      <c r="D58" s="7" t="str">
        <f>IF(E58="","",IF(ISNUMBER(FIND("|",E58)),TRIM(LEFT(E58,FIND("|",E58)-1)),IF(ISNUMBER(MATCH(E58,Config!$C$1:$C$211,0)),E58,IFERROR(INDEX(Config!$C$1:$C$211,MATCH(E58,Config!$D$1:$D$211,0)),""))))</f>
        <v>OP-0050</v>
      </c>
      <c r="E58" s="8" t="s">
        <v>98</v>
      </c>
      <c r="F58" s="9">
        <v>12</v>
      </c>
      <c r="G58" s="10">
        <f t="shared" si="0"/>
        <v>56</v>
      </c>
      <c r="H58" s="11">
        <f t="shared" si="1"/>
        <v>3.3333333333333335E-3</v>
      </c>
      <c r="I58" s="7" t="str">
        <f>IF(J58="","",IF(ISNUMBER(FIND("|",J58)),TRIM(LEFT(J58,FIND("|",J58)-1)),IF(ISNUMBER(MATCH(J58,Config!$F$1:$F$224,0)),J58,IFERROR(INDEX(Config!$F$1:$F$224,MATCH(J58,Config!$G$1:$G$224,0)),""))))</f>
        <v>LPD12204</v>
      </c>
      <c r="J58" s="12" t="str">
        <f>IFERROR(INDEX($J$16:J57,MATCH(C58,$C$16:C57,0)),"")</f>
        <v>KUMARI</v>
      </c>
    </row>
    <row r="59" spans="1:10" ht="12" customHeight="1" x14ac:dyDescent="0.35">
      <c r="A59" s="6" t="s">
        <v>92</v>
      </c>
      <c r="B59" s="6" t="s">
        <v>93</v>
      </c>
      <c r="C59" s="6" t="s">
        <v>99</v>
      </c>
      <c r="D59" s="7" t="str">
        <f>IF(E59="","",IF(ISNUMBER(FIND("|",E59)),TRIM(LEFT(E59,FIND("|",E59)-1)),IF(ISNUMBER(MATCH(E59,Config!$C$1:$C$211,0)),E59,IFERROR(INDEX(Config!$C$1:$C$211,MATCH(E59,Config!$D$1:$D$211,0)),""))))</f>
        <v>OP-0051</v>
      </c>
      <c r="E59" s="8" t="s">
        <v>100</v>
      </c>
      <c r="F59" s="9">
        <v>12</v>
      </c>
      <c r="G59" s="10">
        <f t="shared" si="0"/>
        <v>40</v>
      </c>
      <c r="H59" s="11">
        <f t="shared" si="1"/>
        <v>3.3333333333333335E-3</v>
      </c>
      <c r="I59" s="7" t="str">
        <f>IF(J59="","",IF(ISNUMBER(FIND("|",J59)),TRIM(LEFT(J59,FIND("|",J59)-1)),IF(ISNUMBER(MATCH(J59,Config!$F$1:$F$224,0)),J59,IFERROR(INDEX(Config!$F$1:$F$224,MATCH(J59,Config!$G$1:$G$224,0)),""))))</f>
        <v>LPDS94748</v>
      </c>
      <c r="J59" s="8" t="s">
        <v>101</v>
      </c>
    </row>
    <row r="60" spans="1:10" ht="12" customHeight="1" x14ac:dyDescent="0.35">
      <c r="A60" s="6" t="s">
        <v>92</v>
      </c>
      <c r="B60" s="6" t="s">
        <v>93</v>
      </c>
      <c r="C60" s="6" t="s">
        <v>99</v>
      </c>
      <c r="D60" s="7" t="str">
        <f>IF(E60="","",IF(ISNUMBER(FIND("|",E60)),TRIM(LEFT(E60,FIND("|",E60)-1)),IF(ISNUMBER(MATCH(E60,Config!$C$1:$C$211,0)),E60,IFERROR(INDEX(Config!$C$1:$C$211,MATCH(E60,Config!$D$1:$D$211,0)),""))))</f>
        <v>OP-0052</v>
      </c>
      <c r="E60" s="8" t="s">
        <v>102</v>
      </c>
      <c r="F60" s="9">
        <v>28</v>
      </c>
      <c r="G60" s="10">
        <f t="shared" si="0"/>
        <v>40</v>
      </c>
      <c r="H60" s="11">
        <f t="shared" si="1"/>
        <v>7.7777777777777776E-3</v>
      </c>
      <c r="I60" s="7" t="str">
        <f>IF(J60="","",IF(ISNUMBER(FIND("|",J60)),TRIM(LEFT(J60,FIND("|",J60)-1)),IF(ISNUMBER(MATCH(J60,Config!$F$1:$F$224,0)),J60,IFERROR(INDEX(Config!$F$1:$F$224,MATCH(J60,Config!$G$1:$G$224,0)),""))))</f>
        <v>LPDS94748</v>
      </c>
      <c r="J60" s="12" t="str">
        <f>IFERROR(INDEX($J$16:J59,MATCH(C60,$C$16:C59,0)),"")</f>
        <v>JAYA KODI</v>
      </c>
    </row>
    <row r="61" spans="1:10" ht="12" customHeight="1" x14ac:dyDescent="0.35">
      <c r="A61" s="6" t="s">
        <v>41</v>
      </c>
      <c r="B61" s="6" t="s">
        <v>93</v>
      </c>
      <c r="C61" s="6" t="s">
        <v>103</v>
      </c>
      <c r="D61" s="7" t="str">
        <f>IF(E61="","",IF(ISNUMBER(FIND("|",E61)),TRIM(LEFT(E61,FIND("|",E61)-1)),IF(ISNUMBER(MATCH(E61,Config!$C$1:$C$211,0)),E61,IFERROR(INDEX(Config!$C$1:$C$211,MATCH(E61,Config!$D$1:$D$211,0)),""))))</f>
        <v>OP-0053</v>
      </c>
      <c r="E61" s="8" t="s">
        <v>104</v>
      </c>
      <c r="F61" s="9">
        <v>7</v>
      </c>
      <c r="G61" s="10">
        <f t="shared" si="0"/>
        <v>44</v>
      </c>
      <c r="H61" s="11">
        <f t="shared" si="1"/>
        <v>1.9444444444444444E-3</v>
      </c>
      <c r="I61" s="7" t="str">
        <f>IF(J61="","",IF(ISNUMBER(FIND("|",J61)),TRIM(LEFT(J61,FIND("|",J61)-1)),IF(ISNUMBER(MATCH(J61,Config!$F$1:$F$224,0)),J61,IFERROR(INDEX(Config!$F$1:$F$224,MATCH(J61,Config!$G$1:$G$224,0)),""))))</f>
        <v>LPDS95254</v>
      </c>
      <c r="J61" s="8" t="s">
        <v>105</v>
      </c>
    </row>
    <row r="62" spans="1:10" ht="12" customHeight="1" x14ac:dyDescent="0.35">
      <c r="A62" s="6" t="s">
        <v>41</v>
      </c>
      <c r="B62" s="6" t="s">
        <v>93</v>
      </c>
      <c r="C62" s="6" t="s">
        <v>103</v>
      </c>
      <c r="D62" s="7" t="str">
        <f>IF(E62="","",IF(ISNUMBER(FIND("|",E62)),TRIM(LEFT(E62,FIND("|",E62)-1)),IF(ISNUMBER(MATCH(E62,Config!$C$1:$C$211,0)),E62,IFERROR(INDEX(Config!$C$1:$C$211,MATCH(E62,Config!$D$1:$D$211,0)),""))))</f>
        <v>OP-0053</v>
      </c>
      <c r="E62" s="8" t="s">
        <v>104</v>
      </c>
      <c r="F62" s="9">
        <v>7</v>
      </c>
      <c r="G62" s="10">
        <f t="shared" si="0"/>
        <v>44</v>
      </c>
      <c r="H62" s="11">
        <f t="shared" si="1"/>
        <v>1.9444444444444444E-3</v>
      </c>
      <c r="I62" s="7" t="str">
        <f>IF(J62="","",IF(ISNUMBER(FIND("|",J62)),TRIM(LEFT(J62,FIND("|",J62)-1)),IF(ISNUMBER(MATCH(J62,Config!$F$1:$F$224,0)),J62,IFERROR(INDEX(Config!$F$1:$F$224,MATCH(J62,Config!$G$1:$G$224,0)),""))))</f>
        <v>LPDS95254</v>
      </c>
      <c r="J62" s="12" t="str">
        <f>IFERROR(INDEX($J$16:J61,MATCH(C62,$C$16:C61,0)),"")</f>
        <v>AMREEN</v>
      </c>
    </row>
    <row r="63" spans="1:10" ht="12" customHeight="1" x14ac:dyDescent="0.35">
      <c r="A63" s="6" t="s">
        <v>41</v>
      </c>
      <c r="B63" s="6" t="s">
        <v>93</v>
      </c>
      <c r="C63" s="6" t="s">
        <v>103</v>
      </c>
      <c r="D63" s="7" t="str">
        <f>IF(E63="","",IF(ISNUMBER(FIND("|",E63)),TRIM(LEFT(E63,FIND("|",E63)-1)),IF(ISNUMBER(MATCH(E63,Config!$C$1:$C$211,0)),E63,IFERROR(INDEX(Config!$C$1:$C$211,MATCH(E63,Config!$D$1:$D$211,0)),""))))</f>
        <v>OP-0053</v>
      </c>
      <c r="E63" s="8" t="s">
        <v>104</v>
      </c>
      <c r="F63" s="9">
        <v>8</v>
      </c>
      <c r="G63" s="10">
        <f t="shared" si="0"/>
        <v>44</v>
      </c>
      <c r="H63" s="11">
        <f t="shared" si="1"/>
        <v>2.2222222222222222E-3</v>
      </c>
      <c r="I63" s="7" t="str">
        <f>IF(J63="","",IF(ISNUMBER(FIND("|",J63)),TRIM(LEFT(J63,FIND("|",J63)-1)),IF(ISNUMBER(MATCH(J63,Config!$F$1:$F$224,0)),J63,IFERROR(INDEX(Config!$F$1:$F$224,MATCH(J63,Config!$G$1:$G$224,0)),""))))</f>
        <v>LPDS95254</v>
      </c>
      <c r="J63" s="12" t="str">
        <f>IFERROR(INDEX($J$16:J62,MATCH(C63,$C$16:C62,0)),"")</f>
        <v>AMREEN</v>
      </c>
    </row>
    <row r="64" spans="1:10" ht="12" customHeight="1" x14ac:dyDescent="0.35">
      <c r="A64" s="6" t="s">
        <v>41</v>
      </c>
      <c r="B64" s="6" t="s">
        <v>93</v>
      </c>
      <c r="C64" s="6" t="s">
        <v>103</v>
      </c>
      <c r="D64" s="7" t="str">
        <f>IF(E64="","",IF(ISNUMBER(FIND("|",E64)),TRIM(LEFT(E64,FIND("|",E64)-1)),IF(ISNUMBER(MATCH(E64,Config!$C$1:$C$211,0)),E64,IFERROR(INDEX(Config!$C$1:$C$211,MATCH(E64,Config!$D$1:$D$211,0)),""))))</f>
        <v>OP-0053</v>
      </c>
      <c r="E64" s="8" t="s">
        <v>104</v>
      </c>
      <c r="F64" s="9">
        <v>8</v>
      </c>
      <c r="G64" s="10">
        <f t="shared" si="0"/>
        <v>44</v>
      </c>
      <c r="H64" s="11">
        <f t="shared" si="1"/>
        <v>2.2222222222222222E-3</v>
      </c>
      <c r="I64" s="7" t="str">
        <f>IF(J64="","",IF(ISNUMBER(FIND("|",J64)),TRIM(LEFT(J64,FIND("|",J64)-1)),IF(ISNUMBER(MATCH(J64,Config!$F$1:$F$224,0)),J64,IFERROR(INDEX(Config!$F$1:$F$224,MATCH(J64,Config!$G$1:$G$224,0)),""))))</f>
        <v>LPDS95254</v>
      </c>
      <c r="J64" s="12" t="str">
        <f>IFERROR(INDEX($J$16:J63,MATCH(C64,$C$16:C63,0)),"")</f>
        <v>AMREEN</v>
      </c>
    </row>
    <row r="65" spans="1:10" ht="12" customHeight="1" x14ac:dyDescent="0.35">
      <c r="A65" s="6" t="s">
        <v>41</v>
      </c>
      <c r="B65" s="6" t="s">
        <v>93</v>
      </c>
      <c r="C65" s="6" t="s">
        <v>103</v>
      </c>
      <c r="D65" s="7" t="str">
        <f>IF(E65="","",IF(ISNUMBER(FIND("|",E65)),TRIM(LEFT(E65,FIND("|",E65)-1)),IF(ISNUMBER(MATCH(E65,Config!$C$1:$C$211,0)),E65,IFERROR(INDEX(Config!$C$1:$C$211,MATCH(E65,Config!$D$1:$D$211,0)),""))))</f>
        <v>OP-0054</v>
      </c>
      <c r="E65" s="8" t="s">
        <v>106</v>
      </c>
      <c r="F65" s="9">
        <v>8</v>
      </c>
      <c r="G65" s="10">
        <f t="shared" si="0"/>
        <v>44</v>
      </c>
      <c r="H65" s="11">
        <f t="shared" si="1"/>
        <v>2.2222222222222222E-3</v>
      </c>
      <c r="I65" s="7" t="str">
        <f>IF(J65="","",IF(ISNUMBER(FIND("|",J65)),TRIM(LEFT(J65,FIND("|",J65)-1)),IF(ISNUMBER(MATCH(J65,Config!$F$1:$F$224,0)),J65,IFERROR(INDEX(Config!$F$1:$F$224,MATCH(J65,Config!$G$1:$G$224,0)),""))))</f>
        <v>LPDS95254</v>
      </c>
      <c r="J65" s="12" t="str">
        <f>IFERROR(INDEX($J$16:J64,MATCH(C65,$C$16:C64,0)),"")</f>
        <v>AMREEN</v>
      </c>
    </row>
    <row r="66" spans="1:10" ht="12" customHeight="1" x14ac:dyDescent="0.35">
      <c r="A66" s="6" t="s">
        <v>41</v>
      </c>
      <c r="B66" s="6" t="s">
        <v>93</v>
      </c>
      <c r="C66" s="6" t="s">
        <v>103</v>
      </c>
      <c r="D66" s="7" t="str">
        <f>IF(E66="","",IF(ISNUMBER(FIND("|",E66)),TRIM(LEFT(E66,FIND("|",E66)-1)),IF(ISNUMBER(MATCH(E66,Config!$C$1:$C$211,0)),E66,IFERROR(INDEX(Config!$C$1:$C$211,MATCH(E66,Config!$D$1:$D$211,0)),""))))</f>
        <v>OP-0053</v>
      </c>
      <c r="E66" s="8" t="s">
        <v>104</v>
      </c>
      <c r="F66" s="9">
        <v>6</v>
      </c>
      <c r="G66" s="10">
        <f t="shared" si="0"/>
        <v>44</v>
      </c>
      <c r="H66" s="11">
        <f t="shared" si="1"/>
        <v>1.6666666666666668E-3</v>
      </c>
      <c r="I66" s="7" t="str">
        <f>IF(J66="","",IF(ISNUMBER(FIND("|",J66)),TRIM(LEFT(J66,FIND("|",J66)-1)),IF(ISNUMBER(MATCH(J66,Config!$F$1:$F$224,0)),J66,IFERROR(INDEX(Config!$F$1:$F$224,MATCH(J66,Config!$G$1:$G$224,0)),""))))</f>
        <v>LPDS95254</v>
      </c>
      <c r="J66" s="12" t="str">
        <f>IFERROR(INDEX($J$16:J65,MATCH(C66,$C$16:C65,0)),"")</f>
        <v>AMREEN</v>
      </c>
    </row>
    <row r="67" spans="1:10" ht="12" customHeight="1" x14ac:dyDescent="0.35">
      <c r="A67" s="6" t="s">
        <v>92</v>
      </c>
      <c r="B67" s="6" t="s">
        <v>93</v>
      </c>
      <c r="C67" s="6" t="s">
        <v>107</v>
      </c>
      <c r="D67" s="7" t="str">
        <f>IF(E67="","",IF(ISNUMBER(FIND("|",E67)),TRIM(LEFT(E67,FIND("|",E67)-1)),IF(ISNUMBER(MATCH(E67,Config!$C$1:$C$211,0)),E67,IFERROR(INDEX(Config!$C$1:$C$211,MATCH(E67,Config!$D$1:$D$211,0)),""))))</f>
        <v>OP-0055</v>
      </c>
      <c r="E67" s="8" t="s">
        <v>108</v>
      </c>
      <c r="F67" s="9">
        <v>8</v>
      </c>
      <c r="G67" s="10">
        <f t="shared" si="0"/>
        <v>61</v>
      </c>
      <c r="H67" s="11">
        <f t="shared" si="1"/>
        <v>2.2222222222222222E-3</v>
      </c>
      <c r="I67" s="7" t="str">
        <f>IF(J67="","",IF(ISNUMBER(FIND("|",J67)),TRIM(LEFT(J67,FIND("|",J67)-1)),IF(ISNUMBER(MATCH(J67,Config!$F$1:$F$224,0)),J67,IFERROR(INDEX(Config!$F$1:$F$224,MATCH(J67,Config!$G$1:$G$224,0)),""))))</f>
        <v>LPD11272</v>
      </c>
      <c r="J67" s="8" t="s">
        <v>109</v>
      </c>
    </row>
    <row r="68" spans="1:10" ht="12" customHeight="1" x14ac:dyDescent="0.35">
      <c r="A68" s="6" t="s">
        <v>92</v>
      </c>
      <c r="B68" s="6" t="s">
        <v>93</v>
      </c>
      <c r="C68" s="6" t="s">
        <v>107</v>
      </c>
      <c r="D68" s="7" t="str">
        <f>IF(E68="","",IF(ISNUMBER(FIND("|",E68)),TRIM(LEFT(E68,FIND("|",E68)-1)),IF(ISNUMBER(MATCH(E68,Config!$C$1:$C$211,0)),E68,IFERROR(INDEX(Config!$C$1:$C$211,MATCH(E68,Config!$D$1:$D$211,0)),""))))</f>
        <v>OP-0014</v>
      </c>
      <c r="E68" s="8" t="s">
        <v>44</v>
      </c>
      <c r="F68" s="9">
        <v>11</v>
      </c>
      <c r="G68" s="10">
        <f t="shared" si="0"/>
        <v>61</v>
      </c>
      <c r="H68" s="11">
        <f t="shared" si="1"/>
        <v>3.0555555555555557E-3</v>
      </c>
      <c r="I68" s="7" t="str">
        <f>IF(J68="","",IF(ISNUMBER(FIND("|",J68)),TRIM(LEFT(J68,FIND("|",J68)-1)),IF(ISNUMBER(MATCH(J68,Config!$F$1:$F$224,0)),J68,IFERROR(INDEX(Config!$F$1:$F$224,MATCH(J68,Config!$G$1:$G$224,0)),""))))</f>
        <v>LPD11272</v>
      </c>
      <c r="J68" s="12" t="str">
        <f>IFERROR(INDEX($J$16:J67,MATCH(C68,$C$16:C67,0)),"")</f>
        <v>IRFAN</v>
      </c>
    </row>
    <row r="69" spans="1:10" ht="12" customHeight="1" x14ac:dyDescent="0.35">
      <c r="A69" s="6" t="s">
        <v>92</v>
      </c>
      <c r="B69" s="6" t="s">
        <v>93</v>
      </c>
      <c r="C69" s="6" t="s">
        <v>107</v>
      </c>
      <c r="D69" s="7" t="str">
        <f>IF(E69="","",IF(ISNUMBER(FIND("|",E69)),TRIM(LEFT(E69,FIND("|",E69)-1)),IF(ISNUMBER(MATCH(E69,Config!$C$1:$C$211,0)),E69,IFERROR(INDEX(Config!$C$1:$C$211,MATCH(E69,Config!$D$1:$D$211,0)),""))))</f>
        <v>OP-0056</v>
      </c>
      <c r="E69" s="8" t="s">
        <v>110</v>
      </c>
      <c r="F69" s="9">
        <v>14</v>
      </c>
      <c r="G69" s="10">
        <f t="shared" si="0"/>
        <v>61</v>
      </c>
      <c r="H69" s="11">
        <f t="shared" si="1"/>
        <v>3.8888888888888888E-3</v>
      </c>
      <c r="I69" s="7" t="str">
        <f>IF(J69="","",IF(ISNUMBER(FIND("|",J69)),TRIM(LEFT(J69,FIND("|",J69)-1)),IF(ISNUMBER(MATCH(J69,Config!$F$1:$F$224,0)),J69,IFERROR(INDEX(Config!$F$1:$F$224,MATCH(J69,Config!$G$1:$G$224,0)),""))))</f>
        <v>LPD11272</v>
      </c>
      <c r="J69" s="12" t="str">
        <f>IFERROR(INDEX($J$16:J68,MATCH(C69,$C$16:C68,0)),"")</f>
        <v>IRFAN</v>
      </c>
    </row>
    <row r="70" spans="1:10" ht="12" customHeight="1" x14ac:dyDescent="0.35">
      <c r="A70" s="6" t="s">
        <v>92</v>
      </c>
      <c r="B70" s="6" t="s">
        <v>93</v>
      </c>
      <c r="C70" s="6" t="s">
        <v>107</v>
      </c>
      <c r="D70" s="7" t="str">
        <f>IF(E70="","",IF(ISNUMBER(FIND("|",E70)),TRIM(LEFT(E70,FIND("|",E70)-1)),IF(ISNUMBER(MATCH(E70,Config!$C$1:$C$211,0)),E70,IFERROR(INDEX(Config!$C$1:$C$211,MATCH(E70,Config!$D$1:$D$211,0)),""))))</f>
        <v>OP-0056</v>
      </c>
      <c r="E70" s="8" t="s">
        <v>110</v>
      </c>
      <c r="F70" s="9">
        <v>14</v>
      </c>
      <c r="G70" s="10">
        <f t="shared" si="0"/>
        <v>61</v>
      </c>
      <c r="H70" s="11">
        <f t="shared" si="1"/>
        <v>3.8888888888888888E-3</v>
      </c>
      <c r="I70" s="7" t="str">
        <f>IF(J70="","",IF(ISNUMBER(FIND("|",J70)),TRIM(LEFT(J70,FIND("|",J70)-1)),IF(ISNUMBER(MATCH(J70,Config!$F$1:$F$224,0)),J70,IFERROR(INDEX(Config!$F$1:$F$224,MATCH(J70,Config!$G$1:$G$224,0)),""))))</f>
        <v>LPD11272</v>
      </c>
      <c r="J70" s="12" t="str">
        <f>IFERROR(INDEX($J$16:J69,MATCH(C70,$C$16:C69,0)),"")</f>
        <v>IRFAN</v>
      </c>
    </row>
    <row r="71" spans="1:10" ht="12" customHeight="1" x14ac:dyDescent="0.35">
      <c r="A71" s="6" t="s">
        <v>92</v>
      </c>
      <c r="B71" s="6" t="s">
        <v>93</v>
      </c>
      <c r="C71" s="6" t="s">
        <v>107</v>
      </c>
      <c r="D71" s="7" t="str">
        <f>IF(E71="","",IF(ISNUMBER(FIND("|",E71)),TRIM(LEFT(E71,FIND("|",E71)-1)),IF(ISNUMBER(MATCH(E71,Config!$C$1:$C$211,0)),E71,IFERROR(INDEX(Config!$C$1:$C$211,MATCH(E71,Config!$D$1:$D$211,0)),""))))</f>
        <v>OP-0057</v>
      </c>
      <c r="E71" s="8" t="s">
        <v>111</v>
      </c>
      <c r="F71" s="9">
        <v>14</v>
      </c>
      <c r="G71" s="10">
        <f t="shared" si="0"/>
        <v>61</v>
      </c>
      <c r="H71" s="11">
        <f t="shared" si="1"/>
        <v>3.8888888888888888E-3</v>
      </c>
      <c r="I71" s="7" t="str">
        <f>IF(J71="","",IF(ISNUMBER(FIND("|",J71)),TRIM(LEFT(J71,FIND("|",J71)-1)),IF(ISNUMBER(MATCH(J71,Config!$F$1:$F$224,0)),J71,IFERROR(INDEX(Config!$F$1:$F$224,MATCH(J71,Config!$G$1:$G$224,0)),""))))</f>
        <v>LPD11272</v>
      </c>
      <c r="J71" s="12" t="str">
        <f>IFERROR(INDEX($J$16:J70,MATCH(C71,$C$16:C70,0)),"")</f>
        <v>IRFAN</v>
      </c>
    </row>
    <row r="72" spans="1:10" ht="12" customHeight="1" x14ac:dyDescent="0.35">
      <c r="A72" s="6" t="s">
        <v>41</v>
      </c>
      <c r="B72" s="6" t="s">
        <v>93</v>
      </c>
      <c r="C72" s="6" t="s">
        <v>112</v>
      </c>
      <c r="D72" s="7" t="str">
        <f>IF(E72="","",IF(ISNUMBER(FIND("|",E72)),TRIM(LEFT(E72,FIND("|",E72)-1)),IF(ISNUMBER(MATCH(E72,Config!$C$1:$C$211,0)),E72,IFERROR(INDEX(Config!$C$1:$C$211,MATCH(E72,Config!$D$1:$D$211,0)),""))))</f>
        <v>OP-0058</v>
      </c>
      <c r="E72" s="8" t="s">
        <v>113</v>
      </c>
      <c r="F72" s="9">
        <v>10</v>
      </c>
      <c r="G72" s="10">
        <f t="shared" si="0"/>
        <v>116</v>
      </c>
      <c r="H72" s="11">
        <f t="shared" si="1"/>
        <v>2.7777777777777779E-3</v>
      </c>
      <c r="I72" s="7" t="str">
        <f>IF(J72="","",IF(ISNUMBER(FIND("|",J72)),TRIM(LEFT(J72,FIND("|",J72)-1)),IF(ISNUMBER(MATCH(J72,Config!$F$1:$F$224,0)),J72,IFERROR(INDEX(Config!$F$1:$F$224,MATCH(J72,Config!$G$1:$G$224,0)),""))))</f>
        <v>LPD10889</v>
      </c>
      <c r="J72" s="8" t="s">
        <v>114</v>
      </c>
    </row>
    <row r="73" spans="1:10" ht="12" customHeight="1" x14ac:dyDescent="0.35">
      <c r="A73" s="6" t="s">
        <v>41</v>
      </c>
      <c r="B73" s="6" t="s">
        <v>93</v>
      </c>
      <c r="C73" s="6" t="s">
        <v>115</v>
      </c>
      <c r="D73" s="7" t="str">
        <f>IF(E73="","",IF(ISNUMBER(FIND("|",E73)),TRIM(LEFT(E73,FIND("|",E73)-1)),IF(ISNUMBER(MATCH(E73,Config!$C$1:$C$211,0)),E73,IFERROR(INDEX(Config!$C$1:$C$211,MATCH(E73,Config!$D$1:$D$211,0)),""))))</f>
        <v>OP-0058</v>
      </c>
      <c r="E73" s="8" t="s">
        <v>113</v>
      </c>
      <c r="F73" s="9">
        <v>10</v>
      </c>
      <c r="G73" s="10">
        <f t="shared" si="0"/>
        <v>116</v>
      </c>
      <c r="H73" s="11">
        <f t="shared" si="1"/>
        <v>2.7777777777777779E-3</v>
      </c>
      <c r="I73" s="7" t="str">
        <f>IF(J73="","",IF(ISNUMBER(FIND("|",J73)),TRIM(LEFT(J73,FIND("|",J73)-1)),IF(ISNUMBER(MATCH(J73,Config!$F$1:$F$224,0)),J73,IFERROR(INDEX(Config!$F$1:$F$224,MATCH(J73,Config!$G$1:$G$224,0)),""))))</f>
        <v>LPD11089</v>
      </c>
      <c r="J73" s="8" t="s">
        <v>116</v>
      </c>
    </row>
    <row r="74" spans="1:10" ht="12" customHeight="1" x14ac:dyDescent="0.35">
      <c r="A74" s="6" t="s">
        <v>41</v>
      </c>
      <c r="B74" s="6" t="s">
        <v>93</v>
      </c>
      <c r="C74" s="6" t="s">
        <v>112</v>
      </c>
      <c r="D74" s="7" t="str">
        <f>IF(E74="","",IF(ISNUMBER(FIND("|",E74)),TRIM(LEFT(E74,FIND("|",E74)-1)),IF(ISNUMBER(MATCH(E74,Config!$C$1:$C$211,0)),E74,IFERROR(INDEX(Config!$C$1:$C$211,MATCH(E74,Config!$D$1:$D$211,0)),""))))</f>
        <v>OP-0059</v>
      </c>
      <c r="E74" s="8" t="s">
        <v>117</v>
      </c>
      <c r="F74" s="9">
        <v>10</v>
      </c>
      <c r="G74" s="10">
        <f t="shared" si="0"/>
        <v>116</v>
      </c>
      <c r="H74" s="11">
        <f t="shared" si="1"/>
        <v>2.7777777777777779E-3</v>
      </c>
      <c r="I74" s="7" t="str">
        <f>IF(J74="","",IF(ISNUMBER(FIND("|",J74)),TRIM(LEFT(J74,FIND("|",J74)-1)),IF(ISNUMBER(MATCH(J74,Config!$F$1:$F$224,0)),J74,IFERROR(INDEX(Config!$F$1:$F$224,MATCH(J74,Config!$G$1:$G$224,0)),""))))</f>
        <v>LPD10889</v>
      </c>
      <c r="J74" s="12" t="str">
        <f>IFERROR(INDEX($J$16:J73,MATCH(C74,$C$16:C73,0)),"")</f>
        <v>PUNITHA</v>
      </c>
    </row>
    <row r="75" spans="1:10" ht="12" customHeight="1" x14ac:dyDescent="0.35">
      <c r="A75" s="6" t="s">
        <v>41</v>
      </c>
      <c r="B75" s="6" t="s">
        <v>93</v>
      </c>
      <c r="C75" s="6" t="s">
        <v>115</v>
      </c>
      <c r="D75" s="7" t="str">
        <f>IF(E75="","",IF(ISNUMBER(FIND("|",E75)),TRIM(LEFT(E75,FIND("|",E75)-1)),IF(ISNUMBER(MATCH(E75,Config!$C$1:$C$211,0)),E75,IFERROR(INDEX(Config!$C$1:$C$211,MATCH(E75,Config!$D$1:$D$211,0)),""))))</f>
        <v>OP-0059</v>
      </c>
      <c r="E75" s="8" t="s">
        <v>117</v>
      </c>
      <c r="F75" s="9">
        <v>10</v>
      </c>
      <c r="G75" s="10">
        <f t="shared" si="0"/>
        <v>116</v>
      </c>
      <c r="H75" s="11">
        <f t="shared" si="1"/>
        <v>2.7777777777777779E-3</v>
      </c>
      <c r="I75" s="7" t="str">
        <f>IF(J75="","",IF(ISNUMBER(FIND("|",J75)),TRIM(LEFT(J75,FIND("|",J75)-1)),IF(ISNUMBER(MATCH(J75,Config!$F$1:$F$224,0)),J75,IFERROR(INDEX(Config!$F$1:$F$224,MATCH(J75,Config!$G$1:$G$224,0)),""))))</f>
        <v>LPD11089</v>
      </c>
      <c r="J75" s="12" t="str">
        <f>IFERROR(INDEX($J$16:J74,MATCH(C75,$C$16:C74,0)),"")</f>
        <v>S. THAJNISA</v>
      </c>
    </row>
    <row r="76" spans="1:10" ht="12" customHeight="1" x14ac:dyDescent="0.35">
      <c r="A76" s="6" t="s">
        <v>41</v>
      </c>
      <c r="B76" s="6" t="s">
        <v>93</v>
      </c>
      <c r="C76" s="6" t="s">
        <v>112</v>
      </c>
      <c r="D76" s="7" t="str">
        <f>IF(E76="","",IF(ISNUMBER(FIND("|",E76)),TRIM(LEFT(E76,FIND("|",E76)-1)),IF(ISNUMBER(MATCH(E76,Config!$C$1:$C$211,0)),E76,IFERROR(INDEX(Config!$C$1:$C$211,MATCH(E76,Config!$D$1:$D$211,0)),""))))</f>
        <v>OP-0060</v>
      </c>
      <c r="E76" s="8" t="s">
        <v>118</v>
      </c>
      <c r="F76" s="9">
        <v>10</v>
      </c>
      <c r="G76" s="10">
        <f t="shared" si="0"/>
        <v>116</v>
      </c>
      <c r="H76" s="11">
        <f t="shared" si="1"/>
        <v>2.7777777777777779E-3</v>
      </c>
      <c r="I76" s="7" t="str">
        <f>IF(J76="","",IF(ISNUMBER(FIND("|",J76)),TRIM(LEFT(J76,FIND("|",J76)-1)),IF(ISNUMBER(MATCH(J76,Config!$F$1:$F$224,0)),J76,IFERROR(INDEX(Config!$F$1:$F$224,MATCH(J76,Config!$G$1:$G$224,0)),""))))</f>
        <v>LPD10889</v>
      </c>
      <c r="J76" s="12" t="str">
        <f>IFERROR(INDEX($J$16:J75,MATCH(C76,$C$16:C75,0)),"")</f>
        <v>PUNITHA</v>
      </c>
    </row>
    <row r="77" spans="1:10" ht="12" customHeight="1" x14ac:dyDescent="0.35">
      <c r="A77" s="6" t="s">
        <v>41</v>
      </c>
      <c r="B77" s="6" t="s">
        <v>93</v>
      </c>
      <c r="C77" s="6" t="s">
        <v>115</v>
      </c>
      <c r="D77" s="7" t="str">
        <f>IF(E77="","",IF(ISNUMBER(FIND("|",E77)),TRIM(LEFT(E77,FIND("|",E77)-1)),IF(ISNUMBER(MATCH(E77,Config!$C$1:$C$211,0)),E77,IFERROR(INDEX(Config!$C$1:$C$211,MATCH(E77,Config!$D$1:$D$211,0)),""))))</f>
        <v>OP-0060</v>
      </c>
      <c r="E77" s="8" t="s">
        <v>118</v>
      </c>
      <c r="F77" s="9">
        <v>10</v>
      </c>
      <c r="G77" s="10">
        <f t="shared" si="0"/>
        <v>116</v>
      </c>
      <c r="H77" s="11">
        <f t="shared" si="1"/>
        <v>2.7777777777777779E-3</v>
      </c>
      <c r="I77" s="7" t="str">
        <f>IF(J77="","",IF(ISNUMBER(FIND("|",J77)),TRIM(LEFT(J77,FIND("|",J77)-1)),IF(ISNUMBER(MATCH(J77,Config!$F$1:$F$224,0)),J77,IFERROR(INDEX(Config!$F$1:$F$224,MATCH(J77,Config!$G$1:$G$224,0)),""))))</f>
        <v>LPD11089</v>
      </c>
      <c r="J77" s="12" t="str">
        <f>IFERROR(INDEX($J$16:J76,MATCH(C77,$C$16:C76,0)),"")</f>
        <v>S. THAJNISA</v>
      </c>
    </row>
    <row r="78" spans="1:10" ht="12" customHeight="1" x14ac:dyDescent="0.35">
      <c r="A78" s="6" t="s">
        <v>41</v>
      </c>
      <c r="B78" s="6" t="s">
        <v>93</v>
      </c>
      <c r="C78" s="6" t="s">
        <v>112</v>
      </c>
      <c r="D78" s="7" t="str">
        <f>IF(E78="","",IF(ISNUMBER(FIND("|",E78)),TRIM(LEFT(E78,FIND("|",E78)-1)),IF(ISNUMBER(MATCH(E78,Config!$C$1:$C$211,0)),E78,IFERROR(INDEX(Config!$C$1:$C$211,MATCH(E78,Config!$D$1:$D$211,0)),""))))</f>
        <v>OP-0061</v>
      </c>
      <c r="E78" s="8" t="s">
        <v>119</v>
      </c>
      <c r="F78" s="9">
        <v>4</v>
      </c>
      <c r="G78" s="10">
        <f t="shared" si="0"/>
        <v>116</v>
      </c>
      <c r="H78" s="11">
        <f t="shared" si="1"/>
        <v>1.1111111111111111E-3</v>
      </c>
      <c r="I78" s="7" t="str">
        <f>IF(J78="","",IF(ISNUMBER(FIND("|",J78)),TRIM(LEFT(J78,FIND("|",J78)-1)),IF(ISNUMBER(MATCH(J78,Config!$F$1:$F$224,0)),J78,IFERROR(INDEX(Config!$F$1:$F$224,MATCH(J78,Config!$G$1:$G$224,0)),""))))</f>
        <v>LPD10889</v>
      </c>
      <c r="J78" s="12" t="str">
        <f>IFERROR(INDEX($J$16:J77,MATCH(C78,$C$16:C77,0)),"")</f>
        <v>PUNITHA</v>
      </c>
    </row>
    <row r="79" spans="1:10" ht="12" customHeight="1" x14ac:dyDescent="0.35">
      <c r="A79" s="6" t="s">
        <v>41</v>
      </c>
      <c r="B79" s="6" t="s">
        <v>93</v>
      </c>
      <c r="C79" s="6" t="s">
        <v>115</v>
      </c>
      <c r="D79" s="7" t="str">
        <f>IF(E79="","",IF(ISNUMBER(FIND("|",E79)),TRIM(LEFT(E79,FIND("|",E79)-1)),IF(ISNUMBER(MATCH(E79,Config!$C$1:$C$211,0)),E79,IFERROR(INDEX(Config!$C$1:$C$211,MATCH(E79,Config!$D$1:$D$211,0)),""))))</f>
        <v>OP-0061</v>
      </c>
      <c r="E79" s="8" t="s">
        <v>119</v>
      </c>
      <c r="F79" s="9">
        <v>4</v>
      </c>
      <c r="G79" s="10">
        <f t="shared" si="0"/>
        <v>116</v>
      </c>
      <c r="H79" s="11">
        <f t="shared" si="1"/>
        <v>1.1111111111111111E-3</v>
      </c>
      <c r="I79" s="7" t="str">
        <f>IF(J79="","",IF(ISNUMBER(FIND("|",J79)),TRIM(LEFT(J79,FIND("|",J79)-1)),IF(ISNUMBER(MATCH(J79,Config!$F$1:$F$224,0)),J79,IFERROR(INDEX(Config!$F$1:$F$224,MATCH(J79,Config!$G$1:$G$224,0)),""))))</f>
        <v>LPD11089</v>
      </c>
      <c r="J79" s="12" t="str">
        <f>IFERROR(INDEX($J$16:J78,MATCH(C79,$C$16:C78,0)),"")</f>
        <v>S. THAJNISA</v>
      </c>
    </row>
    <row r="80" spans="1:10" ht="12" customHeight="1" x14ac:dyDescent="0.35">
      <c r="A80" s="6" t="s">
        <v>41</v>
      </c>
      <c r="B80" s="6" t="s">
        <v>93</v>
      </c>
      <c r="C80" s="6" t="s">
        <v>112</v>
      </c>
      <c r="D80" s="7" t="str">
        <f>IF(E80="","",IF(ISNUMBER(FIND("|",E80)),TRIM(LEFT(E80,FIND("|",E80)-1)),IF(ISNUMBER(MATCH(E80,Config!$C$1:$C$211,0)),E80,IFERROR(INDEX(Config!$C$1:$C$211,MATCH(E80,Config!$D$1:$D$211,0)),""))))</f>
        <v>OP-0057</v>
      </c>
      <c r="E80" s="8" t="s">
        <v>111</v>
      </c>
      <c r="F80" s="9">
        <v>10</v>
      </c>
      <c r="G80" s="10">
        <f t="shared" ref="G80:G143" si="2">SUMIF($C$16:$C$241,C80,$F$16:$F$241)</f>
        <v>116</v>
      </c>
      <c r="H80" s="11">
        <f t="shared" ref="H80:H143" si="3">F80/3600</f>
        <v>2.7777777777777779E-3</v>
      </c>
      <c r="I80" s="7" t="str">
        <f>IF(J80="","",IF(ISNUMBER(FIND("|",J80)),TRIM(LEFT(J80,FIND("|",J80)-1)),IF(ISNUMBER(MATCH(J80,Config!$F$1:$F$224,0)),J80,IFERROR(INDEX(Config!$F$1:$F$224,MATCH(J80,Config!$G$1:$G$224,0)),""))))</f>
        <v>LPD10889</v>
      </c>
      <c r="J80" s="12" t="str">
        <f>IFERROR(INDEX($J$16:J79,MATCH(C80,$C$16:C79,0)),"")</f>
        <v>PUNITHA</v>
      </c>
    </row>
    <row r="81" spans="1:10" ht="12" customHeight="1" x14ac:dyDescent="0.35">
      <c r="A81" s="6" t="s">
        <v>41</v>
      </c>
      <c r="B81" s="6" t="s">
        <v>93</v>
      </c>
      <c r="C81" s="6" t="s">
        <v>115</v>
      </c>
      <c r="D81" s="7" t="str">
        <f>IF(E81="","",IF(ISNUMBER(FIND("|",E81)),TRIM(LEFT(E81,FIND("|",E81)-1)),IF(ISNUMBER(MATCH(E81,Config!$C$1:$C$211,0)),E81,IFERROR(INDEX(Config!$C$1:$C$211,MATCH(E81,Config!$D$1:$D$211,0)),""))))</f>
        <v>OP-0057</v>
      </c>
      <c r="E81" s="8" t="s">
        <v>111</v>
      </c>
      <c r="F81" s="9">
        <v>10</v>
      </c>
      <c r="G81" s="10">
        <f t="shared" si="2"/>
        <v>116</v>
      </c>
      <c r="H81" s="11">
        <f t="shared" si="3"/>
        <v>2.7777777777777779E-3</v>
      </c>
      <c r="I81" s="7" t="str">
        <f>IF(J81="","",IF(ISNUMBER(FIND("|",J81)),TRIM(LEFT(J81,FIND("|",J81)-1)),IF(ISNUMBER(MATCH(J81,Config!$F$1:$F$224,0)),J81,IFERROR(INDEX(Config!$F$1:$F$224,MATCH(J81,Config!$G$1:$G$224,0)),""))))</f>
        <v>LPD11089</v>
      </c>
      <c r="J81" s="12" t="str">
        <f>IFERROR(INDEX($J$16:J80,MATCH(C81,$C$16:C80,0)),"")</f>
        <v>S. THAJNISA</v>
      </c>
    </row>
    <row r="82" spans="1:10" ht="12" customHeight="1" x14ac:dyDescent="0.35">
      <c r="A82" s="6" t="s">
        <v>41</v>
      </c>
      <c r="B82" s="6" t="s">
        <v>93</v>
      </c>
      <c r="C82" s="6" t="s">
        <v>112</v>
      </c>
      <c r="D82" s="7" t="str">
        <f>IF(E82="","",IF(ISNUMBER(FIND("|",E82)),TRIM(LEFT(E82,FIND("|",E82)-1)),IF(ISNUMBER(MATCH(E82,Config!$C$1:$C$211,0)),E82,IFERROR(INDEX(Config!$C$1:$C$211,MATCH(E82,Config!$D$1:$D$211,0)),""))))</f>
        <v>OP-0058</v>
      </c>
      <c r="E82" s="8" t="s">
        <v>113</v>
      </c>
      <c r="F82" s="9">
        <v>10</v>
      </c>
      <c r="G82" s="10">
        <f t="shared" si="2"/>
        <v>116</v>
      </c>
      <c r="H82" s="11">
        <f t="shared" si="3"/>
        <v>2.7777777777777779E-3</v>
      </c>
      <c r="I82" s="7" t="str">
        <f>IF(J82="","",IF(ISNUMBER(FIND("|",J82)),TRIM(LEFT(J82,FIND("|",J82)-1)),IF(ISNUMBER(MATCH(J82,Config!$F$1:$F$224,0)),J82,IFERROR(INDEX(Config!$F$1:$F$224,MATCH(J82,Config!$G$1:$G$224,0)),""))))</f>
        <v>LPD10889</v>
      </c>
      <c r="J82" s="12" t="str">
        <f>IFERROR(INDEX($J$16:J81,MATCH(C82,$C$16:C81,0)),"")</f>
        <v>PUNITHA</v>
      </c>
    </row>
    <row r="83" spans="1:10" ht="12" customHeight="1" x14ac:dyDescent="0.35">
      <c r="A83" s="6" t="s">
        <v>41</v>
      </c>
      <c r="B83" s="6" t="s">
        <v>93</v>
      </c>
      <c r="C83" s="6" t="s">
        <v>115</v>
      </c>
      <c r="D83" s="7" t="str">
        <f>IF(E83="","",IF(ISNUMBER(FIND("|",E83)),TRIM(LEFT(E83,FIND("|",E83)-1)),IF(ISNUMBER(MATCH(E83,Config!$C$1:$C$211,0)),E83,IFERROR(INDEX(Config!$C$1:$C$211,MATCH(E83,Config!$D$1:$D$211,0)),""))))</f>
        <v>OP-0058</v>
      </c>
      <c r="E83" s="8" t="s">
        <v>113</v>
      </c>
      <c r="F83" s="9">
        <v>10</v>
      </c>
      <c r="G83" s="10">
        <f t="shared" si="2"/>
        <v>116</v>
      </c>
      <c r="H83" s="11">
        <f t="shared" si="3"/>
        <v>2.7777777777777779E-3</v>
      </c>
      <c r="I83" s="7" t="str">
        <f>IF(J83="","",IF(ISNUMBER(FIND("|",J83)),TRIM(LEFT(J83,FIND("|",J83)-1)),IF(ISNUMBER(MATCH(J83,Config!$F$1:$F$224,0)),J83,IFERROR(INDEX(Config!$F$1:$F$224,MATCH(J83,Config!$G$1:$G$224,0)),""))))</f>
        <v>LPD11089</v>
      </c>
      <c r="J83" s="12" t="str">
        <f>IFERROR(INDEX($J$16:J82,MATCH(C83,$C$16:C82,0)),"")</f>
        <v>S. THAJNISA</v>
      </c>
    </row>
    <row r="84" spans="1:10" ht="12" customHeight="1" x14ac:dyDescent="0.35">
      <c r="A84" s="6" t="s">
        <v>41</v>
      </c>
      <c r="B84" s="6" t="s">
        <v>93</v>
      </c>
      <c r="C84" s="6" t="s">
        <v>112</v>
      </c>
      <c r="D84" s="7" t="str">
        <f>IF(E84="","",IF(ISNUMBER(FIND("|",E84)),TRIM(LEFT(E84,FIND("|",E84)-1)),IF(ISNUMBER(MATCH(E84,Config!$C$1:$C$211,0)),E84,IFERROR(INDEX(Config!$C$1:$C$211,MATCH(E84,Config!$D$1:$D$211,0)),""))))</f>
        <v>OP-0059</v>
      </c>
      <c r="E84" s="8" t="s">
        <v>117</v>
      </c>
      <c r="F84" s="9">
        <v>10</v>
      </c>
      <c r="G84" s="10">
        <f t="shared" si="2"/>
        <v>116</v>
      </c>
      <c r="H84" s="11">
        <f t="shared" si="3"/>
        <v>2.7777777777777779E-3</v>
      </c>
      <c r="I84" s="7" t="str">
        <f>IF(J84="","",IF(ISNUMBER(FIND("|",J84)),TRIM(LEFT(J84,FIND("|",J84)-1)),IF(ISNUMBER(MATCH(J84,Config!$F$1:$F$224,0)),J84,IFERROR(INDEX(Config!$F$1:$F$224,MATCH(J84,Config!$G$1:$G$224,0)),""))))</f>
        <v>LPD10889</v>
      </c>
      <c r="J84" s="12" t="str">
        <f>IFERROR(INDEX($J$16:J83,MATCH(C84,$C$16:C83,0)),"")</f>
        <v>PUNITHA</v>
      </c>
    </row>
    <row r="85" spans="1:10" ht="12" customHeight="1" x14ac:dyDescent="0.35">
      <c r="A85" s="6" t="s">
        <v>41</v>
      </c>
      <c r="B85" s="6" t="s">
        <v>93</v>
      </c>
      <c r="C85" s="6" t="s">
        <v>115</v>
      </c>
      <c r="D85" s="7" t="str">
        <f>IF(E85="","",IF(ISNUMBER(FIND("|",E85)),TRIM(LEFT(E85,FIND("|",E85)-1)),IF(ISNUMBER(MATCH(E85,Config!$C$1:$C$211,0)),E85,IFERROR(INDEX(Config!$C$1:$C$211,MATCH(E85,Config!$D$1:$D$211,0)),""))))</f>
        <v>OP-0059</v>
      </c>
      <c r="E85" s="8" t="s">
        <v>117</v>
      </c>
      <c r="F85" s="9">
        <v>10</v>
      </c>
      <c r="G85" s="10">
        <f t="shared" si="2"/>
        <v>116</v>
      </c>
      <c r="H85" s="11">
        <f t="shared" si="3"/>
        <v>2.7777777777777779E-3</v>
      </c>
      <c r="I85" s="7" t="str">
        <f>IF(J85="","",IF(ISNUMBER(FIND("|",J85)),TRIM(LEFT(J85,FIND("|",J85)-1)),IF(ISNUMBER(MATCH(J85,Config!$F$1:$F$224,0)),J85,IFERROR(INDEX(Config!$F$1:$F$224,MATCH(J85,Config!$G$1:$G$224,0)),""))))</f>
        <v>LPD11089</v>
      </c>
      <c r="J85" s="12" t="str">
        <f>IFERROR(INDEX($J$16:J84,MATCH(C85,$C$16:C84,0)),"")</f>
        <v>S. THAJNISA</v>
      </c>
    </row>
    <row r="86" spans="1:10" ht="12" customHeight="1" x14ac:dyDescent="0.35">
      <c r="A86" s="6" t="s">
        <v>41</v>
      </c>
      <c r="B86" s="6" t="s">
        <v>93</v>
      </c>
      <c r="C86" s="6" t="s">
        <v>112</v>
      </c>
      <c r="D86" s="7" t="str">
        <f>IF(E86="","",IF(ISNUMBER(FIND("|",E86)),TRIM(LEFT(E86,FIND("|",E86)-1)),IF(ISNUMBER(MATCH(E86,Config!$C$1:$C$211,0)),E86,IFERROR(INDEX(Config!$C$1:$C$211,MATCH(E86,Config!$D$1:$D$211,0)),""))))</f>
        <v>OP-0060</v>
      </c>
      <c r="E86" s="8" t="s">
        <v>118</v>
      </c>
      <c r="F86" s="9">
        <v>10</v>
      </c>
      <c r="G86" s="10">
        <f t="shared" si="2"/>
        <v>116</v>
      </c>
      <c r="H86" s="11">
        <f t="shared" si="3"/>
        <v>2.7777777777777779E-3</v>
      </c>
      <c r="I86" s="7" t="str">
        <f>IF(J86="","",IF(ISNUMBER(FIND("|",J86)),TRIM(LEFT(J86,FIND("|",J86)-1)),IF(ISNUMBER(MATCH(J86,Config!$F$1:$F$224,0)),J86,IFERROR(INDEX(Config!$F$1:$F$224,MATCH(J86,Config!$G$1:$G$224,0)),""))))</f>
        <v>LPD10889</v>
      </c>
      <c r="J86" s="12" t="str">
        <f>IFERROR(INDEX($J$16:J85,MATCH(C86,$C$16:C85,0)),"")</f>
        <v>PUNITHA</v>
      </c>
    </row>
    <row r="87" spans="1:10" ht="12" customHeight="1" x14ac:dyDescent="0.35">
      <c r="A87" s="6" t="s">
        <v>41</v>
      </c>
      <c r="B87" s="6" t="s">
        <v>93</v>
      </c>
      <c r="C87" s="6" t="s">
        <v>115</v>
      </c>
      <c r="D87" s="7" t="str">
        <f>IF(E87="","",IF(ISNUMBER(FIND("|",E87)),TRIM(LEFT(E87,FIND("|",E87)-1)),IF(ISNUMBER(MATCH(E87,Config!$C$1:$C$211,0)),E87,IFERROR(INDEX(Config!$C$1:$C$211,MATCH(E87,Config!$D$1:$D$211,0)),""))))</f>
        <v>OP-0060</v>
      </c>
      <c r="E87" s="8" t="s">
        <v>118</v>
      </c>
      <c r="F87" s="9">
        <v>10</v>
      </c>
      <c r="G87" s="10">
        <f t="shared" si="2"/>
        <v>116</v>
      </c>
      <c r="H87" s="11">
        <f t="shared" si="3"/>
        <v>2.7777777777777779E-3</v>
      </c>
      <c r="I87" s="7" t="str">
        <f>IF(J87="","",IF(ISNUMBER(FIND("|",J87)),TRIM(LEFT(J87,FIND("|",J87)-1)),IF(ISNUMBER(MATCH(J87,Config!$F$1:$F$224,0)),J87,IFERROR(INDEX(Config!$F$1:$F$224,MATCH(J87,Config!$G$1:$G$224,0)),""))))</f>
        <v>LPD11089</v>
      </c>
      <c r="J87" s="12" t="str">
        <f>IFERROR(INDEX($J$16:J86,MATCH(C87,$C$16:C86,0)),"")</f>
        <v>S. THAJNISA</v>
      </c>
    </row>
    <row r="88" spans="1:10" ht="12" customHeight="1" x14ac:dyDescent="0.35">
      <c r="A88" s="6" t="s">
        <v>41</v>
      </c>
      <c r="B88" s="6" t="s">
        <v>93</v>
      </c>
      <c r="C88" s="6" t="s">
        <v>112</v>
      </c>
      <c r="D88" s="7" t="str">
        <f>IF(E88="","",IF(ISNUMBER(FIND("|",E88)),TRIM(LEFT(E88,FIND("|",E88)-1)),IF(ISNUMBER(MATCH(E88,Config!$C$1:$C$211,0)),E88,IFERROR(INDEX(Config!$C$1:$C$211,MATCH(E88,Config!$D$1:$D$211,0)),""))))</f>
        <v>OP-0061</v>
      </c>
      <c r="E88" s="8" t="s">
        <v>119</v>
      </c>
      <c r="F88" s="9">
        <v>4</v>
      </c>
      <c r="G88" s="10">
        <f t="shared" si="2"/>
        <v>116</v>
      </c>
      <c r="H88" s="11">
        <f t="shared" si="3"/>
        <v>1.1111111111111111E-3</v>
      </c>
      <c r="I88" s="7" t="str">
        <f>IF(J88="","",IF(ISNUMBER(FIND("|",J88)),TRIM(LEFT(J88,FIND("|",J88)-1)),IF(ISNUMBER(MATCH(J88,Config!$F$1:$F$224,0)),J88,IFERROR(INDEX(Config!$F$1:$F$224,MATCH(J88,Config!$G$1:$G$224,0)),""))))</f>
        <v>LPD10889</v>
      </c>
      <c r="J88" s="12" t="str">
        <f>IFERROR(INDEX($J$16:J87,MATCH(C88,$C$16:C87,0)),"")</f>
        <v>PUNITHA</v>
      </c>
    </row>
    <row r="89" spans="1:10" ht="12" customHeight="1" x14ac:dyDescent="0.35">
      <c r="A89" s="6" t="s">
        <v>41</v>
      </c>
      <c r="B89" s="6" t="s">
        <v>93</v>
      </c>
      <c r="C89" s="6" t="s">
        <v>115</v>
      </c>
      <c r="D89" s="7" t="str">
        <f>IF(E89="","",IF(ISNUMBER(FIND("|",E89)),TRIM(LEFT(E89,FIND("|",E89)-1)),IF(ISNUMBER(MATCH(E89,Config!$C$1:$C$211,0)),E89,IFERROR(INDEX(Config!$C$1:$C$211,MATCH(E89,Config!$D$1:$D$211,0)),""))))</f>
        <v>OP-0061</v>
      </c>
      <c r="E89" s="8" t="s">
        <v>119</v>
      </c>
      <c r="F89" s="9">
        <v>4</v>
      </c>
      <c r="G89" s="10">
        <f t="shared" si="2"/>
        <v>116</v>
      </c>
      <c r="H89" s="11">
        <f t="shared" si="3"/>
        <v>1.1111111111111111E-3</v>
      </c>
      <c r="I89" s="7" t="str">
        <f>IF(J89="","",IF(ISNUMBER(FIND("|",J89)),TRIM(LEFT(J89,FIND("|",J89)-1)),IF(ISNUMBER(MATCH(J89,Config!$F$1:$F$224,0)),J89,IFERROR(INDEX(Config!$F$1:$F$224,MATCH(J89,Config!$G$1:$G$224,0)),""))))</f>
        <v>LPD11089</v>
      </c>
      <c r="J89" s="12" t="str">
        <f>IFERROR(INDEX($J$16:J88,MATCH(C89,$C$16:C88,0)),"")</f>
        <v>S. THAJNISA</v>
      </c>
    </row>
    <row r="90" spans="1:10" ht="12" customHeight="1" x14ac:dyDescent="0.35">
      <c r="A90" s="6" t="s">
        <v>41</v>
      </c>
      <c r="B90" s="6" t="s">
        <v>93</v>
      </c>
      <c r="C90" s="6" t="s">
        <v>112</v>
      </c>
      <c r="D90" s="7" t="str">
        <f>IF(E90="","",IF(ISNUMBER(FIND("|",E90)),TRIM(LEFT(E90,FIND("|",E90)-1)),IF(ISNUMBER(MATCH(E90,Config!$C$1:$C$211,0)),E90,IFERROR(INDEX(Config!$C$1:$C$211,MATCH(E90,Config!$D$1:$D$211,0)),""))))</f>
        <v>OP-0057</v>
      </c>
      <c r="E90" s="8" t="s">
        <v>111</v>
      </c>
      <c r="F90" s="9">
        <v>10</v>
      </c>
      <c r="G90" s="10">
        <f t="shared" si="2"/>
        <v>116</v>
      </c>
      <c r="H90" s="11">
        <f t="shared" si="3"/>
        <v>2.7777777777777779E-3</v>
      </c>
      <c r="I90" s="7" t="str">
        <f>IF(J90="","",IF(ISNUMBER(FIND("|",J90)),TRIM(LEFT(J90,FIND("|",J90)-1)),IF(ISNUMBER(MATCH(J90,Config!$F$1:$F$224,0)),J90,IFERROR(INDEX(Config!$F$1:$F$224,MATCH(J90,Config!$G$1:$G$224,0)),""))))</f>
        <v>LPD10889</v>
      </c>
      <c r="J90" s="12" t="str">
        <f>IFERROR(INDEX($J$16:J89,MATCH(C90,$C$16:C89,0)),"")</f>
        <v>PUNITHA</v>
      </c>
    </row>
    <row r="91" spans="1:10" ht="12" customHeight="1" x14ac:dyDescent="0.35">
      <c r="A91" s="6" t="s">
        <v>41</v>
      </c>
      <c r="B91" s="6" t="s">
        <v>93</v>
      </c>
      <c r="C91" s="6" t="s">
        <v>115</v>
      </c>
      <c r="D91" s="7" t="str">
        <f>IF(E91="","",IF(ISNUMBER(FIND("|",E91)),TRIM(LEFT(E91,FIND("|",E91)-1)),IF(ISNUMBER(MATCH(E91,Config!$C$1:$C$211,0)),E91,IFERROR(INDEX(Config!$C$1:$C$211,MATCH(E91,Config!$D$1:$D$211,0)),""))))</f>
        <v>OP-0057</v>
      </c>
      <c r="E91" s="8" t="s">
        <v>111</v>
      </c>
      <c r="F91" s="9">
        <v>10</v>
      </c>
      <c r="G91" s="10">
        <f t="shared" si="2"/>
        <v>116</v>
      </c>
      <c r="H91" s="11">
        <f t="shared" si="3"/>
        <v>2.7777777777777779E-3</v>
      </c>
      <c r="I91" s="7" t="str">
        <f>IF(J91="","",IF(ISNUMBER(FIND("|",J91)),TRIM(LEFT(J91,FIND("|",J91)-1)),IF(ISNUMBER(MATCH(J91,Config!$F$1:$F$224,0)),J91,IFERROR(INDEX(Config!$F$1:$F$224,MATCH(J91,Config!$G$1:$G$224,0)),""))))</f>
        <v>LPD11089</v>
      </c>
      <c r="J91" s="12" t="str">
        <f>IFERROR(INDEX($J$16:J90,MATCH(C91,$C$16:C90,0)),"")</f>
        <v>S. THAJNISA</v>
      </c>
    </row>
    <row r="92" spans="1:10" ht="12" customHeight="1" x14ac:dyDescent="0.35">
      <c r="A92" s="6" t="s">
        <v>41</v>
      </c>
      <c r="B92" s="6" t="s">
        <v>93</v>
      </c>
      <c r="C92" s="6" t="s">
        <v>112</v>
      </c>
      <c r="D92" s="7" t="str">
        <f>IF(E92="","",IF(ISNUMBER(FIND("|",E92)),TRIM(LEFT(E92,FIND("|",E92)-1)),IF(ISNUMBER(MATCH(E92,Config!$C$1:$C$211,0)),E92,IFERROR(INDEX(Config!$C$1:$C$211,MATCH(E92,Config!$D$1:$D$211,0)),""))))</f>
        <v>OP-0058</v>
      </c>
      <c r="E92" s="8" t="s">
        <v>113</v>
      </c>
      <c r="F92" s="9">
        <v>6</v>
      </c>
      <c r="G92" s="10">
        <f t="shared" si="2"/>
        <v>116</v>
      </c>
      <c r="H92" s="11">
        <f t="shared" si="3"/>
        <v>1.6666666666666668E-3</v>
      </c>
      <c r="I92" s="7" t="str">
        <f>IF(J92="","",IF(ISNUMBER(FIND("|",J92)),TRIM(LEFT(J92,FIND("|",J92)-1)),IF(ISNUMBER(MATCH(J92,Config!$F$1:$F$224,0)),J92,IFERROR(INDEX(Config!$F$1:$F$224,MATCH(J92,Config!$G$1:$G$224,0)),""))))</f>
        <v>LPD10889</v>
      </c>
      <c r="J92" s="12" t="str">
        <f>IFERROR(INDEX($J$16:J91,MATCH(C92,$C$16:C91,0)),"")</f>
        <v>PUNITHA</v>
      </c>
    </row>
    <row r="93" spans="1:10" ht="12" customHeight="1" x14ac:dyDescent="0.35">
      <c r="A93" s="6" t="s">
        <v>41</v>
      </c>
      <c r="B93" s="6" t="s">
        <v>93</v>
      </c>
      <c r="C93" s="6" t="s">
        <v>115</v>
      </c>
      <c r="D93" s="7" t="str">
        <f>IF(E93="","",IF(ISNUMBER(FIND("|",E93)),TRIM(LEFT(E93,FIND("|",E93)-1)),IF(ISNUMBER(MATCH(E93,Config!$C$1:$C$211,0)),E93,IFERROR(INDEX(Config!$C$1:$C$211,MATCH(E93,Config!$D$1:$D$211,0)),""))))</f>
        <v>OP-0058</v>
      </c>
      <c r="E93" s="8" t="s">
        <v>113</v>
      </c>
      <c r="F93" s="9">
        <v>6</v>
      </c>
      <c r="G93" s="10">
        <f t="shared" si="2"/>
        <v>116</v>
      </c>
      <c r="H93" s="11">
        <f t="shared" si="3"/>
        <v>1.6666666666666668E-3</v>
      </c>
      <c r="I93" s="7" t="str">
        <f>IF(J93="","",IF(ISNUMBER(FIND("|",J93)),TRIM(LEFT(J93,FIND("|",J93)-1)),IF(ISNUMBER(MATCH(J93,Config!$F$1:$F$224,0)),J93,IFERROR(INDEX(Config!$F$1:$F$224,MATCH(J93,Config!$G$1:$G$224,0)),""))))</f>
        <v>LPD11089</v>
      </c>
      <c r="J93" s="12" t="str">
        <f>IFERROR(INDEX($J$16:J92,MATCH(C93,$C$16:C92,0)),"")</f>
        <v>S. THAJNISA</v>
      </c>
    </row>
    <row r="94" spans="1:10" ht="12" customHeight="1" x14ac:dyDescent="0.35">
      <c r="A94" s="6" t="s">
        <v>41</v>
      </c>
      <c r="B94" s="6" t="s">
        <v>93</v>
      </c>
      <c r="C94" s="6" t="s">
        <v>112</v>
      </c>
      <c r="D94" s="7" t="str">
        <f>IF(E94="","",IF(ISNUMBER(FIND("|",E94)),TRIM(LEFT(E94,FIND("|",E94)-1)),IF(ISNUMBER(MATCH(E94,Config!$C$1:$C$211,0)),E94,IFERROR(INDEX(Config!$C$1:$C$211,MATCH(E94,Config!$D$1:$D$211,0)),""))))</f>
        <v>OP-0059</v>
      </c>
      <c r="E94" s="8" t="s">
        <v>117</v>
      </c>
      <c r="F94" s="9">
        <v>6</v>
      </c>
      <c r="G94" s="10">
        <f t="shared" si="2"/>
        <v>116</v>
      </c>
      <c r="H94" s="11">
        <f t="shared" si="3"/>
        <v>1.6666666666666668E-3</v>
      </c>
      <c r="I94" s="7" t="str">
        <f>IF(J94="","",IF(ISNUMBER(FIND("|",J94)),TRIM(LEFT(J94,FIND("|",J94)-1)),IF(ISNUMBER(MATCH(J94,Config!$F$1:$F$224,0)),J94,IFERROR(INDEX(Config!$F$1:$F$224,MATCH(J94,Config!$G$1:$G$224,0)),""))))</f>
        <v>LPD10889</v>
      </c>
      <c r="J94" s="12" t="str">
        <f>IFERROR(INDEX($J$16:J93,MATCH(C94,$C$16:C93,0)),"")</f>
        <v>PUNITHA</v>
      </c>
    </row>
    <row r="95" spans="1:10" ht="12" customHeight="1" x14ac:dyDescent="0.35">
      <c r="A95" s="6" t="s">
        <v>41</v>
      </c>
      <c r="B95" s="6" t="s">
        <v>93</v>
      </c>
      <c r="C95" s="6" t="s">
        <v>115</v>
      </c>
      <c r="D95" s="7" t="str">
        <f>IF(E95="","",IF(ISNUMBER(FIND("|",E95)),TRIM(LEFT(E95,FIND("|",E95)-1)),IF(ISNUMBER(MATCH(E95,Config!$C$1:$C$211,0)),E95,IFERROR(INDEX(Config!$C$1:$C$211,MATCH(E95,Config!$D$1:$D$211,0)),""))))</f>
        <v>OP-0059</v>
      </c>
      <c r="E95" s="8" t="s">
        <v>117</v>
      </c>
      <c r="F95" s="9">
        <v>6</v>
      </c>
      <c r="G95" s="10">
        <f t="shared" si="2"/>
        <v>116</v>
      </c>
      <c r="H95" s="11">
        <f t="shared" si="3"/>
        <v>1.6666666666666668E-3</v>
      </c>
      <c r="I95" s="7" t="str">
        <f>IF(J95="","",IF(ISNUMBER(FIND("|",J95)),TRIM(LEFT(J95,FIND("|",J95)-1)),IF(ISNUMBER(MATCH(J95,Config!$F$1:$F$224,0)),J95,IFERROR(INDEX(Config!$F$1:$F$224,MATCH(J95,Config!$G$1:$G$224,0)),""))))</f>
        <v>LPD11089</v>
      </c>
      <c r="J95" s="12" t="str">
        <f>IFERROR(INDEX($J$16:J94,MATCH(C95,$C$16:C94,0)),"")</f>
        <v>S. THAJNISA</v>
      </c>
    </row>
    <row r="96" spans="1:10" ht="12" customHeight="1" x14ac:dyDescent="0.35">
      <c r="A96" s="6" t="s">
        <v>41</v>
      </c>
      <c r="B96" s="6" t="s">
        <v>93</v>
      </c>
      <c r="C96" s="6" t="s">
        <v>112</v>
      </c>
      <c r="D96" s="7" t="str">
        <f>IF(E96="","",IF(ISNUMBER(FIND("|",E96)),TRIM(LEFT(E96,FIND("|",E96)-1)),IF(ISNUMBER(MATCH(E96,Config!$C$1:$C$211,0)),E96,IFERROR(INDEX(Config!$C$1:$C$211,MATCH(E96,Config!$D$1:$D$211,0)),""))))</f>
        <v>OP-0060</v>
      </c>
      <c r="E96" s="8" t="s">
        <v>118</v>
      </c>
      <c r="F96" s="9">
        <v>6</v>
      </c>
      <c r="G96" s="10">
        <f t="shared" si="2"/>
        <v>116</v>
      </c>
      <c r="H96" s="11">
        <f t="shared" si="3"/>
        <v>1.6666666666666668E-3</v>
      </c>
      <c r="I96" s="7" t="str">
        <f>IF(J96="","",IF(ISNUMBER(FIND("|",J96)),TRIM(LEFT(J96,FIND("|",J96)-1)),IF(ISNUMBER(MATCH(J96,Config!$F$1:$F$224,0)),J96,IFERROR(INDEX(Config!$F$1:$F$224,MATCH(J96,Config!$G$1:$G$224,0)),""))))</f>
        <v>LPD10889</v>
      </c>
      <c r="J96" s="12" t="str">
        <f>IFERROR(INDEX($J$16:J95,MATCH(C96,$C$16:C95,0)),"")</f>
        <v>PUNITHA</v>
      </c>
    </row>
    <row r="97" spans="1:10" ht="12" customHeight="1" x14ac:dyDescent="0.35">
      <c r="A97" s="6" t="s">
        <v>41</v>
      </c>
      <c r="B97" s="6" t="s">
        <v>93</v>
      </c>
      <c r="C97" s="6" t="s">
        <v>115</v>
      </c>
      <c r="D97" s="7" t="str">
        <f>IF(E97="","",IF(ISNUMBER(FIND("|",E97)),TRIM(LEFT(E97,FIND("|",E97)-1)),IF(ISNUMBER(MATCH(E97,Config!$C$1:$C$211,0)),E97,IFERROR(INDEX(Config!$C$1:$C$211,MATCH(E97,Config!$D$1:$D$211,0)),""))))</f>
        <v>OP-0060</v>
      </c>
      <c r="E97" s="8" t="s">
        <v>118</v>
      </c>
      <c r="F97" s="9">
        <v>6</v>
      </c>
      <c r="G97" s="10">
        <f t="shared" si="2"/>
        <v>116</v>
      </c>
      <c r="H97" s="11">
        <f t="shared" si="3"/>
        <v>1.6666666666666668E-3</v>
      </c>
      <c r="I97" s="7" t="str">
        <f>IF(J97="","",IF(ISNUMBER(FIND("|",J97)),TRIM(LEFT(J97,FIND("|",J97)-1)),IF(ISNUMBER(MATCH(J97,Config!$F$1:$F$224,0)),J97,IFERROR(INDEX(Config!$F$1:$F$224,MATCH(J97,Config!$G$1:$G$224,0)),""))))</f>
        <v>LPD11089</v>
      </c>
      <c r="J97" s="12" t="str">
        <f>IFERROR(INDEX($J$16:J96,MATCH(C97,$C$16:C96,0)),"")</f>
        <v>S. THAJNISA</v>
      </c>
    </row>
    <row r="98" spans="1:10" ht="12" customHeight="1" x14ac:dyDescent="0.35">
      <c r="A98" s="6" t="s">
        <v>41</v>
      </c>
      <c r="B98" s="6" t="s">
        <v>93</v>
      </c>
      <c r="C98" s="6" t="s">
        <v>112</v>
      </c>
      <c r="D98" s="7" t="str">
        <f>IF(E98="","",IF(ISNUMBER(FIND("|",E98)),TRIM(LEFT(E98,FIND("|",E98)-1)),IF(ISNUMBER(MATCH(E98,Config!$C$1:$C$211,0)),E98,IFERROR(INDEX(Config!$C$1:$C$211,MATCH(E98,Config!$D$1:$D$211,0)),""))))</f>
        <v>OP-0061</v>
      </c>
      <c r="E98" s="8" t="s">
        <v>119</v>
      </c>
      <c r="F98" s="9">
        <v>4</v>
      </c>
      <c r="G98" s="10">
        <f t="shared" si="2"/>
        <v>116</v>
      </c>
      <c r="H98" s="11">
        <f t="shared" si="3"/>
        <v>1.1111111111111111E-3</v>
      </c>
      <c r="I98" s="7" t="str">
        <f>IF(J98="","",IF(ISNUMBER(FIND("|",J98)),TRIM(LEFT(J98,FIND("|",J98)-1)),IF(ISNUMBER(MATCH(J98,Config!$F$1:$F$224,0)),J98,IFERROR(INDEX(Config!$F$1:$F$224,MATCH(J98,Config!$G$1:$G$224,0)),""))))</f>
        <v>LPD10889</v>
      </c>
      <c r="J98" s="12" t="str">
        <f>IFERROR(INDEX($J$16:J97,MATCH(C98,$C$16:C97,0)),"")</f>
        <v>PUNITHA</v>
      </c>
    </row>
    <row r="99" spans="1:10" ht="12" customHeight="1" x14ac:dyDescent="0.35">
      <c r="A99" s="6" t="s">
        <v>41</v>
      </c>
      <c r="B99" s="6" t="s">
        <v>93</v>
      </c>
      <c r="C99" s="6" t="s">
        <v>115</v>
      </c>
      <c r="D99" s="7" t="str">
        <f>IF(E99="","",IF(ISNUMBER(FIND("|",E99)),TRIM(LEFT(E99,FIND("|",E99)-1)),IF(ISNUMBER(MATCH(E99,Config!$C$1:$C$211,0)),E99,IFERROR(INDEX(Config!$C$1:$C$211,MATCH(E99,Config!$D$1:$D$211,0)),""))))</f>
        <v>OP-0061</v>
      </c>
      <c r="E99" s="8" t="s">
        <v>119</v>
      </c>
      <c r="F99" s="9">
        <v>4</v>
      </c>
      <c r="G99" s="10">
        <f t="shared" si="2"/>
        <v>116</v>
      </c>
      <c r="H99" s="11">
        <f t="shared" si="3"/>
        <v>1.1111111111111111E-3</v>
      </c>
      <c r="I99" s="7" t="str">
        <f>IF(J99="","",IF(ISNUMBER(FIND("|",J99)),TRIM(LEFT(J99,FIND("|",J99)-1)),IF(ISNUMBER(MATCH(J99,Config!$F$1:$F$224,0)),J99,IFERROR(INDEX(Config!$F$1:$F$224,MATCH(J99,Config!$G$1:$G$224,0)),""))))</f>
        <v>LPD11089</v>
      </c>
      <c r="J99" s="12" t="str">
        <f>IFERROR(INDEX($J$16:J98,MATCH(C99,$C$16:C98,0)),"")</f>
        <v>S. THAJNISA</v>
      </c>
    </row>
    <row r="100" spans="1:10" ht="12" customHeight="1" x14ac:dyDescent="0.35">
      <c r="A100" s="6" t="s">
        <v>41</v>
      </c>
      <c r="B100" s="6" t="s">
        <v>93</v>
      </c>
      <c r="C100" s="6" t="s">
        <v>112</v>
      </c>
      <c r="D100" s="7" t="str">
        <f>IF(E100="","",IF(ISNUMBER(FIND("|",E100)),TRIM(LEFT(E100,FIND("|",E100)-1)),IF(ISNUMBER(MATCH(E100,Config!$C$1:$C$211,0)),E100,IFERROR(INDEX(Config!$C$1:$C$211,MATCH(E100,Config!$D$1:$D$211,0)),""))))</f>
        <v>OP-0057</v>
      </c>
      <c r="E100" s="8" t="s">
        <v>111</v>
      </c>
      <c r="F100" s="9">
        <v>6</v>
      </c>
      <c r="G100" s="10">
        <f t="shared" si="2"/>
        <v>116</v>
      </c>
      <c r="H100" s="11">
        <f t="shared" si="3"/>
        <v>1.6666666666666668E-3</v>
      </c>
      <c r="I100" s="7" t="str">
        <f>IF(J100="","",IF(ISNUMBER(FIND("|",J100)),TRIM(LEFT(J100,FIND("|",J100)-1)),IF(ISNUMBER(MATCH(J100,Config!$F$1:$F$224,0)),J100,IFERROR(INDEX(Config!$F$1:$F$224,MATCH(J100,Config!$G$1:$G$224,0)),""))))</f>
        <v>LPD10889</v>
      </c>
      <c r="J100" s="12" t="str">
        <f>IFERROR(INDEX($J$16:J99,MATCH(C100,$C$16:C99,0)),"")</f>
        <v>PUNITHA</v>
      </c>
    </row>
    <row r="101" spans="1:10" ht="12" customHeight="1" x14ac:dyDescent="0.35">
      <c r="A101" s="6" t="s">
        <v>41</v>
      </c>
      <c r="B101" s="6" t="s">
        <v>93</v>
      </c>
      <c r="C101" s="6" t="s">
        <v>115</v>
      </c>
      <c r="D101" s="7" t="str">
        <f>IF(E101="","",IF(ISNUMBER(FIND("|",E101)),TRIM(LEFT(E101,FIND("|",E101)-1)),IF(ISNUMBER(MATCH(E101,Config!$C$1:$C$211,0)),E101,IFERROR(INDEX(Config!$C$1:$C$211,MATCH(E101,Config!$D$1:$D$211,0)),""))))</f>
        <v>OP-0057</v>
      </c>
      <c r="E101" s="8" t="s">
        <v>111</v>
      </c>
      <c r="F101" s="9">
        <v>6</v>
      </c>
      <c r="G101" s="10">
        <f t="shared" si="2"/>
        <v>116</v>
      </c>
      <c r="H101" s="11">
        <f t="shared" si="3"/>
        <v>1.6666666666666668E-3</v>
      </c>
      <c r="I101" s="7" t="str">
        <f>IF(J101="","",IF(ISNUMBER(FIND("|",J101)),TRIM(LEFT(J101,FIND("|",J101)-1)),IF(ISNUMBER(MATCH(J101,Config!$F$1:$F$224,0)),J101,IFERROR(INDEX(Config!$F$1:$F$224,MATCH(J101,Config!$G$1:$G$224,0)),""))))</f>
        <v>LPD11089</v>
      </c>
      <c r="J101" s="12" t="str">
        <f>IFERROR(INDEX($J$16:J100,MATCH(C101,$C$16:C100,0)),"")</f>
        <v>S. THAJNISA</v>
      </c>
    </row>
    <row r="102" spans="1:10" ht="12" customHeight="1" x14ac:dyDescent="0.35">
      <c r="A102" s="6" t="s">
        <v>120</v>
      </c>
      <c r="B102" s="6" t="s">
        <v>42</v>
      </c>
      <c r="C102" s="6" t="s">
        <v>121</v>
      </c>
      <c r="D102" s="7" t="str">
        <f>IF(E102="","",IF(ISNUMBER(FIND("|",E102)),TRIM(LEFT(E102,FIND("|",E102)-1)),IF(ISNUMBER(MATCH(E102,Config!$C$1:$C$211,0)),E102,IFERROR(INDEX(Config!$C$1:$C$211,MATCH(E102,Config!$D$1:$D$211,0)),""))))</f>
        <v>OP-0062</v>
      </c>
      <c r="E102" s="8" t="s">
        <v>122</v>
      </c>
      <c r="F102" s="9">
        <v>3</v>
      </c>
      <c r="G102" s="10">
        <f t="shared" si="2"/>
        <v>50.5</v>
      </c>
      <c r="H102" s="11">
        <f t="shared" si="3"/>
        <v>8.3333333333333339E-4</v>
      </c>
      <c r="I102" s="7" t="str">
        <f>IF(J102="","",IF(ISNUMBER(FIND("|",J102)),TRIM(LEFT(J102,FIND("|",J102)-1)),IF(ISNUMBER(MATCH(J102,Config!$F$1:$F$224,0)),J102,IFERROR(INDEX(Config!$F$1:$F$224,MATCH(J102,Config!$G$1:$G$224,0)),""))))</f>
        <v>LPD07687</v>
      </c>
      <c r="J102" s="8" t="s">
        <v>123</v>
      </c>
    </row>
    <row r="103" spans="1:10" ht="12" customHeight="1" x14ac:dyDescent="0.35">
      <c r="A103" s="6" t="s">
        <v>120</v>
      </c>
      <c r="B103" s="6" t="s">
        <v>42</v>
      </c>
      <c r="C103" s="6" t="s">
        <v>121</v>
      </c>
      <c r="D103" s="7" t="str">
        <f>IF(E103="","",IF(ISNUMBER(FIND("|",E103)),TRIM(LEFT(E103,FIND("|",E103)-1)),IF(ISNUMBER(MATCH(E103,Config!$C$1:$C$211,0)),E103,IFERROR(INDEX(Config!$C$1:$C$211,MATCH(E103,Config!$D$1:$D$211,0)),""))))</f>
        <v>OP-0063</v>
      </c>
      <c r="E103" s="8" t="s">
        <v>124</v>
      </c>
      <c r="F103" s="9">
        <v>3</v>
      </c>
      <c r="G103" s="10">
        <f t="shared" si="2"/>
        <v>50.5</v>
      </c>
      <c r="H103" s="11">
        <f t="shared" si="3"/>
        <v>8.3333333333333339E-4</v>
      </c>
      <c r="I103" s="7" t="str">
        <f>IF(J103="","",IF(ISNUMBER(FIND("|",J103)),TRIM(LEFT(J103,FIND("|",J103)-1)),IF(ISNUMBER(MATCH(J103,Config!$F$1:$F$224,0)),J103,IFERROR(INDEX(Config!$F$1:$F$224,MATCH(J103,Config!$G$1:$G$224,0)),""))))</f>
        <v>LPD07687</v>
      </c>
      <c r="J103" s="12" t="str">
        <f>IFERROR(INDEX($J$16:J102,MATCH(C103,$C$16:C102,0)),"")</f>
        <v>MUBARAK</v>
      </c>
    </row>
    <row r="104" spans="1:10" ht="12" customHeight="1" x14ac:dyDescent="0.35">
      <c r="A104" s="6" t="s">
        <v>120</v>
      </c>
      <c r="B104" s="6" t="s">
        <v>42</v>
      </c>
      <c r="C104" s="6" t="s">
        <v>121</v>
      </c>
      <c r="D104" s="7" t="str">
        <f>IF(E104="","",IF(ISNUMBER(FIND("|",E104)),TRIM(LEFT(E104,FIND("|",E104)-1)),IF(ISNUMBER(MATCH(E104,Config!$C$1:$C$211,0)),E104,IFERROR(INDEX(Config!$C$1:$C$211,MATCH(E104,Config!$D$1:$D$211,0)),""))))</f>
        <v>OP-0064</v>
      </c>
      <c r="E104" s="8" t="s">
        <v>125</v>
      </c>
      <c r="F104" s="9">
        <v>14</v>
      </c>
      <c r="G104" s="10">
        <f t="shared" si="2"/>
        <v>50.5</v>
      </c>
      <c r="H104" s="11">
        <f t="shared" si="3"/>
        <v>3.8888888888888888E-3</v>
      </c>
      <c r="I104" s="7" t="str">
        <f>IF(J104="","",IF(ISNUMBER(FIND("|",J104)),TRIM(LEFT(J104,FIND("|",J104)-1)),IF(ISNUMBER(MATCH(J104,Config!$F$1:$F$224,0)),J104,IFERROR(INDEX(Config!$F$1:$F$224,MATCH(J104,Config!$G$1:$G$224,0)),""))))</f>
        <v>LPD07687</v>
      </c>
      <c r="J104" s="12" t="str">
        <f>IFERROR(INDEX($J$16:J103,MATCH(C104,$C$16:C103,0)),"")</f>
        <v>MUBARAK</v>
      </c>
    </row>
    <row r="105" spans="1:10" ht="12" customHeight="1" x14ac:dyDescent="0.35">
      <c r="A105" s="6" t="s">
        <v>120</v>
      </c>
      <c r="B105" s="6" t="s">
        <v>42</v>
      </c>
      <c r="C105" s="6" t="s">
        <v>121</v>
      </c>
      <c r="D105" s="7" t="str">
        <f>IF(E105="","",IF(ISNUMBER(FIND("|",E105)),TRIM(LEFT(E105,FIND("|",E105)-1)),IF(ISNUMBER(MATCH(E105,Config!$C$1:$C$211,0)),E105,IFERROR(INDEX(Config!$C$1:$C$211,MATCH(E105,Config!$D$1:$D$211,0)),""))))</f>
        <v>OP-0065</v>
      </c>
      <c r="E105" s="8" t="s">
        <v>126</v>
      </c>
      <c r="F105" s="9">
        <v>15</v>
      </c>
      <c r="G105" s="10">
        <f t="shared" si="2"/>
        <v>50.5</v>
      </c>
      <c r="H105" s="11">
        <f t="shared" si="3"/>
        <v>4.1666666666666666E-3</v>
      </c>
      <c r="I105" s="7" t="str">
        <f>IF(J105="","",IF(ISNUMBER(FIND("|",J105)),TRIM(LEFT(J105,FIND("|",J105)-1)),IF(ISNUMBER(MATCH(J105,Config!$F$1:$F$224,0)),J105,IFERROR(INDEX(Config!$F$1:$F$224,MATCH(J105,Config!$G$1:$G$224,0)),""))))</f>
        <v>LPD07687</v>
      </c>
      <c r="J105" s="12" t="str">
        <f>IFERROR(INDEX($J$16:J104,MATCH(C105,$C$16:C104,0)),"")</f>
        <v>MUBARAK</v>
      </c>
    </row>
    <row r="106" spans="1:10" ht="12" customHeight="1" x14ac:dyDescent="0.35">
      <c r="A106" s="6" t="s">
        <v>120</v>
      </c>
      <c r="B106" s="6" t="s">
        <v>42</v>
      </c>
      <c r="C106" s="6" t="s">
        <v>121</v>
      </c>
      <c r="D106" s="7" t="str">
        <f>IF(E106="","",IF(ISNUMBER(FIND("|",E106)),TRIM(LEFT(E106,FIND("|",E106)-1)),IF(ISNUMBER(MATCH(E106,Config!$C$1:$C$211,0)),E106,IFERROR(INDEX(Config!$C$1:$C$211,MATCH(E106,Config!$D$1:$D$211,0)),""))))</f>
        <v>OP-0028</v>
      </c>
      <c r="E106" s="8" t="s">
        <v>66</v>
      </c>
      <c r="F106" s="9">
        <v>7.5</v>
      </c>
      <c r="G106" s="10">
        <f t="shared" si="2"/>
        <v>50.5</v>
      </c>
      <c r="H106" s="11">
        <f t="shared" si="3"/>
        <v>2.0833333333333333E-3</v>
      </c>
      <c r="I106" s="7" t="str">
        <f>IF(J106="","",IF(ISNUMBER(FIND("|",J106)),TRIM(LEFT(J106,FIND("|",J106)-1)),IF(ISNUMBER(MATCH(J106,Config!$F$1:$F$224,0)),J106,IFERROR(INDEX(Config!$F$1:$F$224,MATCH(J106,Config!$G$1:$G$224,0)),""))))</f>
        <v>LPD07687</v>
      </c>
      <c r="J106" s="12" t="str">
        <f>IFERROR(INDEX($J$16:J105,MATCH(C106,$C$16:C105,0)),"")</f>
        <v>MUBARAK</v>
      </c>
    </row>
    <row r="107" spans="1:10" ht="12" customHeight="1" x14ac:dyDescent="0.35">
      <c r="A107" s="6" t="s">
        <v>120</v>
      </c>
      <c r="B107" s="6" t="s">
        <v>42</v>
      </c>
      <c r="C107" s="6" t="s">
        <v>121</v>
      </c>
      <c r="D107" s="7" t="str">
        <f>IF(E107="","",IF(ISNUMBER(FIND("|",E107)),TRIM(LEFT(E107,FIND("|",E107)-1)),IF(ISNUMBER(MATCH(E107,Config!$C$1:$C$211,0)),E107,IFERROR(INDEX(Config!$C$1:$C$211,MATCH(E107,Config!$D$1:$D$211,0)),""))))</f>
        <v>OP-0028</v>
      </c>
      <c r="E107" s="8" t="s">
        <v>66</v>
      </c>
      <c r="F107" s="9">
        <v>8</v>
      </c>
      <c r="G107" s="10">
        <f t="shared" si="2"/>
        <v>50.5</v>
      </c>
      <c r="H107" s="11">
        <f t="shared" si="3"/>
        <v>2.2222222222222222E-3</v>
      </c>
      <c r="I107" s="7" t="str">
        <f>IF(J107="","",IF(ISNUMBER(FIND("|",J107)),TRIM(LEFT(J107,FIND("|",J107)-1)),IF(ISNUMBER(MATCH(J107,Config!$F$1:$F$224,0)),J107,IFERROR(INDEX(Config!$F$1:$F$224,MATCH(J107,Config!$G$1:$G$224,0)),""))))</f>
        <v>LPD07687</v>
      </c>
      <c r="J107" s="12" t="str">
        <f>IFERROR(INDEX($J$16:J106,MATCH(C107,$C$16:C106,0)),"")</f>
        <v>MUBARAK</v>
      </c>
    </row>
    <row r="108" spans="1:10" ht="12" customHeight="1" x14ac:dyDescent="0.35">
      <c r="A108" s="6" t="s">
        <v>41</v>
      </c>
      <c r="B108" s="6" t="s">
        <v>127</v>
      </c>
      <c r="C108" s="6" t="s">
        <v>128</v>
      </c>
      <c r="D108" s="7" t="str">
        <f>IF(E108="","",IF(ISNUMBER(FIND("|",E108)),TRIM(LEFT(E108,FIND("|",E108)-1)),IF(ISNUMBER(MATCH(E108,Config!$C$1:$C$211,0)),E108,IFERROR(INDEX(Config!$C$1:$C$211,MATCH(E108,Config!$D$1:$D$211,0)),""))))</f>
        <v>OP-0066</v>
      </c>
      <c r="E108" s="8" t="s">
        <v>129</v>
      </c>
      <c r="F108" s="9">
        <v>28</v>
      </c>
      <c r="G108" s="10">
        <f t="shared" si="2"/>
        <v>80</v>
      </c>
      <c r="H108" s="11">
        <f t="shared" si="3"/>
        <v>7.7777777777777776E-3</v>
      </c>
      <c r="I108" s="7" t="str">
        <f>IF(J108="","",IF(ISNUMBER(FIND("|",J108)),TRIM(LEFT(J108,FIND("|",J108)-1)),IF(ISNUMBER(MATCH(J108,Config!$F$1:$F$224,0)),J108,IFERROR(INDEX(Config!$F$1:$F$224,MATCH(J108,Config!$G$1:$G$224,0)),""))))</f>
        <v>LPD10907</v>
      </c>
      <c r="J108" s="8" t="s">
        <v>130</v>
      </c>
    </row>
    <row r="109" spans="1:10" ht="12" customHeight="1" x14ac:dyDescent="0.35">
      <c r="A109" s="6" t="s">
        <v>41</v>
      </c>
      <c r="B109" s="6" t="s">
        <v>127</v>
      </c>
      <c r="C109" s="6" t="s">
        <v>128</v>
      </c>
      <c r="D109" s="7" t="str">
        <f>IF(E109="","",IF(ISNUMBER(FIND("|",E109)),TRIM(LEFT(E109,FIND("|",E109)-1)),IF(ISNUMBER(MATCH(E109,Config!$C$1:$C$211,0)),E109,IFERROR(INDEX(Config!$C$1:$C$211,MATCH(E109,Config!$D$1:$D$211,0)),""))))</f>
        <v>OP-0067</v>
      </c>
      <c r="E109" s="8" t="s">
        <v>131</v>
      </c>
      <c r="F109" s="9">
        <v>18</v>
      </c>
      <c r="G109" s="10">
        <f t="shared" si="2"/>
        <v>80</v>
      </c>
      <c r="H109" s="11">
        <f t="shared" si="3"/>
        <v>5.0000000000000001E-3</v>
      </c>
      <c r="I109" s="7" t="str">
        <f>IF(J109="","",IF(ISNUMBER(FIND("|",J109)),TRIM(LEFT(J109,FIND("|",J109)-1)),IF(ISNUMBER(MATCH(J109,Config!$F$1:$F$224,0)),J109,IFERROR(INDEX(Config!$F$1:$F$224,MATCH(J109,Config!$G$1:$G$224,0)),""))))</f>
        <v>LPD10907</v>
      </c>
      <c r="J109" s="12" t="str">
        <f>IFERROR(INDEX($J$16:J108,MATCH(C109,$C$16:C108,0)),"")</f>
        <v>RASOOL</v>
      </c>
    </row>
    <row r="110" spans="1:10" ht="12" customHeight="1" x14ac:dyDescent="0.35">
      <c r="A110" s="6" t="s">
        <v>41</v>
      </c>
      <c r="B110" s="6" t="s">
        <v>127</v>
      </c>
      <c r="C110" s="6" t="s">
        <v>128</v>
      </c>
      <c r="D110" s="7" t="str">
        <f>IF(E110="","",IF(ISNUMBER(FIND("|",E110)),TRIM(LEFT(E110,FIND("|",E110)-1)),IF(ISNUMBER(MATCH(E110,Config!$C$1:$C$211,0)),E110,IFERROR(INDEX(Config!$C$1:$C$211,MATCH(E110,Config!$D$1:$D$211,0)),""))))</f>
        <v>OP-0068</v>
      </c>
      <c r="E110" s="8" t="s">
        <v>132</v>
      </c>
      <c r="F110" s="9">
        <v>18</v>
      </c>
      <c r="G110" s="10">
        <f t="shared" si="2"/>
        <v>80</v>
      </c>
      <c r="H110" s="11">
        <f t="shared" si="3"/>
        <v>5.0000000000000001E-3</v>
      </c>
      <c r="I110" s="7" t="str">
        <f>IF(J110="","",IF(ISNUMBER(FIND("|",J110)),TRIM(LEFT(J110,FIND("|",J110)-1)),IF(ISNUMBER(MATCH(J110,Config!$F$1:$F$224,0)),J110,IFERROR(INDEX(Config!$F$1:$F$224,MATCH(J110,Config!$G$1:$G$224,0)),""))))</f>
        <v>LPD10907</v>
      </c>
      <c r="J110" s="12" t="str">
        <f>IFERROR(INDEX($J$16:J109,MATCH(C110,$C$16:C109,0)),"")</f>
        <v>RASOOL</v>
      </c>
    </row>
    <row r="111" spans="1:10" ht="12" customHeight="1" x14ac:dyDescent="0.35">
      <c r="A111" s="6" t="s">
        <v>41</v>
      </c>
      <c r="B111" s="6" t="s">
        <v>127</v>
      </c>
      <c r="C111" s="6" t="s">
        <v>128</v>
      </c>
      <c r="D111" s="7" t="str">
        <f>IF(E111="","",IF(ISNUMBER(FIND("|",E111)),TRIM(LEFT(E111,FIND("|",E111)-1)),IF(ISNUMBER(MATCH(E111,Config!$C$1:$C$211,0)),E111,IFERROR(INDEX(Config!$C$1:$C$211,MATCH(E111,Config!$D$1:$D$211,0)),""))))</f>
        <v>OP-0069</v>
      </c>
      <c r="E111" s="8" t="s">
        <v>133</v>
      </c>
      <c r="F111" s="9">
        <v>16</v>
      </c>
      <c r="G111" s="10">
        <f t="shared" si="2"/>
        <v>80</v>
      </c>
      <c r="H111" s="11">
        <f t="shared" si="3"/>
        <v>4.4444444444444444E-3</v>
      </c>
      <c r="I111" s="7" t="str">
        <f>IF(J111="","",IF(ISNUMBER(FIND("|",J111)),TRIM(LEFT(J111,FIND("|",J111)-1)),IF(ISNUMBER(MATCH(J111,Config!$F$1:$F$224,0)),J111,IFERROR(INDEX(Config!$F$1:$F$224,MATCH(J111,Config!$G$1:$G$224,0)),""))))</f>
        <v>LPD10907</v>
      </c>
      <c r="J111" s="12" t="str">
        <f>IFERROR(INDEX($J$16:J110,MATCH(C111,$C$16:C110,0)),"")</f>
        <v>RASOOL</v>
      </c>
    </row>
    <row r="112" spans="1:10" ht="12" customHeight="1" x14ac:dyDescent="0.35">
      <c r="A112" s="6" t="s">
        <v>120</v>
      </c>
      <c r="B112" s="6" t="s">
        <v>93</v>
      </c>
      <c r="C112" s="6" t="s">
        <v>134</v>
      </c>
      <c r="D112" s="7" t="str">
        <f>IF(E112="","",IF(ISNUMBER(FIND("|",E112)),TRIM(LEFT(E112,FIND("|",E112)-1)),IF(ISNUMBER(MATCH(E112,Config!$C$1:$C$211,0)),E112,IFERROR(INDEX(Config!$C$1:$C$211,MATCH(E112,Config!$D$1:$D$211,0)),""))))</f>
        <v>OP-0070</v>
      </c>
      <c r="E112" s="8" t="s">
        <v>135</v>
      </c>
      <c r="F112" s="9">
        <v>68</v>
      </c>
      <c r="G112" s="10">
        <f t="shared" si="2"/>
        <v>80</v>
      </c>
      <c r="H112" s="11">
        <f t="shared" si="3"/>
        <v>1.8888888888888889E-2</v>
      </c>
      <c r="I112" s="7" t="str">
        <f>IF(J112="","",IF(ISNUMBER(FIND("|",J112)),TRIM(LEFT(J112,FIND("|",J112)-1)),IF(ISNUMBER(MATCH(J112,Config!$F$1:$F$224,0)),J112,IFERROR(INDEX(Config!$F$1:$F$224,MATCH(J112,Config!$G$1:$G$224,0)),""))))</f>
        <v>LPD09926</v>
      </c>
      <c r="J112" s="8" t="s">
        <v>136</v>
      </c>
    </row>
    <row r="113" spans="1:10" ht="12" customHeight="1" x14ac:dyDescent="0.35">
      <c r="A113" s="6" t="s">
        <v>120</v>
      </c>
      <c r="B113" s="6" t="s">
        <v>93</v>
      </c>
      <c r="C113" s="6" t="s">
        <v>134</v>
      </c>
      <c r="D113" s="7" t="str">
        <f>IF(E113="","",IF(ISNUMBER(FIND("|",E113)),TRIM(LEFT(E113,FIND("|",E113)-1)),IF(ISNUMBER(MATCH(E113,Config!$C$1:$C$211,0)),E113,IFERROR(INDEX(Config!$C$1:$C$211,MATCH(E113,Config!$D$1:$D$211,0)),""))))</f>
        <v>OP-0071</v>
      </c>
      <c r="E113" s="8" t="s">
        <v>137</v>
      </c>
      <c r="F113" s="9">
        <v>12</v>
      </c>
      <c r="G113" s="10">
        <f t="shared" si="2"/>
        <v>80</v>
      </c>
      <c r="H113" s="11">
        <f t="shared" si="3"/>
        <v>3.3333333333333335E-3</v>
      </c>
      <c r="I113" s="7" t="str">
        <f>IF(J113="","",IF(ISNUMBER(FIND("|",J113)),TRIM(LEFT(J113,FIND("|",J113)-1)),IF(ISNUMBER(MATCH(J113,Config!$F$1:$F$224,0)),J113,IFERROR(INDEX(Config!$F$1:$F$224,MATCH(J113,Config!$G$1:$G$224,0)),""))))</f>
        <v>LPD09926</v>
      </c>
      <c r="J113" s="12" t="str">
        <f>IFERROR(INDEX($J$16:J112,MATCH(C113,$C$16:C112,0)),"")</f>
        <v>AKBAR</v>
      </c>
    </row>
    <row r="114" spans="1:10" ht="12" customHeight="1" x14ac:dyDescent="0.35">
      <c r="A114" s="6" t="s">
        <v>120</v>
      </c>
      <c r="B114" s="6" t="s">
        <v>93</v>
      </c>
      <c r="C114" s="6" t="s">
        <v>138</v>
      </c>
      <c r="D114" s="7" t="str">
        <f>IF(E114="","",IF(ISNUMBER(FIND("|",E114)),TRIM(LEFT(E114,FIND("|",E114)-1)),IF(ISNUMBER(MATCH(E114,Config!$C$1:$C$211,0)),E114,IFERROR(INDEX(Config!$C$1:$C$211,MATCH(E114,Config!$D$1:$D$211,0)),""))))</f>
        <v>OP-0072</v>
      </c>
      <c r="E114" s="8" t="s">
        <v>139</v>
      </c>
      <c r="F114" s="9">
        <v>14</v>
      </c>
      <c r="G114" s="10">
        <f t="shared" si="2"/>
        <v>134</v>
      </c>
      <c r="H114" s="11">
        <f t="shared" si="3"/>
        <v>3.8888888888888888E-3</v>
      </c>
      <c r="I114" s="7" t="str">
        <f>IF(J114="","",IF(ISNUMBER(FIND("|",J114)),TRIM(LEFT(J114,FIND("|",J114)-1)),IF(ISNUMBER(MATCH(J114,Config!$F$1:$F$224,0)),J114,IFERROR(INDEX(Config!$F$1:$F$224,MATCH(J114,Config!$G$1:$G$224,0)),""))))</f>
        <v>LPD07960</v>
      </c>
      <c r="J114" s="8" t="s">
        <v>140</v>
      </c>
    </row>
    <row r="115" spans="1:10" ht="12" customHeight="1" x14ac:dyDescent="0.35">
      <c r="A115" s="6" t="s">
        <v>120</v>
      </c>
      <c r="B115" s="6" t="s">
        <v>93</v>
      </c>
      <c r="C115" s="6" t="s">
        <v>141</v>
      </c>
      <c r="D115" s="7" t="str">
        <f>IF(E115="","",IF(ISNUMBER(FIND("|",E115)),TRIM(LEFT(E115,FIND("|",E115)-1)),IF(ISNUMBER(MATCH(E115,Config!$C$1:$C$211,0)),E115,IFERROR(INDEX(Config!$C$1:$C$211,MATCH(E115,Config!$D$1:$D$211,0)),""))))</f>
        <v>OP-0072</v>
      </c>
      <c r="E115" s="8" t="s">
        <v>139</v>
      </c>
      <c r="F115" s="9">
        <v>14</v>
      </c>
      <c r="G115" s="10">
        <f t="shared" si="2"/>
        <v>134</v>
      </c>
      <c r="H115" s="11">
        <f t="shared" si="3"/>
        <v>3.8888888888888888E-3</v>
      </c>
      <c r="I115" s="7" t="str">
        <f>IF(J115="","",IF(ISNUMBER(FIND("|",J115)),TRIM(LEFT(J115,FIND("|",J115)-1)),IF(ISNUMBER(MATCH(J115,Config!$F$1:$F$224,0)),J115,IFERROR(INDEX(Config!$F$1:$F$224,MATCH(J115,Config!$G$1:$G$224,0)),""))))</f>
        <v>LPD10526</v>
      </c>
      <c r="J115" s="8" t="s">
        <v>142</v>
      </c>
    </row>
    <row r="116" spans="1:10" ht="12" customHeight="1" x14ac:dyDescent="0.35">
      <c r="A116" s="6" t="s">
        <v>120</v>
      </c>
      <c r="B116" s="6" t="s">
        <v>93</v>
      </c>
      <c r="C116" s="6" t="s">
        <v>138</v>
      </c>
      <c r="D116" s="7" t="str">
        <f>IF(E116="","",IF(ISNUMBER(FIND("|",E116)),TRIM(LEFT(E116,FIND("|",E116)-1)),IF(ISNUMBER(MATCH(E116,Config!$C$1:$C$211,0)),E116,IFERROR(INDEX(Config!$C$1:$C$211,MATCH(E116,Config!$D$1:$D$211,0)),""))))</f>
        <v>OP-0073</v>
      </c>
      <c r="E116" s="8" t="s">
        <v>143</v>
      </c>
      <c r="F116" s="9">
        <v>14</v>
      </c>
      <c r="G116" s="10">
        <f t="shared" si="2"/>
        <v>134</v>
      </c>
      <c r="H116" s="11">
        <f t="shared" si="3"/>
        <v>3.8888888888888888E-3</v>
      </c>
      <c r="I116" s="7" t="str">
        <f>IF(J116="","",IF(ISNUMBER(FIND("|",J116)),TRIM(LEFT(J116,FIND("|",J116)-1)),IF(ISNUMBER(MATCH(J116,Config!$F$1:$F$224,0)),J116,IFERROR(INDEX(Config!$F$1:$F$224,MATCH(J116,Config!$G$1:$G$224,0)),""))))</f>
        <v>LPD07960</v>
      </c>
      <c r="J116" s="12" t="str">
        <f>IFERROR(INDEX($J$16:J115,MATCH(C116,$C$16:C115,0)),"")</f>
        <v>F. ZAINATHBEE</v>
      </c>
    </row>
    <row r="117" spans="1:10" ht="12" customHeight="1" x14ac:dyDescent="0.35">
      <c r="A117" s="6" t="s">
        <v>120</v>
      </c>
      <c r="B117" s="6" t="s">
        <v>93</v>
      </c>
      <c r="C117" s="6" t="s">
        <v>141</v>
      </c>
      <c r="D117" s="7" t="str">
        <f>IF(E117="","",IF(ISNUMBER(FIND("|",E117)),TRIM(LEFT(E117,FIND("|",E117)-1)),IF(ISNUMBER(MATCH(E117,Config!$C$1:$C$211,0)),E117,IFERROR(INDEX(Config!$C$1:$C$211,MATCH(E117,Config!$D$1:$D$211,0)),""))))</f>
        <v>OP-0073</v>
      </c>
      <c r="E117" s="8" t="s">
        <v>143</v>
      </c>
      <c r="F117" s="9">
        <v>14</v>
      </c>
      <c r="G117" s="10">
        <f t="shared" si="2"/>
        <v>134</v>
      </c>
      <c r="H117" s="11">
        <f t="shared" si="3"/>
        <v>3.8888888888888888E-3</v>
      </c>
      <c r="I117" s="7" t="str">
        <f>IF(J117="","",IF(ISNUMBER(FIND("|",J117)),TRIM(LEFT(J117,FIND("|",J117)-1)),IF(ISNUMBER(MATCH(J117,Config!$F$1:$F$224,0)),J117,IFERROR(INDEX(Config!$F$1:$F$224,MATCH(J117,Config!$G$1:$G$224,0)),""))))</f>
        <v>LPD10526</v>
      </c>
      <c r="J117" s="12" t="str">
        <f>IFERROR(INDEX($J$16:J116,MATCH(C117,$C$16:C116,0)),"")</f>
        <v>SHAKEERA</v>
      </c>
    </row>
    <row r="118" spans="1:10" ht="12" customHeight="1" x14ac:dyDescent="0.35">
      <c r="A118" s="6" t="s">
        <v>120</v>
      </c>
      <c r="B118" s="6" t="s">
        <v>93</v>
      </c>
      <c r="C118" s="6" t="s">
        <v>138</v>
      </c>
      <c r="D118" s="7" t="str">
        <f>IF(E118="","",IF(ISNUMBER(FIND("|",E118)),TRIM(LEFT(E118,FIND("|",E118)-1)),IF(ISNUMBER(MATCH(E118,Config!$C$1:$C$211,0)),E118,IFERROR(INDEX(Config!$C$1:$C$211,MATCH(E118,Config!$D$1:$D$211,0)),""))))</f>
        <v>OP-0074</v>
      </c>
      <c r="E118" s="8" t="s">
        <v>144</v>
      </c>
      <c r="F118" s="9">
        <v>16</v>
      </c>
      <c r="G118" s="10">
        <f t="shared" si="2"/>
        <v>134</v>
      </c>
      <c r="H118" s="11">
        <f t="shared" si="3"/>
        <v>4.4444444444444444E-3</v>
      </c>
      <c r="I118" s="7" t="str">
        <f>IF(J118="","",IF(ISNUMBER(FIND("|",J118)),TRIM(LEFT(J118,FIND("|",J118)-1)),IF(ISNUMBER(MATCH(J118,Config!$F$1:$F$224,0)),J118,IFERROR(INDEX(Config!$F$1:$F$224,MATCH(J118,Config!$G$1:$G$224,0)),""))))</f>
        <v>LPD07960</v>
      </c>
      <c r="J118" s="12" t="str">
        <f>IFERROR(INDEX($J$16:J117,MATCH(C118,$C$16:C117,0)),"")</f>
        <v>F. ZAINATHBEE</v>
      </c>
    </row>
    <row r="119" spans="1:10" ht="12" customHeight="1" x14ac:dyDescent="0.35">
      <c r="A119" s="6" t="s">
        <v>120</v>
      </c>
      <c r="B119" s="6" t="s">
        <v>93</v>
      </c>
      <c r="C119" s="6" t="s">
        <v>141</v>
      </c>
      <c r="D119" s="7" t="str">
        <f>IF(E119="","",IF(ISNUMBER(FIND("|",E119)),TRIM(LEFT(E119,FIND("|",E119)-1)),IF(ISNUMBER(MATCH(E119,Config!$C$1:$C$211,0)),E119,IFERROR(INDEX(Config!$C$1:$C$211,MATCH(E119,Config!$D$1:$D$211,0)),""))))</f>
        <v>OP-0074</v>
      </c>
      <c r="E119" s="8" t="s">
        <v>144</v>
      </c>
      <c r="F119" s="9">
        <v>16</v>
      </c>
      <c r="G119" s="10">
        <f t="shared" si="2"/>
        <v>134</v>
      </c>
      <c r="H119" s="11">
        <f t="shared" si="3"/>
        <v>4.4444444444444444E-3</v>
      </c>
      <c r="I119" s="7" t="str">
        <f>IF(J119="","",IF(ISNUMBER(FIND("|",J119)),TRIM(LEFT(J119,FIND("|",J119)-1)),IF(ISNUMBER(MATCH(J119,Config!$F$1:$F$224,0)),J119,IFERROR(INDEX(Config!$F$1:$F$224,MATCH(J119,Config!$G$1:$G$224,0)),""))))</f>
        <v>LPD10526</v>
      </c>
      <c r="J119" s="12" t="str">
        <f>IFERROR(INDEX($J$16:J118,MATCH(C119,$C$16:C118,0)),"")</f>
        <v>SHAKEERA</v>
      </c>
    </row>
    <row r="120" spans="1:10" ht="12" customHeight="1" x14ac:dyDescent="0.35">
      <c r="A120" s="6" t="s">
        <v>120</v>
      </c>
      <c r="B120" s="6" t="s">
        <v>93</v>
      </c>
      <c r="C120" s="6" t="s">
        <v>138</v>
      </c>
      <c r="D120" s="7" t="str">
        <f>IF(E120="","",IF(ISNUMBER(FIND("|",E120)),TRIM(LEFT(E120,FIND("|",E120)-1)),IF(ISNUMBER(MATCH(E120,Config!$C$1:$C$211,0)),E120,IFERROR(INDEX(Config!$C$1:$C$211,MATCH(E120,Config!$D$1:$D$211,0)),""))))</f>
        <v>OP-0075</v>
      </c>
      <c r="E120" s="8" t="s">
        <v>145</v>
      </c>
      <c r="F120" s="9">
        <v>16</v>
      </c>
      <c r="G120" s="10">
        <f t="shared" si="2"/>
        <v>134</v>
      </c>
      <c r="H120" s="11">
        <f t="shared" si="3"/>
        <v>4.4444444444444444E-3</v>
      </c>
      <c r="I120" s="7" t="str">
        <f>IF(J120="","",IF(ISNUMBER(FIND("|",J120)),TRIM(LEFT(J120,FIND("|",J120)-1)),IF(ISNUMBER(MATCH(J120,Config!$F$1:$F$224,0)),J120,IFERROR(INDEX(Config!$F$1:$F$224,MATCH(J120,Config!$G$1:$G$224,0)),""))))</f>
        <v>LPD07960</v>
      </c>
      <c r="J120" s="12" t="str">
        <f>IFERROR(INDEX($J$16:J119,MATCH(C120,$C$16:C119,0)),"")</f>
        <v>F. ZAINATHBEE</v>
      </c>
    </row>
    <row r="121" spans="1:10" ht="12" customHeight="1" x14ac:dyDescent="0.35">
      <c r="A121" s="6" t="s">
        <v>120</v>
      </c>
      <c r="B121" s="6" t="s">
        <v>93</v>
      </c>
      <c r="C121" s="6" t="s">
        <v>141</v>
      </c>
      <c r="D121" s="7" t="str">
        <f>IF(E121="","",IF(ISNUMBER(FIND("|",E121)),TRIM(LEFT(E121,FIND("|",E121)-1)),IF(ISNUMBER(MATCH(E121,Config!$C$1:$C$211,0)),E121,IFERROR(INDEX(Config!$C$1:$C$211,MATCH(E121,Config!$D$1:$D$211,0)),""))))</f>
        <v>OP-0075</v>
      </c>
      <c r="E121" s="8" t="s">
        <v>145</v>
      </c>
      <c r="F121" s="9">
        <v>16</v>
      </c>
      <c r="G121" s="10">
        <f t="shared" si="2"/>
        <v>134</v>
      </c>
      <c r="H121" s="11">
        <f t="shared" si="3"/>
        <v>4.4444444444444444E-3</v>
      </c>
      <c r="I121" s="7" t="str">
        <f>IF(J121="","",IF(ISNUMBER(FIND("|",J121)),TRIM(LEFT(J121,FIND("|",J121)-1)),IF(ISNUMBER(MATCH(J121,Config!$F$1:$F$224,0)),J121,IFERROR(INDEX(Config!$F$1:$F$224,MATCH(J121,Config!$G$1:$G$224,0)),""))))</f>
        <v>LPD10526</v>
      </c>
      <c r="J121" s="12" t="str">
        <f>IFERROR(INDEX($J$16:J120,MATCH(C121,$C$16:C120,0)),"")</f>
        <v>SHAKEERA</v>
      </c>
    </row>
    <row r="122" spans="1:10" ht="12" customHeight="1" x14ac:dyDescent="0.35">
      <c r="A122" s="6" t="s">
        <v>120</v>
      </c>
      <c r="B122" s="6" t="s">
        <v>93</v>
      </c>
      <c r="C122" s="6" t="s">
        <v>138</v>
      </c>
      <c r="D122" s="7" t="str">
        <f>IF(E122="","",IF(ISNUMBER(FIND("|",E122)),TRIM(LEFT(E122,FIND("|",E122)-1)),IF(ISNUMBER(MATCH(E122,Config!$C$1:$C$211,0)),E122,IFERROR(INDEX(Config!$C$1:$C$211,MATCH(E122,Config!$D$1:$D$211,0)),""))))</f>
        <v>OP-0076</v>
      </c>
      <c r="E122" s="8" t="s">
        <v>146</v>
      </c>
      <c r="F122" s="9">
        <v>12</v>
      </c>
      <c r="G122" s="10">
        <f t="shared" si="2"/>
        <v>134</v>
      </c>
      <c r="H122" s="11">
        <f t="shared" si="3"/>
        <v>3.3333333333333335E-3</v>
      </c>
      <c r="I122" s="7" t="str">
        <f>IF(J122="","",IF(ISNUMBER(FIND("|",J122)),TRIM(LEFT(J122,FIND("|",J122)-1)),IF(ISNUMBER(MATCH(J122,Config!$F$1:$F$224,0)),J122,IFERROR(INDEX(Config!$F$1:$F$224,MATCH(J122,Config!$G$1:$G$224,0)),""))))</f>
        <v>LPD07960</v>
      </c>
      <c r="J122" s="12" t="str">
        <f>IFERROR(INDEX($J$16:J121,MATCH(C122,$C$16:C121,0)),"")</f>
        <v>F. ZAINATHBEE</v>
      </c>
    </row>
    <row r="123" spans="1:10" ht="12" customHeight="1" x14ac:dyDescent="0.35">
      <c r="A123" s="6" t="s">
        <v>120</v>
      </c>
      <c r="B123" s="6" t="s">
        <v>93</v>
      </c>
      <c r="C123" s="6" t="s">
        <v>141</v>
      </c>
      <c r="D123" s="7" t="str">
        <f>IF(E123="","",IF(ISNUMBER(FIND("|",E123)),TRIM(LEFT(E123,FIND("|",E123)-1)),IF(ISNUMBER(MATCH(E123,Config!$C$1:$C$211,0)),E123,IFERROR(INDEX(Config!$C$1:$C$211,MATCH(E123,Config!$D$1:$D$211,0)),""))))</f>
        <v>OP-0076</v>
      </c>
      <c r="E123" s="8" t="s">
        <v>146</v>
      </c>
      <c r="F123" s="9">
        <v>12</v>
      </c>
      <c r="G123" s="10">
        <f t="shared" si="2"/>
        <v>134</v>
      </c>
      <c r="H123" s="11">
        <f t="shared" si="3"/>
        <v>3.3333333333333335E-3</v>
      </c>
      <c r="I123" s="7" t="str">
        <f>IF(J123="","",IF(ISNUMBER(FIND("|",J123)),TRIM(LEFT(J123,FIND("|",J123)-1)),IF(ISNUMBER(MATCH(J123,Config!$F$1:$F$224,0)),J123,IFERROR(INDEX(Config!$F$1:$F$224,MATCH(J123,Config!$G$1:$G$224,0)),""))))</f>
        <v>LPD10526</v>
      </c>
      <c r="J123" s="12" t="str">
        <f>IFERROR(INDEX($J$16:J122,MATCH(C123,$C$16:C122,0)),"")</f>
        <v>SHAKEERA</v>
      </c>
    </row>
    <row r="124" spans="1:10" ht="12" customHeight="1" x14ac:dyDescent="0.35">
      <c r="A124" s="6" t="s">
        <v>120</v>
      </c>
      <c r="B124" s="6" t="s">
        <v>93</v>
      </c>
      <c r="C124" s="6" t="s">
        <v>138</v>
      </c>
      <c r="D124" s="7" t="str">
        <f>IF(E124="","",IF(ISNUMBER(FIND("|",E124)),TRIM(LEFT(E124,FIND("|",E124)-1)),IF(ISNUMBER(MATCH(E124,Config!$C$1:$C$211,0)),E124,IFERROR(INDEX(Config!$C$1:$C$211,MATCH(E124,Config!$D$1:$D$211,0)),""))))</f>
        <v>OP-0077</v>
      </c>
      <c r="E124" s="8" t="s">
        <v>147</v>
      </c>
      <c r="F124" s="9">
        <v>6</v>
      </c>
      <c r="G124" s="10">
        <f t="shared" si="2"/>
        <v>134</v>
      </c>
      <c r="H124" s="11">
        <f t="shared" si="3"/>
        <v>1.6666666666666668E-3</v>
      </c>
      <c r="I124" s="7" t="str">
        <f>IF(J124="","",IF(ISNUMBER(FIND("|",J124)),TRIM(LEFT(J124,FIND("|",J124)-1)),IF(ISNUMBER(MATCH(J124,Config!$F$1:$F$224,0)),J124,IFERROR(INDEX(Config!$F$1:$F$224,MATCH(J124,Config!$G$1:$G$224,0)),""))))</f>
        <v>LPD07960</v>
      </c>
      <c r="J124" s="12" t="str">
        <f>IFERROR(INDEX($J$16:J123,MATCH(C124,$C$16:C123,0)),"")</f>
        <v>F. ZAINATHBEE</v>
      </c>
    </row>
    <row r="125" spans="1:10" ht="12" customHeight="1" x14ac:dyDescent="0.35">
      <c r="A125" s="6" t="s">
        <v>120</v>
      </c>
      <c r="B125" s="6" t="s">
        <v>93</v>
      </c>
      <c r="C125" s="6" t="s">
        <v>141</v>
      </c>
      <c r="D125" s="7" t="str">
        <f>IF(E125="","",IF(ISNUMBER(FIND("|",E125)),TRIM(LEFT(E125,FIND("|",E125)-1)),IF(ISNUMBER(MATCH(E125,Config!$C$1:$C$211,0)),E125,IFERROR(INDEX(Config!$C$1:$C$211,MATCH(E125,Config!$D$1:$D$211,0)),""))))</f>
        <v>OP-0077</v>
      </c>
      <c r="E125" s="8" t="s">
        <v>147</v>
      </c>
      <c r="F125" s="9">
        <v>6</v>
      </c>
      <c r="G125" s="10">
        <f t="shared" si="2"/>
        <v>134</v>
      </c>
      <c r="H125" s="11">
        <f t="shared" si="3"/>
        <v>1.6666666666666668E-3</v>
      </c>
      <c r="I125" s="7" t="str">
        <f>IF(J125="","",IF(ISNUMBER(FIND("|",J125)),TRIM(LEFT(J125,FIND("|",J125)-1)),IF(ISNUMBER(MATCH(J125,Config!$F$1:$F$224,0)),J125,IFERROR(INDEX(Config!$F$1:$F$224,MATCH(J125,Config!$G$1:$G$224,0)),""))))</f>
        <v>LPD10526</v>
      </c>
      <c r="J125" s="12" t="str">
        <f>IFERROR(INDEX($J$16:J124,MATCH(C125,$C$16:C124,0)),"")</f>
        <v>SHAKEERA</v>
      </c>
    </row>
    <row r="126" spans="1:10" ht="12" customHeight="1" x14ac:dyDescent="0.35">
      <c r="A126" s="6" t="s">
        <v>120</v>
      </c>
      <c r="B126" s="6" t="s">
        <v>93</v>
      </c>
      <c r="C126" s="6" t="s">
        <v>138</v>
      </c>
      <c r="D126" s="7" t="str">
        <f>IF(E126="","",IF(ISNUMBER(FIND("|",E126)),TRIM(LEFT(E126,FIND("|",E126)-1)),IF(ISNUMBER(MATCH(E126,Config!$C$1:$C$211,0)),E126,IFERROR(INDEX(Config!$C$1:$C$211,MATCH(E126,Config!$D$1:$D$211,0)),""))))</f>
        <v>OP-0078</v>
      </c>
      <c r="E126" s="8" t="s">
        <v>148</v>
      </c>
      <c r="F126" s="9">
        <v>16</v>
      </c>
      <c r="G126" s="10">
        <f t="shared" si="2"/>
        <v>134</v>
      </c>
      <c r="H126" s="11">
        <f t="shared" si="3"/>
        <v>4.4444444444444444E-3</v>
      </c>
      <c r="I126" s="7" t="str">
        <f>IF(J126="","",IF(ISNUMBER(FIND("|",J126)),TRIM(LEFT(J126,FIND("|",J126)-1)),IF(ISNUMBER(MATCH(J126,Config!$F$1:$F$224,0)),J126,IFERROR(INDEX(Config!$F$1:$F$224,MATCH(J126,Config!$G$1:$G$224,0)),""))))</f>
        <v>LPD07960</v>
      </c>
      <c r="J126" s="12" t="str">
        <f>IFERROR(INDEX($J$16:J125,MATCH(C126,$C$16:C125,0)),"")</f>
        <v>F. ZAINATHBEE</v>
      </c>
    </row>
    <row r="127" spans="1:10" ht="12" customHeight="1" x14ac:dyDescent="0.35">
      <c r="A127" s="6" t="s">
        <v>120</v>
      </c>
      <c r="B127" s="6" t="s">
        <v>93</v>
      </c>
      <c r="C127" s="6" t="s">
        <v>141</v>
      </c>
      <c r="D127" s="7" t="str">
        <f>IF(E127="","",IF(ISNUMBER(FIND("|",E127)),TRIM(LEFT(E127,FIND("|",E127)-1)),IF(ISNUMBER(MATCH(E127,Config!$C$1:$C$211,0)),E127,IFERROR(INDEX(Config!$C$1:$C$211,MATCH(E127,Config!$D$1:$D$211,0)),""))))</f>
        <v>OP-0078</v>
      </c>
      <c r="E127" s="8" t="s">
        <v>148</v>
      </c>
      <c r="F127" s="9">
        <v>16</v>
      </c>
      <c r="G127" s="10">
        <f t="shared" si="2"/>
        <v>134</v>
      </c>
      <c r="H127" s="11">
        <f t="shared" si="3"/>
        <v>4.4444444444444444E-3</v>
      </c>
      <c r="I127" s="7" t="str">
        <f>IF(J127="","",IF(ISNUMBER(FIND("|",J127)),TRIM(LEFT(J127,FIND("|",J127)-1)),IF(ISNUMBER(MATCH(J127,Config!$F$1:$F$224,0)),J127,IFERROR(INDEX(Config!$F$1:$F$224,MATCH(J127,Config!$G$1:$G$224,0)),""))))</f>
        <v>LPD10526</v>
      </c>
      <c r="J127" s="12" t="str">
        <f>IFERROR(INDEX($J$16:J126,MATCH(C127,$C$16:C126,0)),"")</f>
        <v>SHAKEERA</v>
      </c>
    </row>
    <row r="128" spans="1:10" ht="12" customHeight="1" x14ac:dyDescent="0.35">
      <c r="A128" s="6" t="s">
        <v>120</v>
      </c>
      <c r="B128" s="6" t="s">
        <v>93</v>
      </c>
      <c r="C128" s="6" t="s">
        <v>138</v>
      </c>
      <c r="D128" s="7" t="str">
        <f>IF(E128="","",IF(ISNUMBER(FIND("|",E128)),TRIM(LEFT(E128,FIND("|",E128)-1)),IF(ISNUMBER(MATCH(E128,Config!$C$1:$C$211,0)),E128,IFERROR(INDEX(Config!$C$1:$C$211,MATCH(E128,Config!$D$1:$D$211,0)),""))))</f>
        <v>OP-0079</v>
      </c>
      <c r="E128" s="8" t="s">
        <v>149</v>
      </c>
      <c r="F128" s="9">
        <v>20</v>
      </c>
      <c r="G128" s="10">
        <f t="shared" si="2"/>
        <v>134</v>
      </c>
      <c r="H128" s="11">
        <f t="shared" si="3"/>
        <v>5.5555555555555558E-3</v>
      </c>
      <c r="I128" s="7" t="str">
        <f>IF(J128="","",IF(ISNUMBER(FIND("|",J128)),TRIM(LEFT(J128,FIND("|",J128)-1)),IF(ISNUMBER(MATCH(J128,Config!$F$1:$F$224,0)),J128,IFERROR(INDEX(Config!$F$1:$F$224,MATCH(J128,Config!$G$1:$G$224,0)),""))))</f>
        <v>LPD07960</v>
      </c>
      <c r="J128" s="12" t="str">
        <f>IFERROR(INDEX($J$16:J127,MATCH(C128,$C$16:C127,0)),"")</f>
        <v>F. ZAINATHBEE</v>
      </c>
    </row>
    <row r="129" spans="1:10" ht="12" customHeight="1" x14ac:dyDescent="0.35">
      <c r="A129" s="6" t="s">
        <v>120</v>
      </c>
      <c r="B129" s="6" t="s">
        <v>93</v>
      </c>
      <c r="C129" s="6" t="s">
        <v>141</v>
      </c>
      <c r="D129" s="7" t="str">
        <f>IF(E129="","",IF(ISNUMBER(FIND("|",E129)),TRIM(LEFT(E129,FIND("|",E129)-1)),IF(ISNUMBER(MATCH(E129,Config!$C$1:$C$211,0)),E129,IFERROR(INDEX(Config!$C$1:$C$211,MATCH(E129,Config!$D$1:$D$211,0)),""))))</f>
        <v>OP-0079</v>
      </c>
      <c r="E129" s="8" t="s">
        <v>149</v>
      </c>
      <c r="F129" s="9">
        <v>20</v>
      </c>
      <c r="G129" s="10">
        <f t="shared" si="2"/>
        <v>134</v>
      </c>
      <c r="H129" s="11">
        <f t="shared" si="3"/>
        <v>5.5555555555555558E-3</v>
      </c>
      <c r="I129" s="7" t="str">
        <f>IF(J129="","",IF(ISNUMBER(FIND("|",J129)),TRIM(LEFT(J129,FIND("|",J129)-1)),IF(ISNUMBER(MATCH(J129,Config!$F$1:$F$224,0)),J129,IFERROR(INDEX(Config!$F$1:$F$224,MATCH(J129,Config!$G$1:$G$224,0)),""))))</f>
        <v>LPD10526</v>
      </c>
      <c r="J129" s="12" t="str">
        <f>IFERROR(INDEX($J$16:J128,MATCH(C129,$C$16:C128,0)),"")</f>
        <v>SHAKEERA</v>
      </c>
    </row>
    <row r="130" spans="1:10" ht="12" customHeight="1" x14ac:dyDescent="0.35">
      <c r="A130" s="6" t="s">
        <v>120</v>
      </c>
      <c r="B130" s="6" t="s">
        <v>93</v>
      </c>
      <c r="C130" s="6" t="s">
        <v>138</v>
      </c>
      <c r="D130" s="7" t="str">
        <f>IF(E130="","",IF(ISNUMBER(FIND("|",E130)),TRIM(LEFT(E130,FIND("|",E130)-1)),IF(ISNUMBER(MATCH(E130,Config!$C$1:$C$211,0)),E130,IFERROR(INDEX(Config!$C$1:$C$211,MATCH(E130,Config!$D$1:$D$211,0)),""))))</f>
        <v>OP-0080</v>
      </c>
      <c r="E130" s="8" t="s">
        <v>150</v>
      </c>
      <c r="F130" s="9">
        <v>10</v>
      </c>
      <c r="G130" s="10">
        <f t="shared" si="2"/>
        <v>134</v>
      </c>
      <c r="H130" s="11">
        <f t="shared" si="3"/>
        <v>2.7777777777777779E-3</v>
      </c>
      <c r="I130" s="7" t="str">
        <f>IF(J130="","",IF(ISNUMBER(FIND("|",J130)),TRIM(LEFT(J130,FIND("|",J130)-1)),IF(ISNUMBER(MATCH(J130,Config!$F$1:$F$224,0)),J130,IFERROR(INDEX(Config!$F$1:$F$224,MATCH(J130,Config!$G$1:$G$224,0)),""))))</f>
        <v>LPD07960</v>
      </c>
      <c r="J130" s="12" t="str">
        <f>IFERROR(INDEX($J$16:J129,MATCH(C130,$C$16:C129,0)),"")</f>
        <v>F. ZAINATHBEE</v>
      </c>
    </row>
    <row r="131" spans="1:10" ht="12" customHeight="1" x14ac:dyDescent="0.35">
      <c r="A131" s="6" t="s">
        <v>120</v>
      </c>
      <c r="B131" s="6" t="s">
        <v>93</v>
      </c>
      <c r="C131" s="6" t="s">
        <v>141</v>
      </c>
      <c r="D131" s="7" t="str">
        <f>IF(E131="","",IF(ISNUMBER(FIND("|",E131)),TRIM(LEFT(E131,FIND("|",E131)-1)),IF(ISNUMBER(MATCH(E131,Config!$C$1:$C$211,0)),E131,IFERROR(INDEX(Config!$C$1:$C$211,MATCH(E131,Config!$D$1:$D$211,0)),""))))</f>
        <v>OP-0080</v>
      </c>
      <c r="E131" s="8" t="s">
        <v>150</v>
      </c>
      <c r="F131" s="9">
        <v>10</v>
      </c>
      <c r="G131" s="10">
        <f t="shared" si="2"/>
        <v>134</v>
      </c>
      <c r="H131" s="11">
        <f t="shared" si="3"/>
        <v>2.7777777777777779E-3</v>
      </c>
      <c r="I131" s="7" t="str">
        <f>IF(J131="","",IF(ISNUMBER(FIND("|",J131)),TRIM(LEFT(J131,FIND("|",J131)-1)),IF(ISNUMBER(MATCH(J131,Config!$F$1:$F$224,0)),J131,IFERROR(INDEX(Config!$F$1:$F$224,MATCH(J131,Config!$G$1:$G$224,0)),""))))</f>
        <v>LPD10526</v>
      </c>
      <c r="J131" s="12" t="str">
        <f>IFERROR(INDEX($J$16:J130,MATCH(C131,$C$16:C130,0)),"")</f>
        <v>SHAKEERA</v>
      </c>
    </row>
    <row r="132" spans="1:10" ht="12" customHeight="1" x14ac:dyDescent="0.35">
      <c r="A132" s="6" t="s">
        <v>120</v>
      </c>
      <c r="B132" s="6" t="s">
        <v>93</v>
      </c>
      <c r="C132" s="6" t="s">
        <v>138</v>
      </c>
      <c r="D132" s="7" t="str">
        <f>IF(E132="","",IF(ISNUMBER(FIND("|",E132)),TRIM(LEFT(E132,FIND("|",E132)-1)),IF(ISNUMBER(MATCH(E132,Config!$C$1:$C$211,0)),E132,IFERROR(INDEX(Config!$C$1:$C$211,MATCH(E132,Config!$D$1:$D$211,0)),""))))</f>
        <v>OP-0081</v>
      </c>
      <c r="E132" s="8" t="s">
        <v>151</v>
      </c>
      <c r="F132" s="9">
        <v>10</v>
      </c>
      <c r="G132" s="10">
        <f t="shared" si="2"/>
        <v>134</v>
      </c>
      <c r="H132" s="11">
        <f t="shared" si="3"/>
        <v>2.7777777777777779E-3</v>
      </c>
      <c r="I132" s="7" t="str">
        <f>IF(J132="","",IF(ISNUMBER(FIND("|",J132)),TRIM(LEFT(J132,FIND("|",J132)-1)),IF(ISNUMBER(MATCH(J132,Config!$F$1:$F$224,0)),J132,IFERROR(INDEX(Config!$F$1:$F$224,MATCH(J132,Config!$G$1:$G$224,0)),""))))</f>
        <v>LPD07960</v>
      </c>
      <c r="J132" s="12" t="str">
        <f>IFERROR(INDEX($J$16:J131,MATCH(C132,$C$16:C131,0)),"")</f>
        <v>F. ZAINATHBEE</v>
      </c>
    </row>
    <row r="133" spans="1:10" ht="12" customHeight="1" x14ac:dyDescent="0.35">
      <c r="A133" s="6" t="s">
        <v>120</v>
      </c>
      <c r="B133" s="6" t="s">
        <v>93</v>
      </c>
      <c r="C133" s="6" t="s">
        <v>141</v>
      </c>
      <c r="D133" s="7" t="str">
        <f>IF(E133="","",IF(ISNUMBER(FIND("|",E133)),TRIM(LEFT(E133,FIND("|",E133)-1)),IF(ISNUMBER(MATCH(E133,Config!$C$1:$C$211,0)),E133,IFERROR(INDEX(Config!$C$1:$C$211,MATCH(E133,Config!$D$1:$D$211,0)),""))))</f>
        <v>OP-0081</v>
      </c>
      <c r="E133" s="8" t="s">
        <v>151</v>
      </c>
      <c r="F133" s="9">
        <v>10</v>
      </c>
      <c r="G133" s="10">
        <f t="shared" si="2"/>
        <v>134</v>
      </c>
      <c r="H133" s="11">
        <f t="shared" si="3"/>
        <v>2.7777777777777779E-3</v>
      </c>
      <c r="I133" s="7" t="str">
        <f>IF(J133="","",IF(ISNUMBER(FIND("|",J133)),TRIM(LEFT(J133,FIND("|",J133)-1)),IF(ISNUMBER(MATCH(J133,Config!$F$1:$F$224,0)),J133,IFERROR(INDEX(Config!$F$1:$F$224,MATCH(J133,Config!$G$1:$G$224,0)),""))))</f>
        <v>LPD10526</v>
      </c>
      <c r="J133" s="12" t="str">
        <f>IFERROR(INDEX($J$16:J132,MATCH(C133,$C$16:C132,0)),"")</f>
        <v>SHAKEERA</v>
      </c>
    </row>
    <row r="134" spans="1:10" ht="12" customHeight="1" x14ac:dyDescent="0.35">
      <c r="A134" s="6" t="s">
        <v>152</v>
      </c>
      <c r="B134" s="6" t="s">
        <v>93</v>
      </c>
      <c r="C134" s="6" t="s">
        <v>153</v>
      </c>
      <c r="D134" s="7" t="str">
        <f>IF(E134="","",IF(ISNUMBER(FIND("|",E134)),TRIM(LEFT(E134,FIND("|",E134)-1)),IF(ISNUMBER(MATCH(E134,Config!$C$1:$C$211,0)),E134,IFERROR(INDEX(Config!$C$1:$C$211,MATCH(E134,Config!$D$1:$D$211,0)),""))))</f>
        <v>OP-0082</v>
      </c>
      <c r="E134" s="8" t="s">
        <v>154</v>
      </c>
      <c r="F134" s="9">
        <v>12</v>
      </c>
      <c r="G134" s="10">
        <f t="shared" si="2"/>
        <v>32</v>
      </c>
      <c r="H134" s="11">
        <f t="shared" si="3"/>
        <v>3.3333333333333335E-3</v>
      </c>
      <c r="I134" s="7" t="str">
        <f>IF(J134="","",IF(ISNUMBER(FIND("|",J134)),TRIM(LEFT(J134,FIND("|",J134)-1)),IF(ISNUMBER(MATCH(J134,Config!$F$1:$F$224,0)),J134,IFERROR(INDEX(Config!$F$1:$F$224,MATCH(J134,Config!$G$1:$G$224,0)),""))))</f>
        <v>LPD09853</v>
      </c>
      <c r="J134" s="8" t="s">
        <v>155</v>
      </c>
    </row>
    <row r="135" spans="1:10" ht="12" customHeight="1" x14ac:dyDescent="0.35">
      <c r="A135" s="6" t="s">
        <v>152</v>
      </c>
      <c r="B135" s="6" t="s">
        <v>93</v>
      </c>
      <c r="C135" s="6" t="s">
        <v>153</v>
      </c>
      <c r="D135" s="7" t="str">
        <f>IF(E135="","",IF(ISNUMBER(FIND("|",E135)),TRIM(LEFT(E135,FIND("|",E135)-1)),IF(ISNUMBER(MATCH(E135,Config!$C$1:$C$211,0)),E135,IFERROR(INDEX(Config!$C$1:$C$211,MATCH(E135,Config!$D$1:$D$211,0)),""))))</f>
        <v>OP-0082</v>
      </c>
      <c r="E135" s="8" t="s">
        <v>154</v>
      </c>
      <c r="F135" s="9">
        <v>20</v>
      </c>
      <c r="G135" s="10">
        <f t="shared" si="2"/>
        <v>32</v>
      </c>
      <c r="H135" s="11">
        <f t="shared" si="3"/>
        <v>5.5555555555555558E-3</v>
      </c>
      <c r="I135" s="7" t="str">
        <f>IF(J135="","",IF(ISNUMBER(FIND("|",J135)),TRIM(LEFT(J135,FIND("|",J135)-1)),IF(ISNUMBER(MATCH(J135,Config!$F$1:$F$224,0)),J135,IFERROR(INDEX(Config!$F$1:$F$224,MATCH(J135,Config!$G$1:$G$224,0)),""))))</f>
        <v>LPD09853</v>
      </c>
      <c r="J135" s="12" t="str">
        <f>IFERROR(INDEX($J$16:J134,MATCH(C135,$C$16:C134,0)),"")</f>
        <v>SUBAN</v>
      </c>
    </row>
    <row r="136" spans="1:10" ht="12" customHeight="1" x14ac:dyDescent="0.35">
      <c r="A136" s="6" t="s">
        <v>152</v>
      </c>
      <c r="B136" s="6" t="s">
        <v>93</v>
      </c>
      <c r="C136" s="6" t="s">
        <v>156</v>
      </c>
      <c r="D136" s="7" t="str">
        <f>IF(E136="","",IF(ISNUMBER(FIND("|",E136)),TRIM(LEFT(E136,FIND("|",E136)-1)),IF(ISNUMBER(MATCH(E136,Config!$C$1:$C$211,0)),E136,IFERROR(INDEX(Config!$C$1:$C$211,MATCH(E136,Config!$D$1:$D$211,0)),""))))</f>
        <v>OP-0083</v>
      </c>
      <c r="E136" s="8" t="s">
        <v>157</v>
      </c>
      <c r="F136" s="9">
        <v>20</v>
      </c>
      <c r="G136" s="10">
        <f t="shared" si="2"/>
        <v>52</v>
      </c>
      <c r="H136" s="11">
        <f t="shared" si="3"/>
        <v>5.5555555555555558E-3</v>
      </c>
      <c r="I136" s="7" t="str">
        <f>IF(J136="","",IF(ISNUMBER(FIND("|",J136)),TRIM(LEFT(J136,FIND("|",J136)-1)),IF(ISNUMBER(MATCH(J136,Config!$F$1:$F$224,0)),J136,IFERROR(INDEX(Config!$F$1:$F$224,MATCH(J136,Config!$G$1:$G$224,0)),""))))</f>
        <v>LPD11453</v>
      </c>
      <c r="J136" s="8" t="s">
        <v>158</v>
      </c>
    </row>
    <row r="137" spans="1:10" ht="12" customHeight="1" x14ac:dyDescent="0.35">
      <c r="A137" s="6" t="s">
        <v>152</v>
      </c>
      <c r="B137" s="6" t="s">
        <v>93</v>
      </c>
      <c r="C137" s="6" t="s">
        <v>156</v>
      </c>
      <c r="D137" s="7" t="str">
        <f>IF(E137="","",IF(ISNUMBER(FIND("|",E137)),TRIM(LEFT(E137,FIND("|",E137)-1)),IF(ISNUMBER(MATCH(E137,Config!$C$1:$C$211,0)),E137,IFERROR(INDEX(Config!$C$1:$C$211,MATCH(E137,Config!$D$1:$D$211,0)),""))))</f>
        <v>OP-0084</v>
      </c>
      <c r="E137" s="8" t="s">
        <v>159</v>
      </c>
      <c r="F137" s="9">
        <v>20</v>
      </c>
      <c r="G137" s="10">
        <f t="shared" si="2"/>
        <v>52</v>
      </c>
      <c r="H137" s="11">
        <f t="shared" si="3"/>
        <v>5.5555555555555558E-3</v>
      </c>
      <c r="I137" s="7" t="str">
        <f>IF(J137="","",IF(ISNUMBER(FIND("|",J137)),TRIM(LEFT(J137,FIND("|",J137)-1)),IF(ISNUMBER(MATCH(J137,Config!$F$1:$F$224,0)),J137,IFERROR(INDEX(Config!$F$1:$F$224,MATCH(J137,Config!$G$1:$G$224,0)),""))))</f>
        <v>LPD11453</v>
      </c>
      <c r="J137" s="12" t="str">
        <f>IFERROR(INDEX($J$16:J136,MATCH(C137,$C$16:C136,0)),"")</f>
        <v>MUNNI</v>
      </c>
    </row>
    <row r="138" spans="1:10" ht="12" customHeight="1" x14ac:dyDescent="0.35">
      <c r="A138" s="6" t="s">
        <v>152</v>
      </c>
      <c r="B138" s="6" t="s">
        <v>93</v>
      </c>
      <c r="C138" s="6" t="s">
        <v>156</v>
      </c>
      <c r="D138" s="7" t="str">
        <f>IF(E138="","",IF(ISNUMBER(FIND("|",E138)),TRIM(LEFT(E138,FIND("|",E138)-1)),IF(ISNUMBER(MATCH(E138,Config!$C$1:$C$211,0)),E138,IFERROR(INDEX(Config!$C$1:$C$211,MATCH(E138,Config!$D$1:$D$211,0)),""))))</f>
        <v>OP-0085</v>
      </c>
      <c r="E138" s="8" t="s">
        <v>160</v>
      </c>
      <c r="F138" s="9">
        <v>12</v>
      </c>
      <c r="G138" s="10">
        <f t="shared" si="2"/>
        <v>52</v>
      </c>
      <c r="H138" s="11">
        <f t="shared" si="3"/>
        <v>3.3333333333333335E-3</v>
      </c>
      <c r="I138" s="7" t="str">
        <f>IF(J138="","",IF(ISNUMBER(FIND("|",J138)),TRIM(LEFT(J138,FIND("|",J138)-1)),IF(ISNUMBER(MATCH(J138,Config!$F$1:$F$224,0)),J138,IFERROR(INDEX(Config!$F$1:$F$224,MATCH(J138,Config!$G$1:$G$224,0)),""))))</f>
        <v>LPD11453</v>
      </c>
      <c r="J138" s="12" t="str">
        <f>IFERROR(INDEX($J$16:J137,MATCH(C138,$C$16:C137,0)),"")</f>
        <v>MUNNI</v>
      </c>
    </row>
    <row r="139" spans="1:10" ht="12" customHeight="1" x14ac:dyDescent="0.35">
      <c r="A139" s="6" t="s">
        <v>152</v>
      </c>
      <c r="B139" s="6" t="s">
        <v>93</v>
      </c>
      <c r="C139" s="6" t="s">
        <v>161</v>
      </c>
      <c r="D139" s="7" t="str">
        <f>IF(E139="","",IF(ISNUMBER(FIND("|",E139)),TRIM(LEFT(E139,FIND("|",E139)-1)),IF(ISNUMBER(MATCH(E139,Config!$C$1:$C$211,0)),E139,IFERROR(INDEX(Config!$C$1:$C$211,MATCH(E139,Config!$D$1:$D$211,0)),""))))</f>
        <v>OP-0086</v>
      </c>
      <c r="E139" s="8" t="s">
        <v>162</v>
      </c>
      <c r="F139" s="9">
        <v>12</v>
      </c>
      <c r="G139" s="10">
        <f t="shared" si="2"/>
        <v>76</v>
      </c>
      <c r="H139" s="11">
        <f t="shared" si="3"/>
        <v>3.3333333333333335E-3</v>
      </c>
      <c r="I139" s="7" t="str">
        <f>IF(J139="","",IF(ISNUMBER(FIND("|",J139)),TRIM(LEFT(J139,FIND("|",J139)-1)),IF(ISNUMBER(MATCH(J139,Config!$F$1:$F$224,0)),J139,IFERROR(INDEX(Config!$F$1:$F$224,MATCH(J139,Config!$G$1:$G$224,0)),""))))</f>
        <v>LPDS95282</v>
      </c>
      <c r="J139" s="8" t="s">
        <v>163</v>
      </c>
    </row>
    <row r="140" spans="1:10" ht="12" customHeight="1" x14ac:dyDescent="0.35">
      <c r="A140" s="6" t="s">
        <v>152</v>
      </c>
      <c r="B140" s="6" t="s">
        <v>93</v>
      </c>
      <c r="C140" s="6" t="s">
        <v>161</v>
      </c>
      <c r="D140" s="7" t="str">
        <f>IF(E140="","",IF(ISNUMBER(FIND("|",E140)),TRIM(LEFT(E140,FIND("|",E140)-1)),IF(ISNUMBER(MATCH(E140,Config!$C$1:$C$211,0)),E140,IFERROR(INDEX(Config!$C$1:$C$211,MATCH(E140,Config!$D$1:$D$211,0)),""))))</f>
        <v>OP-0087</v>
      </c>
      <c r="E140" s="8" t="s">
        <v>164</v>
      </c>
      <c r="F140" s="9">
        <v>36</v>
      </c>
      <c r="G140" s="10">
        <f t="shared" si="2"/>
        <v>76</v>
      </c>
      <c r="H140" s="11">
        <f t="shared" si="3"/>
        <v>0.01</v>
      </c>
      <c r="I140" s="7" t="str">
        <f>IF(J140="","",IF(ISNUMBER(FIND("|",J140)),TRIM(LEFT(J140,FIND("|",J140)-1)),IF(ISNUMBER(MATCH(J140,Config!$F$1:$F$224,0)),J140,IFERROR(INDEX(Config!$F$1:$F$224,MATCH(J140,Config!$G$1:$G$224,0)),""))))</f>
        <v>LPDS95282</v>
      </c>
      <c r="J140" s="12" t="str">
        <f>IFERROR(INDEX($J$16:J139,MATCH(C140,$C$16:C139,0)),"")</f>
        <v>ASEENA</v>
      </c>
    </row>
    <row r="141" spans="1:10" ht="12" customHeight="1" x14ac:dyDescent="0.35">
      <c r="A141" s="6" t="s">
        <v>152</v>
      </c>
      <c r="B141" s="6" t="s">
        <v>93</v>
      </c>
      <c r="C141" s="6" t="s">
        <v>161</v>
      </c>
      <c r="D141" s="7" t="str">
        <f>IF(E141="","",IF(ISNUMBER(FIND("|",E141)),TRIM(LEFT(E141,FIND("|",E141)-1)),IF(ISNUMBER(MATCH(E141,Config!$C$1:$C$211,0)),E141,IFERROR(INDEX(Config!$C$1:$C$211,MATCH(E141,Config!$D$1:$D$211,0)),""))))</f>
        <v>OP-0088</v>
      </c>
      <c r="E141" s="8" t="s">
        <v>165</v>
      </c>
      <c r="F141" s="9">
        <v>28</v>
      </c>
      <c r="G141" s="10">
        <f t="shared" si="2"/>
        <v>76</v>
      </c>
      <c r="H141" s="11">
        <f t="shared" si="3"/>
        <v>7.7777777777777776E-3</v>
      </c>
      <c r="I141" s="7" t="str">
        <f>IF(J141="","",IF(ISNUMBER(FIND("|",J141)),TRIM(LEFT(J141,FIND("|",J141)-1)),IF(ISNUMBER(MATCH(J141,Config!$F$1:$F$224,0)),J141,IFERROR(INDEX(Config!$F$1:$F$224,MATCH(J141,Config!$G$1:$G$224,0)),""))))</f>
        <v>LPDS95282</v>
      </c>
      <c r="J141" s="12" t="str">
        <f>IFERROR(INDEX($J$16:J140,MATCH(C141,$C$16:C140,0)),"")</f>
        <v>ASEENA</v>
      </c>
    </row>
    <row r="142" spans="1:10" ht="12" customHeight="1" x14ac:dyDescent="0.35">
      <c r="A142" s="6" t="s">
        <v>152</v>
      </c>
      <c r="B142" s="6" t="s">
        <v>93</v>
      </c>
      <c r="C142" s="6" t="s">
        <v>166</v>
      </c>
      <c r="D142" s="7" t="str">
        <f>IF(E142="","",IF(ISNUMBER(FIND("|",E142)),TRIM(LEFT(E142,FIND("|",E142)-1)),IF(ISNUMBER(MATCH(E142,Config!$C$1:$C$211,0)),E142,IFERROR(INDEX(Config!$C$1:$C$211,MATCH(E142,Config!$D$1:$D$211,0)),""))))</f>
        <v>OP-0089</v>
      </c>
      <c r="E142" s="8" t="s">
        <v>167</v>
      </c>
      <c r="F142" s="9">
        <v>42</v>
      </c>
      <c r="G142" s="10">
        <f t="shared" si="2"/>
        <v>42</v>
      </c>
      <c r="H142" s="11">
        <f t="shared" si="3"/>
        <v>1.1666666666666667E-2</v>
      </c>
      <c r="I142" s="7" t="str">
        <f>IF(J142="","",IF(ISNUMBER(FIND("|",J142)),TRIM(LEFT(J142,FIND("|",J142)-1)),IF(ISNUMBER(MATCH(J142,Config!$F$1:$F$224,0)),J142,IFERROR(INDEX(Config!$F$1:$F$224,MATCH(J142,Config!$G$1:$G$224,0)),""))))</f>
        <v>LPD10530</v>
      </c>
      <c r="J142" s="8" t="s">
        <v>168</v>
      </c>
    </row>
    <row r="143" spans="1:10" ht="12" customHeight="1" x14ac:dyDescent="0.35">
      <c r="A143" s="6" t="s">
        <v>169</v>
      </c>
      <c r="B143" s="6" t="s">
        <v>170</v>
      </c>
      <c r="C143" s="6" t="s">
        <v>171</v>
      </c>
      <c r="D143" s="7" t="str">
        <f>IF(E143="","",IF(ISNUMBER(FIND("|",E143)),TRIM(LEFT(E143,FIND("|",E143)-1)),IF(ISNUMBER(MATCH(E143,Config!$C$1:$C$211,0)),E143,IFERROR(INDEX(Config!$C$1:$C$211,MATCH(E143,Config!$D$1:$D$211,0)),""))))</f>
        <v>OP-0090</v>
      </c>
      <c r="E143" s="8" t="s">
        <v>172</v>
      </c>
      <c r="F143" s="9">
        <v>14</v>
      </c>
      <c r="G143" s="10">
        <f t="shared" si="2"/>
        <v>58</v>
      </c>
      <c r="H143" s="11">
        <f t="shared" si="3"/>
        <v>3.8888888888888888E-3</v>
      </c>
      <c r="I143" s="7" t="str">
        <f>IF(J143="","",IF(ISNUMBER(FIND("|",J143)),TRIM(LEFT(J143,FIND("|",J143)-1)),IF(ISNUMBER(MATCH(J143,Config!$F$1:$F$224,0)),J143,IFERROR(INDEX(Config!$F$1:$F$224,MATCH(J143,Config!$G$1:$G$224,0)),""))))</f>
        <v>LPD01611</v>
      </c>
      <c r="J143" s="8" t="s">
        <v>173</v>
      </c>
    </row>
    <row r="144" spans="1:10" ht="12" customHeight="1" x14ac:dyDescent="0.35">
      <c r="A144" s="6" t="s">
        <v>169</v>
      </c>
      <c r="B144" s="6" t="s">
        <v>170</v>
      </c>
      <c r="C144" s="6" t="s">
        <v>171</v>
      </c>
      <c r="D144" s="7" t="str">
        <f>IF(E144="","",IF(ISNUMBER(FIND("|",E144)),TRIM(LEFT(E144,FIND("|",E144)-1)),IF(ISNUMBER(MATCH(E144,Config!$C$1:$C$211,0)),E144,IFERROR(INDEX(Config!$C$1:$C$211,MATCH(E144,Config!$D$1:$D$211,0)),""))))</f>
        <v>OP-0091</v>
      </c>
      <c r="E144" s="8" t="s">
        <v>174</v>
      </c>
      <c r="F144" s="9">
        <v>16</v>
      </c>
      <c r="G144" s="10">
        <f t="shared" ref="G144:G207" si="4">SUMIF($C$16:$C$241,C144,$F$16:$F$241)</f>
        <v>58</v>
      </c>
      <c r="H144" s="11">
        <f t="shared" ref="H144:H207" si="5">F144/3600</f>
        <v>4.4444444444444444E-3</v>
      </c>
      <c r="I144" s="7" t="str">
        <f>IF(J144="","",IF(ISNUMBER(FIND("|",J144)),TRIM(LEFT(J144,FIND("|",J144)-1)),IF(ISNUMBER(MATCH(J144,Config!$F$1:$F$224,0)),J144,IFERROR(INDEX(Config!$F$1:$F$224,MATCH(J144,Config!$G$1:$G$224,0)),""))))</f>
        <v>LPD01611</v>
      </c>
      <c r="J144" s="12" t="str">
        <f>IFERROR(INDEX($J$16:J143,MATCH(C144,$C$16:C143,0)),"")</f>
        <v>SARASWATHI</v>
      </c>
    </row>
    <row r="145" spans="1:10" ht="12" customHeight="1" x14ac:dyDescent="0.35">
      <c r="A145" s="6" t="s">
        <v>169</v>
      </c>
      <c r="B145" s="6" t="s">
        <v>170</v>
      </c>
      <c r="C145" s="6" t="s">
        <v>171</v>
      </c>
      <c r="D145" s="7" t="str">
        <f>IF(E145="","",IF(ISNUMBER(FIND("|",E145)),TRIM(LEFT(E145,FIND("|",E145)-1)),IF(ISNUMBER(MATCH(E145,Config!$C$1:$C$211,0)),E145,IFERROR(INDEX(Config!$C$1:$C$211,MATCH(E145,Config!$D$1:$D$211,0)),""))))</f>
        <v>OP-0092</v>
      </c>
      <c r="E145" s="8" t="s">
        <v>175</v>
      </c>
      <c r="F145" s="9">
        <v>28</v>
      </c>
      <c r="G145" s="10">
        <f t="shared" si="4"/>
        <v>58</v>
      </c>
      <c r="H145" s="11">
        <f t="shared" si="5"/>
        <v>7.7777777777777776E-3</v>
      </c>
      <c r="I145" s="7" t="str">
        <f>IF(J145="","",IF(ISNUMBER(FIND("|",J145)),TRIM(LEFT(J145,FIND("|",J145)-1)),IF(ISNUMBER(MATCH(J145,Config!$F$1:$F$224,0)),J145,IFERROR(INDEX(Config!$F$1:$F$224,MATCH(J145,Config!$G$1:$G$224,0)),""))))</f>
        <v>LPD01611</v>
      </c>
      <c r="J145" s="12" t="str">
        <f>IFERROR(INDEX($J$16:J144,MATCH(C145,$C$16:C144,0)),"")</f>
        <v>SARASWATHI</v>
      </c>
    </row>
    <row r="146" spans="1:10" ht="12" customHeight="1" x14ac:dyDescent="0.35">
      <c r="A146" s="6" t="s">
        <v>169</v>
      </c>
      <c r="B146" s="6" t="s">
        <v>170</v>
      </c>
      <c r="C146" s="6" t="s">
        <v>176</v>
      </c>
      <c r="D146" s="7" t="str">
        <f>IF(E146="","",IF(ISNUMBER(FIND("|",E146)),TRIM(LEFT(E146,FIND("|",E146)-1)),IF(ISNUMBER(MATCH(E146,Config!$C$1:$C$211,0)),E146,IFERROR(INDEX(Config!$C$1:$C$211,MATCH(E146,Config!$D$1:$D$211,0)),""))))</f>
        <v>OP-0093</v>
      </c>
      <c r="E146" s="8" t="s">
        <v>177</v>
      </c>
      <c r="F146" s="9">
        <v>12</v>
      </c>
      <c r="G146" s="10">
        <f t="shared" si="4"/>
        <v>38</v>
      </c>
      <c r="H146" s="11">
        <f t="shared" si="5"/>
        <v>3.3333333333333335E-3</v>
      </c>
      <c r="I146" s="7" t="str">
        <f>IF(J146="","",IF(ISNUMBER(FIND("|",J146)),TRIM(LEFT(J146,FIND("|",J146)-1)),IF(ISNUMBER(MATCH(J146,Config!$F$1:$F$224,0)),J146,IFERROR(INDEX(Config!$F$1:$F$224,MATCH(J146,Config!$G$1:$G$224,0)),""))))</f>
        <v>LPD12097</v>
      </c>
      <c r="J146" s="8" t="s">
        <v>178</v>
      </c>
    </row>
    <row r="147" spans="1:10" ht="12" customHeight="1" x14ac:dyDescent="0.35">
      <c r="A147" s="6" t="s">
        <v>169</v>
      </c>
      <c r="B147" s="6" t="s">
        <v>170</v>
      </c>
      <c r="C147" s="6" t="s">
        <v>176</v>
      </c>
      <c r="D147" s="7" t="str">
        <f>IF(E147="","",IF(ISNUMBER(FIND("|",E147)),TRIM(LEFT(E147,FIND("|",E147)-1)),IF(ISNUMBER(MATCH(E147,Config!$C$1:$C$211,0)),E147,IFERROR(INDEX(Config!$C$1:$C$211,MATCH(E147,Config!$D$1:$D$211,0)),""))))</f>
        <v>OP-0094</v>
      </c>
      <c r="E147" s="8" t="s">
        <v>179</v>
      </c>
      <c r="F147" s="9">
        <v>12</v>
      </c>
      <c r="G147" s="10">
        <f t="shared" si="4"/>
        <v>38</v>
      </c>
      <c r="H147" s="11">
        <f t="shared" si="5"/>
        <v>3.3333333333333335E-3</v>
      </c>
      <c r="I147" s="7" t="str">
        <f>IF(J147="","",IF(ISNUMBER(FIND("|",J147)),TRIM(LEFT(J147,FIND("|",J147)-1)),IF(ISNUMBER(MATCH(J147,Config!$F$1:$F$224,0)),J147,IFERROR(INDEX(Config!$F$1:$F$224,MATCH(J147,Config!$G$1:$G$224,0)),""))))</f>
        <v>LPD12097</v>
      </c>
      <c r="J147" s="12" t="str">
        <f>IFERROR(INDEX($J$16:J146,MATCH(C147,$C$16:C146,0)),"")</f>
        <v>R STELLA</v>
      </c>
    </row>
    <row r="148" spans="1:10" ht="12" customHeight="1" x14ac:dyDescent="0.35">
      <c r="A148" s="6" t="s">
        <v>169</v>
      </c>
      <c r="B148" s="6" t="s">
        <v>170</v>
      </c>
      <c r="C148" s="6" t="s">
        <v>176</v>
      </c>
      <c r="D148" s="7" t="str">
        <f>IF(E148="","",IF(ISNUMBER(FIND("|",E148)),TRIM(LEFT(E148,FIND("|",E148)-1)),IF(ISNUMBER(MATCH(E148,Config!$C$1:$C$211,0)),E148,IFERROR(INDEX(Config!$C$1:$C$211,MATCH(E148,Config!$D$1:$D$211,0)),""))))</f>
        <v>OP-0095</v>
      </c>
      <c r="E148" s="8" t="s">
        <v>180</v>
      </c>
      <c r="F148" s="9">
        <v>14</v>
      </c>
      <c r="G148" s="10">
        <f t="shared" si="4"/>
        <v>38</v>
      </c>
      <c r="H148" s="11">
        <f t="shared" si="5"/>
        <v>3.8888888888888888E-3</v>
      </c>
      <c r="I148" s="7" t="str">
        <f>IF(J148="","",IF(ISNUMBER(FIND("|",J148)),TRIM(LEFT(J148,FIND("|",J148)-1)),IF(ISNUMBER(MATCH(J148,Config!$F$1:$F$224,0)),J148,IFERROR(INDEX(Config!$F$1:$F$224,MATCH(J148,Config!$G$1:$G$224,0)),""))))</f>
        <v>LPD12097</v>
      </c>
      <c r="J148" s="12" t="str">
        <f>IFERROR(INDEX($J$16:J147,MATCH(C148,$C$16:C147,0)),"")</f>
        <v>R STELLA</v>
      </c>
    </row>
    <row r="149" spans="1:10" ht="12" customHeight="1" x14ac:dyDescent="0.35">
      <c r="A149" s="6" t="s">
        <v>169</v>
      </c>
      <c r="B149" s="6" t="s">
        <v>170</v>
      </c>
      <c r="C149" s="6" t="s">
        <v>181</v>
      </c>
      <c r="D149" s="7" t="str">
        <f>IF(E149="","",IF(ISNUMBER(FIND("|",E149)),TRIM(LEFT(E149,FIND("|",E149)-1)),IF(ISNUMBER(MATCH(E149,Config!$C$1:$C$211,0)),E149,IFERROR(INDEX(Config!$C$1:$C$211,MATCH(E149,Config!$D$1:$D$211,0)),""))))</f>
        <v>OP-0096</v>
      </c>
      <c r="E149" s="8" t="s">
        <v>182</v>
      </c>
      <c r="F149" s="9">
        <v>18</v>
      </c>
      <c r="G149" s="10">
        <f t="shared" si="4"/>
        <v>72</v>
      </c>
      <c r="H149" s="11">
        <f t="shared" si="5"/>
        <v>5.0000000000000001E-3</v>
      </c>
      <c r="I149" s="7" t="str">
        <f>IF(J149="","",IF(ISNUMBER(FIND("|",J149)),TRIM(LEFT(J149,FIND("|",J149)-1)),IF(ISNUMBER(MATCH(J149,Config!$F$1:$F$224,0)),J149,IFERROR(INDEX(Config!$F$1:$F$224,MATCH(J149,Config!$G$1:$G$224,0)),""))))</f>
        <v>LPD11314</v>
      </c>
      <c r="J149" s="8" t="s">
        <v>183</v>
      </c>
    </row>
    <row r="150" spans="1:10" ht="12" customHeight="1" x14ac:dyDescent="0.35">
      <c r="A150" s="6" t="s">
        <v>169</v>
      </c>
      <c r="B150" s="6" t="s">
        <v>170</v>
      </c>
      <c r="C150" s="6" t="s">
        <v>181</v>
      </c>
      <c r="D150" s="7" t="str">
        <f>IF(E150="","",IF(ISNUMBER(FIND("|",E150)),TRIM(LEFT(E150,FIND("|",E150)-1)),IF(ISNUMBER(MATCH(E150,Config!$C$1:$C$211,0)),E150,IFERROR(INDEX(Config!$C$1:$C$211,MATCH(E150,Config!$D$1:$D$211,0)),""))))</f>
        <v>OP-0097</v>
      </c>
      <c r="E150" s="8" t="s">
        <v>184</v>
      </c>
      <c r="F150" s="9">
        <v>18</v>
      </c>
      <c r="G150" s="10">
        <f t="shared" si="4"/>
        <v>72</v>
      </c>
      <c r="H150" s="11">
        <f t="shared" si="5"/>
        <v>5.0000000000000001E-3</v>
      </c>
      <c r="I150" s="7" t="str">
        <f>IF(J150="","",IF(ISNUMBER(FIND("|",J150)),TRIM(LEFT(J150,FIND("|",J150)-1)),IF(ISNUMBER(MATCH(J150,Config!$F$1:$F$224,0)),J150,IFERROR(INDEX(Config!$F$1:$F$224,MATCH(J150,Config!$G$1:$G$224,0)),""))))</f>
        <v>LPD11314</v>
      </c>
      <c r="J150" s="12" t="str">
        <f>IFERROR(INDEX($J$16:J149,MATCH(C150,$C$16:C149,0)),"")</f>
        <v>MD ILYAS</v>
      </c>
    </row>
    <row r="151" spans="1:10" ht="12" customHeight="1" x14ac:dyDescent="0.35">
      <c r="A151" s="6" t="s">
        <v>169</v>
      </c>
      <c r="B151" s="6" t="s">
        <v>170</v>
      </c>
      <c r="C151" s="6" t="s">
        <v>181</v>
      </c>
      <c r="D151" s="7" t="str">
        <f>IF(E151="","",IF(ISNUMBER(FIND("|",E151)),TRIM(LEFT(E151,FIND("|",E151)-1)),IF(ISNUMBER(MATCH(E151,Config!$C$1:$C$211,0)),E151,IFERROR(INDEX(Config!$C$1:$C$211,MATCH(E151,Config!$D$1:$D$211,0)),""))))</f>
        <v>OP-0096</v>
      </c>
      <c r="E151" s="8" t="s">
        <v>182</v>
      </c>
      <c r="F151" s="9">
        <v>18</v>
      </c>
      <c r="G151" s="10">
        <f t="shared" si="4"/>
        <v>72</v>
      </c>
      <c r="H151" s="11">
        <f t="shared" si="5"/>
        <v>5.0000000000000001E-3</v>
      </c>
      <c r="I151" s="7" t="str">
        <f>IF(J151="","",IF(ISNUMBER(FIND("|",J151)),TRIM(LEFT(J151,FIND("|",J151)-1)),IF(ISNUMBER(MATCH(J151,Config!$F$1:$F$224,0)),J151,IFERROR(INDEX(Config!$F$1:$F$224,MATCH(J151,Config!$G$1:$G$224,0)),""))))</f>
        <v>LPD11314</v>
      </c>
      <c r="J151" s="12" t="str">
        <f>IFERROR(INDEX($J$16:J150,MATCH(C151,$C$16:C150,0)),"")</f>
        <v>MD ILYAS</v>
      </c>
    </row>
    <row r="152" spans="1:10" ht="12" customHeight="1" x14ac:dyDescent="0.35">
      <c r="A152" s="6" t="s">
        <v>169</v>
      </c>
      <c r="B152" s="6" t="s">
        <v>170</v>
      </c>
      <c r="C152" s="6" t="s">
        <v>181</v>
      </c>
      <c r="D152" s="7" t="str">
        <f>IF(E152="","",IF(ISNUMBER(FIND("|",E152)),TRIM(LEFT(E152,FIND("|",E152)-1)),IF(ISNUMBER(MATCH(E152,Config!$C$1:$C$211,0)),E152,IFERROR(INDEX(Config!$C$1:$C$211,MATCH(E152,Config!$D$1:$D$211,0)),""))))</f>
        <v>OP-0097</v>
      </c>
      <c r="E152" s="8" t="s">
        <v>184</v>
      </c>
      <c r="F152" s="9">
        <v>18</v>
      </c>
      <c r="G152" s="10">
        <f t="shared" si="4"/>
        <v>72</v>
      </c>
      <c r="H152" s="11">
        <f t="shared" si="5"/>
        <v>5.0000000000000001E-3</v>
      </c>
      <c r="I152" s="7" t="str">
        <f>IF(J152="","",IF(ISNUMBER(FIND("|",J152)),TRIM(LEFT(J152,FIND("|",J152)-1)),IF(ISNUMBER(MATCH(J152,Config!$F$1:$F$224,0)),J152,IFERROR(INDEX(Config!$F$1:$F$224,MATCH(J152,Config!$G$1:$G$224,0)),""))))</f>
        <v>LPD11314</v>
      </c>
      <c r="J152" s="12" t="str">
        <f>IFERROR(INDEX($J$16:J151,MATCH(C152,$C$16:C151,0)),"")</f>
        <v>MD ILYAS</v>
      </c>
    </row>
    <row r="153" spans="1:10" ht="12" customHeight="1" x14ac:dyDescent="0.35">
      <c r="A153" s="6" t="s">
        <v>169</v>
      </c>
      <c r="B153" s="6" t="s">
        <v>170</v>
      </c>
      <c r="C153" s="6" t="s">
        <v>185</v>
      </c>
      <c r="D153" s="7" t="str">
        <f>IF(E153="","",IF(ISNUMBER(FIND("|",E153)),TRIM(LEFT(E153,FIND("|",E153)-1)),IF(ISNUMBER(MATCH(E153,Config!$C$1:$C$211,0)),E153,IFERROR(INDEX(Config!$C$1:$C$211,MATCH(E153,Config!$D$1:$D$211,0)),""))))</f>
        <v>OP-0098</v>
      </c>
      <c r="E153" s="8" t="s">
        <v>186</v>
      </c>
      <c r="F153" s="9">
        <v>60</v>
      </c>
      <c r="G153" s="10">
        <f t="shared" si="4"/>
        <v>60</v>
      </c>
      <c r="H153" s="11">
        <f t="shared" si="5"/>
        <v>1.6666666666666666E-2</v>
      </c>
      <c r="I153" s="7" t="str">
        <f>IF(J153="","",IF(ISNUMBER(FIND("|",J153)),TRIM(LEFT(J153,FIND("|",J153)-1)),IF(ISNUMBER(MATCH(J153,Config!$F$1:$F$224,0)),J153,IFERROR(INDEX(Config!$F$1:$F$224,MATCH(J153,Config!$G$1:$G$224,0)),""))))</f>
        <v>LPD11709</v>
      </c>
      <c r="J153" s="8" t="s">
        <v>187</v>
      </c>
    </row>
    <row r="154" spans="1:10" ht="12" customHeight="1" x14ac:dyDescent="0.35">
      <c r="A154" s="6" t="s">
        <v>169</v>
      </c>
      <c r="B154" s="6" t="s">
        <v>170</v>
      </c>
      <c r="C154" s="6" t="s">
        <v>188</v>
      </c>
      <c r="D154" s="7" t="str">
        <f>IF(E154="","",IF(ISNUMBER(FIND("|",E154)),TRIM(LEFT(E154,FIND("|",E154)-1)),IF(ISNUMBER(MATCH(E154,Config!$C$1:$C$211,0)),E154,IFERROR(INDEX(Config!$C$1:$C$211,MATCH(E154,Config!$D$1:$D$211,0)),""))))</f>
        <v>OP-0098</v>
      </c>
      <c r="E154" s="8" t="s">
        <v>186</v>
      </c>
      <c r="F154" s="9">
        <v>60</v>
      </c>
      <c r="G154" s="10">
        <f t="shared" si="4"/>
        <v>60</v>
      </c>
      <c r="H154" s="11">
        <f t="shared" si="5"/>
        <v>1.6666666666666666E-2</v>
      </c>
      <c r="I154" s="7" t="str">
        <f>IF(J154="","",IF(ISNUMBER(FIND("|",J154)),TRIM(LEFT(J154,FIND("|",J154)-1)),IF(ISNUMBER(MATCH(J154,Config!$F$1:$F$224,0)),J154,IFERROR(INDEX(Config!$F$1:$F$224,MATCH(J154,Config!$G$1:$G$224,0)),""))))</f>
        <v>LPD12061</v>
      </c>
      <c r="J154" s="8" t="s">
        <v>189</v>
      </c>
    </row>
    <row r="155" spans="1:10" ht="12" customHeight="1" x14ac:dyDescent="0.35">
      <c r="A155" s="6" t="s">
        <v>169</v>
      </c>
      <c r="B155" s="6" t="s">
        <v>170</v>
      </c>
      <c r="C155" s="6" t="s">
        <v>190</v>
      </c>
      <c r="D155" s="7" t="str">
        <f>IF(E155="","",IF(ISNUMBER(FIND("|",E155)),TRIM(LEFT(E155,FIND("|",E155)-1)),IF(ISNUMBER(MATCH(E155,Config!$C$1:$C$211,0)),E155,IFERROR(INDEX(Config!$C$1:$C$211,MATCH(E155,Config!$D$1:$D$211,0)),""))))</f>
        <v>OP-0099</v>
      </c>
      <c r="E155" s="8" t="s">
        <v>191</v>
      </c>
      <c r="F155" s="9">
        <v>12</v>
      </c>
      <c r="G155" s="10">
        <f t="shared" si="4"/>
        <v>66</v>
      </c>
      <c r="H155" s="11">
        <f t="shared" si="5"/>
        <v>3.3333333333333335E-3</v>
      </c>
      <c r="I155" s="7" t="str">
        <f>IF(J155="","",IF(ISNUMBER(FIND("|",J155)),TRIM(LEFT(J155,FIND("|",J155)-1)),IF(ISNUMBER(MATCH(J155,Config!$F$1:$F$224,0)),J155,IFERROR(INDEX(Config!$F$1:$F$224,MATCH(J155,Config!$G$1:$G$224,0)),""))))</f>
        <v>LPDS95712</v>
      </c>
      <c r="J155" s="8" t="s">
        <v>192</v>
      </c>
    </row>
    <row r="156" spans="1:10" ht="12" customHeight="1" x14ac:dyDescent="0.35">
      <c r="A156" s="6" t="s">
        <v>169</v>
      </c>
      <c r="B156" s="6" t="s">
        <v>170</v>
      </c>
      <c r="C156" s="6" t="s">
        <v>190</v>
      </c>
      <c r="D156" s="7" t="str">
        <f>IF(E156="","",IF(ISNUMBER(FIND("|",E156)),TRIM(LEFT(E156,FIND("|",E156)-1)),IF(ISNUMBER(MATCH(E156,Config!$C$1:$C$211,0)),E156,IFERROR(INDEX(Config!$C$1:$C$211,MATCH(E156,Config!$D$1:$D$211,0)),""))))</f>
        <v>OP-0100</v>
      </c>
      <c r="E156" s="8" t="s">
        <v>193</v>
      </c>
      <c r="F156" s="9">
        <v>12</v>
      </c>
      <c r="G156" s="10">
        <f t="shared" si="4"/>
        <v>66</v>
      </c>
      <c r="H156" s="11">
        <f t="shared" si="5"/>
        <v>3.3333333333333335E-3</v>
      </c>
      <c r="I156" s="7" t="str">
        <f>IF(J156="","",IF(ISNUMBER(FIND("|",J156)),TRIM(LEFT(J156,FIND("|",J156)-1)),IF(ISNUMBER(MATCH(J156,Config!$F$1:$F$224,0)),J156,IFERROR(INDEX(Config!$F$1:$F$224,MATCH(J156,Config!$G$1:$G$224,0)),""))))</f>
        <v>LPDS95712</v>
      </c>
      <c r="J156" s="12" t="str">
        <f>IFERROR(INDEX($J$16:J155,MATCH(C156,$C$16:C155,0)),"")</f>
        <v>SOWMIYA</v>
      </c>
    </row>
    <row r="157" spans="1:10" ht="12" customHeight="1" x14ac:dyDescent="0.35">
      <c r="A157" s="6" t="s">
        <v>169</v>
      </c>
      <c r="B157" s="6" t="s">
        <v>170</v>
      </c>
      <c r="C157" s="6" t="s">
        <v>190</v>
      </c>
      <c r="D157" s="7" t="str">
        <f>IF(E157="","",IF(ISNUMBER(FIND("|",E157)),TRIM(LEFT(E157,FIND("|",E157)-1)),IF(ISNUMBER(MATCH(E157,Config!$C$1:$C$211,0)),E157,IFERROR(INDEX(Config!$C$1:$C$211,MATCH(E157,Config!$D$1:$D$211,0)),""))))</f>
        <v>OP-0101</v>
      </c>
      <c r="E157" s="8" t="s">
        <v>194</v>
      </c>
      <c r="F157" s="9">
        <v>24</v>
      </c>
      <c r="G157" s="10">
        <f t="shared" si="4"/>
        <v>66</v>
      </c>
      <c r="H157" s="11">
        <f t="shared" si="5"/>
        <v>6.6666666666666671E-3</v>
      </c>
      <c r="I157" s="7" t="str">
        <f>IF(J157="","",IF(ISNUMBER(FIND("|",J157)),TRIM(LEFT(J157,FIND("|",J157)-1)),IF(ISNUMBER(MATCH(J157,Config!$F$1:$F$224,0)),J157,IFERROR(INDEX(Config!$F$1:$F$224,MATCH(J157,Config!$G$1:$G$224,0)),""))))</f>
        <v>LPDS95712</v>
      </c>
      <c r="J157" s="12" t="str">
        <f>IFERROR(INDEX($J$16:J156,MATCH(C157,$C$16:C156,0)),"")</f>
        <v>SOWMIYA</v>
      </c>
    </row>
    <row r="158" spans="1:10" ht="12" customHeight="1" x14ac:dyDescent="0.35">
      <c r="A158" s="6" t="s">
        <v>169</v>
      </c>
      <c r="B158" s="6" t="s">
        <v>170</v>
      </c>
      <c r="C158" s="6" t="s">
        <v>190</v>
      </c>
      <c r="D158" s="7" t="str">
        <f>IF(E158="","",IF(ISNUMBER(FIND("|",E158)),TRIM(LEFT(E158,FIND("|",E158)-1)),IF(ISNUMBER(MATCH(E158,Config!$C$1:$C$211,0)),E158,IFERROR(INDEX(Config!$C$1:$C$211,MATCH(E158,Config!$D$1:$D$211,0)),""))))</f>
        <v>OP-0102</v>
      </c>
      <c r="E158" s="8" t="s">
        <v>195</v>
      </c>
      <c r="F158" s="9">
        <v>8</v>
      </c>
      <c r="G158" s="10">
        <f t="shared" si="4"/>
        <v>66</v>
      </c>
      <c r="H158" s="11">
        <f t="shared" si="5"/>
        <v>2.2222222222222222E-3</v>
      </c>
      <c r="I158" s="7" t="str">
        <f>IF(J158="","",IF(ISNUMBER(FIND("|",J158)),TRIM(LEFT(J158,FIND("|",J158)-1)),IF(ISNUMBER(MATCH(J158,Config!$F$1:$F$224,0)),J158,IFERROR(INDEX(Config!$F$1:$F$224,MATCH(J158,Config!$G$1:$G$224,0)),""))))</f>
        <v>LPDS95712</v>
      </c>
      <c r="J158" s="12" t="str">
        <f>IFERROR(INDEX($J$16:J157,MATCH(C158,$C$16:C157,0)),"")</f>
        <v>SOWMIYA</v>
      </c>
    </row>
    <row r="159" spans="1:10" ht="12" customHeight="1" x14ac:dyDescent="0.35">
      <c r="A159" s="6" t="s">
        <v>169</v>
      </c>
      <c r="B159" s="6" t="s">
        <v>170</v>
      </c>
      <c r="C159" s="6" t="s">
        <v>190</v>
      </c>
      <c r="D159" s="7" t="str">
        <f>IF(E159="","",IF(ISNUMBER(FIND("|",E159)),TRIM(LEFT(E159,FIND("|",E159)-1)),IF(ISNUMBER(MATCH(E159,Config!$C$1:$C$211,0)),E159,IFERROR(INDEX(Config!$C$1:$C$211,MATCH(E159,Config!$D$1:$D$211,0)),""))))</f>
        <v>OP-0103</v>
      </c>
      <c r="E159" s="8" t="s">
        <v>196</v>
      </c>
      <c r="F159" s="9">
        <v>10</v>
      </c>
      <c r="G159" s="10">
        <f t="shared" si="4"/>
        <v>66</v>
      </c>
      <c r="H159" s="11">
        <f t="shared" si="5"/>
        <v>2.7777777777777779E-3</v>
      </c>
      <c r="I159" s="7" t="str">
        <f>IF(J159="","",IF(ISNUMBER(FIND("|",J159)),TRIM(LEFT(J159,FIND("|",J159)-1)),IF(ISNUMBER(MATCH(J159,Config!$F$1:$F$224,0)),J159,IFERROR(INDEX(Config!$F$1:$F$224,MATCH(J159,Config!$G$1:$G$224,0)),""))))</f>
        <v>LPDS95712</v>
      </c>
      <c r="J159" s="12" t="str">
        <f>IFERROR(INDEX($J$16:J158,MATCH(C159,$C$16:C158,0)),"")</f>
        <v>SOWMIYA</v>
      </c>
    </row>
    <row r="160" spans="1:10" ht="12" customHeight="1" x14ac:dyDescent="0.35">
      <c r="A160" s="6" t="s">
        <v>169</v>
      </c>
      <c r="B160" s="6" t="s">
        <v>170</v>
      </c>
      <c r="C160" s="6" t="s">
        <v>197</v>
      </c>
      <c r="D160" s="7" t="str">
        <f>IF(E160="","",IF(ISNUMBER(FIND("|",E160)),TRIM(LEFT(E160,FIND("|",E160)-1)),IF(ISNUMBER(MATCH(E160,Config!$C$1:$C$211,0)),E160,IFERROR(INDEX(Config!$C$1:$C$211,MATCH(E160,Config!$D$1:$D$211,0)),""))))</f>
        <v>OP-0104</v>
      </c>
      <c r="E160" s="8" t="s">
        <v>198</v>
      </c>
      <c r="F160" s="9">
        <v>12</v>
      </c>
      <c r="G160" s="10">
        <f t="shared" si="4"/>
        <v>78</v>
      </c>
      <c r="H160" s="11">
        <f t="shared" si="5"/>
        <v>3.3333333333333335E-3</v>
      </c>
      <c r="I160" s="7" t="str">
        <f>IF(J160="","",IF(ISNUMBER(FIND("|",J160)),TRIM(LEFT(J160,FIND("|",J160)-1)),IF(ISNUMBER(MATCH(J160,Config!$F$1:$F$224,0)),J160,IFERROR(INDEX(Config!$F$1:$F$224,MATCH(J160,Config!$G$1:$G$224,0)),""))))</f>
        <v>LPD10969</v>
      </c>
      <c r="J160" s="8" t="s">
        <v>199</v>
      </c>
    </row>
    <row r="161" spans="1:10" ht="12" customHeight="1" x14ac:dyDescent="0.35">
      <c r="A161" s="6" t="s">
        <v>169</v>
      </c>
      <c r="B161" s="6" t="s">
        <v>170</v>
      </c>
      <c r="C161" s="6" t="s">
        <v>197</v>
      </c>
      <c r="D161" s="7" t="str">
        <f>IF(E161="","",IF(ISNUMBER(FIND("|",E161)),TRIM(LEFT(E161,FIND("|",E161)-1)),IF(ISNUMBER(MATCH(E161,Config!$C$1:$C$211,0)),E161,IFERROR(INDEX(Config!$C$1:$C$211,MATCH(E161,Config!$D$1:$D$211,0)),""))))</f>
        <v>OP-0105</v>
      </c>
      <c r="E161" s="8" t="s">
        <v>200</v>
      </c>
      <c r="F161" s="9">
        <v>12</v>
      </c>
      <c r="G161" s="10">
        <f t="shared" si="4"/>
        <v>78</v>
      </c>
      <c r="H161" s="11">
        <f t="shared" si="5"/>
        <v>3.3333333333333335E-3</v>
      </c>
      <c r="I161" s="7" t="str">
        <f>IF(J161="","",IF(ISNUMBER(FIND("|",J161)),TRIM(LEFT(J161,FIND("|",J161)-1)),IF(ISNUMBER(MATCH(J161,Config!$F$1:$F$224,0)),J161,IFERROR(INDEX(Config!$F$1:$F$224,MATCH(J161,Config!$G$1:$G$224,0)),""))))</f>
        <v>LPD10969</v>
      </c>
      <c r="J161" s="12" t="str">
        <f>IFERROR(INDEX($J$16:J160,MATCH(C161,$C$16:C160,0)),"")</f>
        <v>SAMEENA</v>
      </c>
    </row>
    <row r="162" spans="1:10" ht="12" customHeight="1" x14ac:dyDescent="0.35">
      <c r="A162" s="6" t="s">
        <v>169</v>
      </c>
      <c r="B162" s="6" t="s">
        <v>170</v>
      </c>
      <c r="C162" s="6" t="s">
        <v>197</v>
      </c>
      <c r="D162" s="7" t="str">
        <f>IF(E162="","",IF(ISNUMBER(FIND("|",E162)),TRIM(LEFT(E162,FIND("|",E162)-1)),IF(ISNUMBER(MATCH(E162,Config!$C$1:$C$211,0)),E162,IFERROR(INDEX(Config!$C$1:$C$211,MATCH(E162,Config!$D$1:$D$211,0)),""))))</f>
        <v>OP-0106</v>
      </c>
      <c r="E162" s="8" t="s">
        <v>201</v>
      </c>
      <c r="F162" s="9">
        <v>16</v>
      </c>
      <c r="G162" s="10">
        <f t="shared" si="4"/>
        <v>78</v>
      </c>
      <c r="H162" s="11">
        <f t="shared" si="5"/>
        <v>4.4444444444444444E-3</v>
      </c>
      <c r="I162" s="7" t="str">
        <f>IF(J162="","",IF(ISNUMBER(FIND("|",J162)),TRIM(LEFT(J162,FIND("|",J162)-1)),IF(ISNUMBER(MATCH(J162,Config!$F$1:$F$224,0)),J162,IFERROR(INDEX(Config!$F$1:$F$224,MATCH(J162,Config!$G$1:$G$224,0)),""))))</f>
        <v>LPD10969</v>
      </c>
      <c r="J162" s="12" t="str">
        <f>IFERROR(INDEX($J$16:J161,MATCH(C162,$C$16:C161,0)),"")</f>
        <v>SAMEENA</v>
      </c>
    </row>
    <row r="163" spans="1:10" ht="12" customHeight="1" x14ac:dyDescent="0.35">
      <c r="A163" s="6" t="s">
        <v>169</v>
      </c>
      <c r="B163" s="6" t="s">
        <v>170</v>
      </c>
      <c r="C163" s="6" t="s">
        <v>197</v>
      </c>
      <c r="D163" s="7" t="str">
        <f>IF(E163="","",IF(ISNUMBER(FIND("|",E163)),TRIM(LEFT(E163,FIND("|",E163)-1)),IF(ISNUMBER(MATCH(E163,Config!$C$1:$C$211,0)),E163,IFERROR(INDEX(Config!$C$1:$C$211,MATCH(E163,Config!$D$1:$D$211,0)),""))))</f>
        <v>OP-0107</v>
      </c>
      <c r="E163" s="8" t="s">
        <v>202</v>
      </c>
      <c r="F163" s="9">
        <v>12</v>
      </c>
      <c r="G163" s="10">
        <f t="shared" si="4"/>
        <v>78</v>
      </c>
      <c r="H163" s="11">
        <f t="shared" si="5"/>
        <v>3.3333333333333335E-3</v>
      </c>
      <c r="I163" s="7" t="str">
        <f>IF(J163="","",IF(ISNUMBER(FIND("|",J163)),TRIM(LEFT(J163,FIND("|",J163)-1)),IF(ISNUMBER(MATCH(J163,Config!$F$1:$F$224,0)),J163,IFERROR(INDEX(Config!$F$1:$F$224,MATCH(J163,Config!$G$1:$G$224,0)),""))))</f>
        <v>LPD10969</v>
      </c>
      <c r="J163" s="12" t="str">
        <f>IFERROR(INDEX($J$16:J162,MATCH(C163,$C$16:C162,0)),"")</f>
        <v>SAMEENA</v>
      </c>
    </row>
    <row r="164" spans="1:10" ht="12" customHeight="1" x14ac:dyDescent="0.35">
      <c r="A164" s="6" t="s">
        <v>169</v>
      </c>
      <c r="B164" s="6" t="s">
        <v>170</v>
      </c>
      <c r="C164" s="6" t="s">
        <v>197</v>
      </c>
      <c r="D164" s="7" t="str">
        <f>IF(E164="","",IF(ISNUMBER(FIND("|",E164)),TRIM(LEFT(E164,FIND("|",E164)-1)),IF(ISNUMBER(MATCH(E164,Config!$C$1:$C$211,0)),E164,IFERROR(INDEX(Config!$C$1:$C$211,MATCH(E164,Config!$D$1:$D$211,0)),""))))</f>
        <v>OP-0108</v>
      </c>
      <c r="E164" s="8" t="s">
        <v>203</v>
      </c>
      <c r="F164" s="9">
        <v>12</v>
      </c>
      <c r="G164" s="10">
        <f t="shared" si="4"/>
        <v>78</v>
      </c>
      <c r="H164" s="11">
        <f t="shared" si="5"/>
        <v>3.3333333333333335E-3</v>
      </c>
      <c r="I164" s="7" t="str">
        <f>IF(J164="","",IF(ISNUMBER(FIND("|",J164)),TRIM(LEFT(J164,FIND("|",J164)-1)),IF(ISNUMBER(MATCH(J164,Config!$F$1:$F$224,0)),J164,IFERROR(INDEX(Config!$F$1:$F$224,MATCH(J164,Config!$G$1:$G$224,0)),""))))</f>
        <v>LPD10969</v>
      </c>
      <c r="J164" s="12" t="str">
        <f>IFERROR(INDEX($J$16:J163,MATCH(C164,$C$16:C163,0)),"")</f>
        <v>SAMEENA</v>
      </c>
    </row>
    <row r="165" spans="1:10" ht="12" customHeight="1" x14ac:dyDescent="0.35">
      <c r="A165" s="6" t="s">
        <v>169</v>
      </c>
      <c r="B165" s="6" t="s">
        <v>170</v>
      </c>
      <c r="C165" s="6" t="s">
        <v>197</v>
      </c>
      <c r="D165" s="7" t="str">
        <f>IF(E165="","",IF(ISNUMBER(FIND("|",E165)),TRIM(LEFT(E165,FIND("|",E165)-1)),IF(ISNUMBER(MATCH(E165,Config!$C$1:$C$211,0)),E165,IFERROR(INDEX(Config!$C$1:$C$211,MATCH(E165,Config!$D$1:$D$211,0)),""))))</f>
        <v>OP-0109</v>
      </c>
      <c r="E165" s="8" t="s">
        <v>204</v>
      </c>
      <c r="F165" s="9">
        <v>14</v>
      </c>
      <c r="G165" s="10">
        <f t="shared" si="4"/>
        <v>78</v>
      </c>
      <c r="H165" s="11">
        <f t="shared" si="5"/>
        <v>3.8888888888888888E-3</v>
      </c>
      <c r="I165" s="7" t="str">
        <f>IF(J165="","",IF(ISNUMBER(FIND("|",J165)),TRIM(LEFT(J165,FIND("|",J165)-1)),IF(ISNUMBER(MATCH(J165,Config!$F$1:$F$224,0)),J165,IFERROR(INDEX(Config!$F$1:$F$224,MATCH(J165,Config!$G$1:$G$224,0)),""))))</f>
        <v>LPD10969</v>
      </c>
      <c r="J165" s="12" t="str">
        <f>IFERROR(INDEX($J$16:J164,MATCH(C165,$C$16:C164,0)),"")</f>
        <v>SAMEENA</v>
      </c>
    </row>
    <row r="166" spans="1:10" ht="12" customHeight="1" x14ac:dyDescent="0.35">
      <c r="A166" s="6" t="s">
        <v>169</v>
      </c>
      <c r="B166" s="6" t="s">
        <v>170</v>
      </c>
      <c r="C166" s="6" t="s">
        <v>205</v>
      </c>
      <c r="D166" s="7" t="str">
        <f>IF(E166="","",IF(ISNUMBER(FIND("|",E166)),TRIM(LEFT(E166,FIND("|",E166)-1)),IF(ISNUMBER(MATCH(E166,Config!$C$1:$C$211,0)),E166,IFERROR(INDEX(Config!$C$1:$C$211,MATCH(E166,Config!$D$1:$D$211,0)),""))))</f>
        <v>OP-0110</v>
      </c>
      <c r="E166" s="8" t="s">
        <v>206</v>
      </c>
      <c r="F166" s="9">
        <v>12</v>
      </c>
      <c r="G166" s="10">
        <f t="shared" si="4"/>
        <v>38</v>
      </c>
      <c r="H166" s="11">
        <f t="shared" si="5"/>
        <v>3.3333333333333335E-3</v>
      </c>
      <c r="I166" s="7" t="str">
        <f>IF(J166="","",IF(ISNUMBER(FIND("|",J166)),TRIM(LEFT(J166,FIND("|",J166)-1)),IF(ISNUMBER(MATCH(J166,Config!$F$1:$F$224,0)),J166,IFERROR(INDEX(Config!$F$1:$F$224,MATCH(J166,Config!$G$1:$G$224,0)),""))))</f>
        <v>LPD10171</v>
      </c>
      <c r="J166" s="8" t="s">
        <v>207</v>
      </c>
    </row>
    <row r="167" spans="1:10" ht="12" customHeight="1" x14ac:dyDescent="0.35">
      <c r="A167" s="6" t="s">
        <v>169</v>
      </c>
      <c r="B167" s="6" t="s">
        <v>170</v>
      </c>
      <c r="C167" s="6" t="s">
        <v>205</v>
      </c>
      <c r="D167" s="7" t="str">
        <f>IF(E167="","",IF(ISNUMBER(FIND("|",E167)),TRIM(LEFT(E167,FIND("|",E167)-1)),IF(ISNUMBER(MATCH(E167,Config!$C$1:$C$211,0)),E167,IFERROR(INDEX(Config!$C$1:$C$211,MATCH(E167,Config!$D$1:$D$211,0)),""))))</f>
        <v>OP-0108</v>
      </c>
      <c r="E167" s="8" t="s">
        <v>203</v>
      </c>
      <c r="F167" s="9">
        <v>12</v>
      </c>
      <c r="G167" s="10">
        <f t="shared" si="4"/>
        <v>38</v>
      </c>
      <c r="H167" s="11">
        <f t="shared" si="5"/>
        <v>3.3333333333333335E-3</v>
      </c>
      <c r="I167" s="7" t="str">
        <f>IF(J167="","",IF(ISNUMBER(FIND("|",J167)),TRIM(LEFT(J167,FIND("|",J167)-1)),IF(ISNUMBER(MATCH(J167,Config!$F$1:$F$224,0)),J167,IFERROR(INDEX(Config!$F$1:$F$224,MATCH(J167,Config!$G$1:$G$224,0)),""))))</f>
        <v>LPD10171</v>
      </c>
      <c r="J167" s="12" t="str">
        <f>IFERROR(INDEX($J$16:J166,MATCH(C167,$C$16:C166,0)),"")</f>
        <v>RAJESWARI</v>
      </c>
    </row>
    <row r="168" spans="1:10" ht="12" customHeight="1" x14ac:dyDescent="0.35">
      <c r="A168" s="6" t="s">
        <v>169</v>
      </c>
      <c r="B168" s="6" t="s">
        <v>170</v>
      </c>
      <c r="C168" s="6" t="s">
        <v>205</v>
      </c>
      <c r="D168" s="7" t="str">
        <f>IF(E168="","",IF(ISNUMBER(FIND("|",E168)),TRIM(LEFT(E168,FIND("|",E168)-1)),IF(ISNUMBER(MATCH(E168,Config!$C$1:$C$211,0)),E168,IFERROR(INDEX(Config!$C$1:$C$211,MATCH(E168,Config!$D$1:$D$211,0)),""))))</f>
        <v>OP-0111</v>
      </c>
      <c r="E168" s="8" t="s">
        <v>208</v>
      </c>
      <c r="F168" s="9">
        <v>14</v>
      </c>
      <c r="G168" s="10">
        <f t="shared" si="4"/>
        <v>38</v>
      </c>
      <c r="H168" s="11">
        <f t="shared" si="5"/>
        <v>3.8888888888888888E-3</v>
      </c>
      <c r="I168" s="7" t="str">
        <f>IF(J168="","",IF(ISNUMBER(FIND("|",J168)),TRIM(LEFT(J168,FIND("|",J168)-1)),IF(ISNUMBER(MATCH(J168,Config!$F$1:$F$224,0)),J168,IFERROR(INDEX(Config!$F$1:$F$224,MATCH(J168,Config!$G$1:$G$224,0)),""))))</f>
        <v>LPD10171</v>
      </c>
      <c r="J168" s="12" t="str">
        <f>IFERROR(INDEX($J$16:J167,MATCH(C168,$C$16:C167,0)),"")</f>
        <v>RAJESWARI</v>
      </c>
    </row>
    <row r="169" spans="1:10" ht="12" customHeight="1" x14ac:dyDescent="0.35">
      <c r="A169" s="6" t="s">
        <v>169</v>
      </c>
      <c r="B169" s="6" t="s">
        <v>170</v>
      </c>
      <c r="C169" s="6" t="s">
        <v>209</v>
      </c>
      <c r="D169" s="7" t="str">
        <f>IF(E169="","",IF(ISNUMBER(FIND("|",E169)),TRIM(LEFT(E169,FIND("|",E169)-1)),IF(ISNUMBER(MATCH(E169,Config!$C$1:$C$211,0)),E169,IFERROR(INDEX(Config!$C$1:$C$211,MATCH(E169,Config!$D$1:$D$211,0)),""))))</f>
        <v>OP-0112</v>
      </c>
      <c r="E169" s="8" t="s">
        <v>210</v>
      </c>
      <c r="F169" s="9">
        <v>14</v>
      </c>
      <c r="G169" s="10">
        <f t="shared" si="4"/>
        <v>140</v>
      </c>
      <c r="H169" s="11">
        <f t="shared" si="5"/>
        <v>3.8888888888888888E-3</v>
      </c>
      <c r="I169" s="7" t="str">
        <f>IF(J169="","",IF(ISNUMBER(FIND("|",J169)),TRIM(LEFT(J169,FIND("|",J169)-1)),IF(ISNUMBER(MATCH(J169,Config!$F$1:$F$224,0)),J169,IFERROR(INDEX(Config!$F$1:$F$224,MATCH(J169,Config!$G$1:$G$224,0)),""))))</f>
        <v>LPD11709</v>
      </c>
      <c r="J169" s="8" t="s">
        <v>187</v>
      </c>
    </row>
    <row r="170" spans="1:10" ht="12" customHeight="1" x14ac:dyDescent="0.35">
      <c r="A170" s="6" t="s">
        <v>169</v>
      </c>
      <c r="B170" s="6" t="s">
        <v>170</v>
      </c>
      <c r="C170" s="6" t="s">
        <v>209</v>
      </c>
      <c r="D170" s="7" t="str">
        <f>IF(E170="","",IF(ISNUMBER(FIND("|",E170)),TRIM(LEFT(E170,FIND("|",E170)-1)),IF(ISNUMBER(MATCH(E170,Config!$C$1:$C$211,0)),E170,IFERROR(INDEX(Config!$C$1:$C$211,MATCH(E170,Config!$D$1:$D$211,0)),""))))</f>
        <v>OP-0113</v>
      </c>
      <c r="E170" s="8" t="s">
        <v>211</v>
      </c>
      <c r="F170" s="9">
        <v>14</v>
      </c>
      <c r="G170" s="10">
        <f t="shared" si="4"/>
        <v>140</v>
      </c>
      <c r="H170" s="11">
        <f t="shared" si="5"/>
        <v>3.8888888888888888E-3</v>
      </c>
      <c r="I170" s="7" t="str">
        <f>IF(J170="","",IF(ISNUMBER(FIND("|",J170)),TRIM(LEFT(J170,FIND("|",J170)-1)),IF(ISNUMBER(MATCH(J170,Config!$F$1:$F$224,0)),J170,IFERROR(INDEX(Config!$F$1:$F$224,MATCH(J170,Config!$G$1:$G$224,0)),""))))</f>
        <v>LPD11709</v>
      </c>
      <c r="J170" s="12" t="str">
        <f>IFERROR(INDEX($J$16:J169,MATCH(C170,$C$16:C169,0)),"")</f>
        <v>SHANKARI</v>
      </c>
    </row>
    <row r="171" spans="1:10" ht="12" customHeight="1" x14ac:dyDescent="0.35">
      <c r="A171" s="6" t="s">
        <v>169</v>
      </c>
      <c r="B171" s="6" t="s">
        <v>170</v>
      </c>
      <c r="C171" s="6" t="s">
        <v>209</v>
      </c>
      <c r="D171" s="7" t="str">
        <f>IF(E171="","",IF(ISNUMBER(FIND("|",E171)),TRIM(LEFT(E171,FIND("|",E171)-1)),IF(ISNUMBER(MATCH(E171,Config!$C$1:$C$211,0)),E171,IFERROR(INDEX(Config!$C$1:$C$211,MATCH(E171,Config!$D$1:$D$211,0)),""))))</f>
        <v>OP-0114</v>
      </c>
      <c r="E171" s="8" t="s">
        <v>212</v>
      </c>
      <c r="F171" s="9">
        <v>52</v>
      </c>
      <c r="G171" s="10">
        <f t="shared" si="4"/>
        <v>140</v>
      </c>
      <c r="H171" s="11">
        <f t="shared" si="5"/>
        <v>1.4444444444444444E-2</v>
      </c>
      <c r="I171" s="7" t="str">
        <f>IF(J171="","",IF(ISNUMBER(FIND("|",J171)),TRIM(LEFT(J171,FIND("|",J171)-1)),IF(ISNUMBER(MATCH(J171,Config!$F$1:$F$224,0)),J171,IFERROR(INDEX(Config!$F$1:$F$224,MATCH(J171,Config!$G$1:$G$224,0)),""))))</f>
        <v>LPD11709</v>
      </c>
      <c r="J171" s="12" t="str">
        <f>IFERROR(INDEX($J$16:J170,MATCH(C171,$C$16:C170,0)),"")</f>
        <v>SHANKARI</v>
      </c>
    </row>
    <row r="172" spans="1:10" ht="12" customHeight="1" x14ac:dyDescent="0.35">
      <c r="A172" s="6" t="s">
        <v>169</v>
      </c>
      <c r="B172" s="6" t="s">
        <v>170</v>
      </c>
      <c r="C172" s="6" t="s">
        <v>209</v>
      </c>
      <c r="D172" s="7" t="str">
        <f>IF(E172="","",IF(ISNUMBER(FIND("|",E172)),TRIM(LEFT(E172,FIND("|",E172)-1)),IF(ISNUMBER(MATCH(E172,Config!$C$1:$C$211,0)),E172,IFERROR(INDEX(Config!$C$1:$C$211,MATCH(E172,Config!$D$1:$D$211,0)),""))))</f>
        <v>OP-0112</v>
      </c>
      <c r="E172" s="8" t="s">
        <v>210</v>
      </c>
      <c r="F172" s="9">
        <v>12</v>
      </c>
      <c r="G172" s="10">
        <f t="shared" si="4"/>
        <v>140</v>
      </c>
      <c r="H172" s="11">
        <f t="shared" si="5"/>
        <v>3.3333333333333335E-3</v>
      </c>
      <c r="I172" s="7" t="str">
        <f>IF(J172="","",IF(ISNUMBER(FIND("|",J172)),TRIM(LEFT(J172,FIND("|",J172)-1)),IF(ISNUMBER(MATCH(J172,Config!$F$1:$F$224,0)),J172,IFERROR(INDEX(Config!$F$1:$F$224,MATCH(J172,Config!$G$1:$G$224,0)),""))))</f>
        <v>LPD11709</v>
      </c>
      <c r="J172" s="12" t="str">
        <f>IFERROR(INDEX($J$16:J171,MATCH(C172,$C$16:C171,0)),"")</f>
        <v>SHANKARI</v>
      </c>
    </row>
    <row r="173" spans="1:10" ht="12" customHeight="1" x14ac:dyDescent="0.35">
      <c r="A173" s="6" t="s">
        <v>169</v>
      </c>
      <c r="B173" s="6" t="s">
        <v>170</v>
      </c>
      <c r="C173" s="6" t="s">
        <v>209</v>
      </c>
      <c r="D173" s="7" t="str">
        <f>IF(E173="","",IF(ISNUMBER(FIND("|",E173)),TRIM(LEFT(E173,FIND("|",E173)-1)),IF(ISNUMBER(MATCH(E173,Config!$C$1:$C$211,0)),E173,IFERROR(INDEX(Config!$C$1:$C$211,MATCH(E173,Config!$D$1:$D$211,0)),""))))</f>
        <v>OP-0115</v>
      </c>
      <c r="E173" s="8" t="s">
        <v>213</v>
      </c>
      <c r="F173" s="9">
        <v>12</v>
      </c>
      <c r="G173" s="10">
        <f t="shared" si="4"/>
        <v>140</v>
      </c>
      <c r="H173" s="11">
        <f t="shared" si="5"/>
        <v>3.3333333333333335E-3</v>
      </c>
      <c r="I173" s="7" t="str">
        <f>IF(J173="","",IF(ISNUMBER(FIND("|",J173)),TRIM(LEFT(J173,FIND("|",J173)-1)),IF(ISNUMBER(MATCH(J173,Config!$F$1:$F$224,0)),J173,IFERROR(INDEX(Config!$F$1:$F$224,MATCH(J173,Config!$G$1:$G$224,0)),""))))</f>
        <v>LPD11709</v>
      </c>
      <c r="J173" s="12" t="str">
        <f>IFERROR(INDEX($J$16:J172,MATCH(C173,$C$16:C172,0)),"")</f>
        <v>SHANKARI</v>
      </c>
    </row>
    <row r="174" spans="1:10" ht="12" customHeight="1" x14ac:dyDescent="0.35">
      <c r="A174" s="6" t="s">
        <v>169</v>
      </c>
      <c r="B174" s="6" t="s">
        <v>170</v>
      </c>
      <c r="C174" s="6" t="s">
        <v>209</v>
      </c>
      <c r="D174" s="7" t="str">
        <f>IF(E174="","",IF(ISNUMBER(FIND("|",E174)),TRIM(LEFT(E174,FIND("|",E174)-1)),IF(ISNUMBER(MATCH(E174,Config!$C$1:$C$211,0)),E174,IFERROR(INDEX(Config!$C$1:$C$211,MATCH(E174,Config!$D$1:$D$211,0)),""))))</f>
        <v>OP-0116</v>
      </c>
      <c r="E174" s="8" t="s">
        <v>214</v>
      </c>
      <c r="F174" s="9">
        <v>36</v>
      </c>
      <c r="G174" s="10">
        <f t="shared" si="4"/>
        <v>140</v>
      </c>
      <c r="H174" s="11">
        <f t="shared" si="5"/>
        <v>0.01</v>
      </c>
      <c r="I174" s="7" t="str">
        <f>IF(J174="","",IF(ISNUMBER(FIND("|",J174)),TRIM(LEFT(J174,FIND("|",J174)-1)),IF(ISNUMBER(MATCH(J174,Config!$F$1:$F$224,0)),J174,IFERROR(INDEX(Config!$F$1:$F$224,MATCH(J174,Config!$G$1:$G$224,0)),""))))</f>
        <v>LPD11709</v>
      </c>
      <c r="J174" s="12" t="str">
        <f>IFERROR(INDEX($J$16:J173,MATCH(C174,$C$16:C173,0)),"")</f>
        <v>SHANKARI</v>
      </c>
    </row>
    <row r="175" spans="1:10" ht="12" customHeight="1" x14ac:dyDescent="0.35">
      <c r="A175" s="6" t="s">
        <v>169</v>
      </c>
      <c r="B175" s="6" t="s">
        <v>170</v>
      </c>
      <c r="C175" s="6" t="s">
        <v>215</v>
      </c>
      <c r="D175" s="7" t="str">
        <f>IF(E175="","",IF(ISNUMBER(FIND("|",E175)),TRIM(LEFT(E175,FIND("|",E175)-1)),IF(ISNUMBER(MATCH(E175,Config!$C$1:$C$211,0)),E175,IFERROR(INDEX(Config!$C$1:$C$211,MATCH(E175,Config!$D$1:$D$211,0)),""))))</f>
        <v>OP-0117</v>
      </c>
      <c r="E175" s="8" t="s">
        <v>216</v>
      </c>
      <c r="F175" s="9">
        <v>60</v>
      </c>
      <c r="G175" s="10">
        <f t="shared" si="4"/>
        <v>120</v>
      </c>
      <c r="H175" s="11">
        <f t="shared" si="5"/>
        <v>1.6666666666666666E-2</v>
      </c>
      <c r="I175" s="7" t="str">
        <f>IF(J175="","",IF(ISNUMBER(FIND("|",J175)),TRIM(LEFT(J175,FIND("|",J175)-1)),IF(ISNUMBER(MATCH(J175,Config!$F$1:$F$224,0)),J175,IFERROR(INDEX(Config!$F$1:$F$224,MATCH(J175,Config!$G$1:$G$224,0)),""))))</f>
        <v>LPD95781</v>
      </c>
      <c r="J175" s="8" t="s">
        <v>217</v>
      </c>
    </row>
    <row r="176" spans="1:10" ht="12" customHeight="1" x14ac:dyDescent="0.35">
      <c r="A176" s="6" t="s">
        <v>169</v>
      </c>
      <c r="B176" s="6" t="s">
        <v>170</v>
      </c>
      <c r="C176" s="6" t="s">
        <v>215</v>
      </c>
      <c r="D176" s="7" t="str">
        <f>IF(E176="","",IF(ISNUMBER(FIND("|",E176)),TRIM(LEFT(E176,FIND("|",E176)-1)),IF(ISNUMBER(MATCH(E176,Config!$C$1:$C$211,0)),E176,IFERROR(INDEX(Config!$C$1:$C$211,MATCH(E176,Config!$D$1:$D$211,0)),""))))</f>
        <v>OP-0117</v>
      </c>
      <c r="E176" s="8" t="s">
        <v>216</v>
      </c>
      <c r="F176" s="9">
        <v>60</v>
      </c>
      <c r="G176" s="10">
        <f t="shared" si="4"/>
        <v>120</v>
      </c>
      <c r="H176" s="11">
        <f t="shared" si="5"/>
        <v>1.6666666666666666E-2</v>
      </c>
      <c r="I176" s="7" t="str">
        <f>IF(J176="","",IF(ISNUMBER(FIND("|",J176)),TRIM(LEFT(J176,FIND("|",J176)-1)),IF(ISNUMBER(MATCH(J176,Config!$F$1:$F$224,0)),J176,IFERROR(INDEX(Config!$F$1:$F$224,MATCH(J176,Config!$G$1:$G$224,0)),""))))</f>
        <v>LPD95781</v>
      </c>
      <c r="J176" s="12" t="str">
        <f>IFERROR(INDEX($J$16:J175,MATCH(C176,$C$16:C175,0)),"")</f>
        <v>MULLAI KODI</v>
      </c>
    </row>
    <row r="177" spans="1:10" ht="12" customHeight="1" x14ac:dyDescent="0.35">
      <c r="A177" s="6" t="s">
        <v>169</v>
      </c>
      <c r="B177" s="6" t="s">
        <v>170</v>
      </c>
      <c r="C177" s="6" t="s">
        <v>218</v>
      </c>
      <c r="D177" s="7" t="str">
        <f>IF(E177="","",IF(ISNUMBER(FIND("|",E177)),TRIM(LEFT(E177,FIND("|",E177)-1)),IF(ISNUMBER(MATCH(E177,Config!$C$1:$C$211,0)),E177,IFERROR(INDEX(Config!$C$1:$C$211,MATCH(E177,Config!$D$1:$D$211,0)),""))))</f>
        <v>OP-0118</v>
      </c>
      <c r="E177" s="8" t="s">
        <v>219</v>
      </c>
      <c r="F177" s="9">
        <v>16</v>
      </c>
      <c r="G177" s="10">
        <f t="shared" si="4"/>
        <v>76</v>
      </c>
      <c r="H177" s="11">
        <f t="shared" si="5"/>
        <v>4.4444444444444444E-3</v>
      </c>
      <c r="I177" s="7" t="str">
        <f>IF(J177="","",IF(ISNUMBER(FIND("|",J177)),TRIM(LEFT(J177,FIND("|",J177)-1)),IF(ISNUMBER(MATCH(J177,Config!$F$1:$F$224,0)),J177,IFERROR(INDEX(Config!$F$1:$F$224,MATCH(J177,Config!$G$1:$G$224,0)),""))))</f>
        <v>LPD12241</v>
      </c>
      <c r="J177" s="8" t="s">
        <v>220</v>
      </c>
    </row>
    <row r="178" spans="1:10" ht="12" customHeight="1" x14ac:dyDescent="0.35">
      <c r="A178" s="6" t="s">
        <v>169</v>
      </c>
      <c r="B178" s="6" t="s">
        <v>170</v>
      </c>
      <c r="C178" s="6" t="s">
        <v>218</v>
      </c>
      <c r="D178" s="7" t="str">
        <f>IF(E178="","",IF(ISNUMBER(FIND("|",E178)),TRIM(LEFT(E178,FIND("|",E178)-1)),IF(ISNUMBER(MATCH(E178,Config!$C$1:$C$211,0)),E178,IFERROR(INDEX(Config!$C$1:$C$211,MATCH(E178,Config!$D$1:$D$211,0)),""))))</f>
        <v>OP-0088</v>
      </c>
      <c r="E178" s="8" t="s">
        <v>165</v>
      </c>
      <c r="F178" s="9">
        <v>60</v>
      </c>
      <c r="G178" s="10">
        <f t="shared" si="4"/>
        <v>76</v>
      </c>
      <c r="H178" s="11">
        <f t="shared" si="5"/>
        <v>1.6666666666666666E-2</v>
      </c>
      <c r="I178" s="7" t="str">
        <f>IF(J178="","",IF(ISNUMBER(FIND("|",J178)),TRIM(LEFT(J178,FIND("|",J178)-1)),IF(ISNUMBER(MATCH(J178,Config!$F$1:$F$224,0)),J178,IFERROR(INDEX(Config!$F$1:$F$224,MATCH(J178,Config!$G$1:$G$224,0)),""))))</f>
        <v>LPD12241</v>
      </c>
      <c r="J178" s="12" t="str">
        <f>IFERROR(INDEX($J$16:J177,MATCH(C178,$C$16:C177,0)),"")</f>
        <v>SANGEETHA</v>
      </c>
    </row>
    <row r="179" spans="1:10" ht="12" customHeight="1" x14ac:dyDescent="0.35">
      <c r="A179" s="6" t="s">
        <v>169</v>
      </c>
      <c r="B179" s="6" t="s">
        <v>170</v>
      </c>
      <c r="C179" s="6" t="s">
        <v>221</v>
      </c>
      <c r="D179" s="7" t="str">
        <f>IF(E179="","",IF(ISNUMBER(FIND("|",E179)),TRIM(LEFT(E179,FIND("|",E179)-1)),IF(ISNUMBER(MATCH(E179,Config!$C$1:$C$211,0)),E179,IFERROR(INDEX(Config!$C$1:$C$211,MATCH(E179,Config!$D$1:$D$211,0)),""))))</f>
        <v>OP-0108</v>
      </c>
      <c r="E179" s="8" t="s">
        <v>203</v>
      </c>
      <c r="F179" s="9">
        <v>12</v>
      </c>
      <c r="G179" s="10">
        <f t="shared" si="4"/>
        <v>48</v>
      </c>
      <c r="H179" s="11">
        <f t="shared" si="5"/>
        <v>3.3333333333333335E-3</v>
      </c>
      <c r="I179" s="7" t="str">
        <f>IF(J179="","",IF(ISNUMBER(FIND("|",J179)),TRIM(LEFT(J179,FIND("|",J179)-1)),IF(ISNUMBER(MATCH(J179,Config!$F$1:$F$224,0)),J179,IFERROR(INDEX(Config!$F$1:$F$224,MATCH(J179,Config!$G$1:$G$224,0)),""))))</f>
        <v>LPD10795</v>
      </c>
      <c r="J179" s="8" t="s">
        <v>222</v>
      </c>
    </row>
    <row r="180" spans="1:10" ht="12" customHeight="1" x14ac:dyDescent="0.35">
      <c r="A180" s="6" t="s">
        <v>169</v>
      </c>
      <c r="B180" s="6" t="s">
        <v>170</v>
      </c>
      <c r="C180" s="6" t="s">
        <v>221</v>
      </c>
      <c r="D180" s="7" t="str">
        <f>IF(E180="","",IF(ISNUMBER(FIND("|",E180)),TRIM(LEFT(E180,FIND("|",E180)-1)),IF(ISNUMBER(MATCH(E180,Config!$C$1:$C$211,0)),E180,IFERROR(INDEX(Config!$C$1:$C$211,MATCH(E180,Config!$D$1:$D$211,0)),""))))</f>
        <v>OP-0119</v>
      </c>
      <c r="E180" s="8" t="s">
        <v>223</v>
      </c>
      <c r="F180" s="9">
        <v>12</v>
      </c>
      <c r="G180" s="10">
        <f t="shared" si="4"/>
        <v>48</v>
      </c>
      <c r="H180" s="11">
        <f t="shared" si="5"/>
        <v>3.3333333333333335E-3</v>
      </c>
      <c r="I180" s="7" t="str">
        <f>IF(J180="","",IF(ISNUMBER(FIND("|",J180)),TRIM(LEFT(J180,FIND("|",J180)-1)),IF(ISNUMBER(MATCH(J180,Config!$F$1:$F$224,0)),J180,IFERROR(INDEX(Config!$F$1:$F$224,MATCH(J180,Config!$G$1:$G$224,0)),""))))</f>
        <v>LPD10795</v>
      </c>
      <c r="J180" s="12" t="str">
        <f>IFERROR(INDEX($J$16:J179,MATCH(C180,$C$16:C179,0)),"")</f>
        <v>RAKIB</v>
      </c>
    </row>
    <row r="181" spans="1:10" ht="12" customHeight="1" x14ac:dyDescent="0.35">
      <c r="A181" s="6" t="s">
        <v>169</v>
      </c>
      <c r="B181" s="6" t="s">
        <v>170</v>
      </c>
      <c r="C181" s="6" t="s">
        <v>221</v>
      </c>
      <c r="D181" s="7" t="str">
        <f>IF(E181="","",IF(ISNUMBER(FIND("|",E181)),TRIM(LEFT(E181,FIND("|",E181)-1)),IF(ISNUMBER(MATCH(E181,Config!$C$1:$C$211,0)),E181,IFERROR(INDEX(Config!$C$1:$C$211,MATCH(E181,Config!$D$1:$D$211,0)),""))))</f>
        <v>OP-0120</v>
      </c>
      <c r="E181" s="8" t="s">
        <v>224</v>
      </c>
      <c r="F181" s="9">
        <v>24</v>
      </c>
      <c r="G181" s="10">
        <f t="shared" si="4"/>
        <v>48</v>
      </c>
      <c r="H181" s="11">
        <f t="shared" si="5"/>
        <v>6.6666666666666671E-3</v>
      </c>
      <c r="I181" s="7" t="str">
        <f>IF(J181="","",IF(ISNUMBER(FIND("|",J181)),TRIM(LEFT(J181,FIND("|",J181)-1)),IF(ISNUMBER(MATCH(J181,Config!$F$1:$F$224,0)),J181,IFERROR(INDEX(Config!$F$1:$F$224,MATCH(J181,Config!$G$1:$G$224,0)),""))))</f>
        <v>LPD10795</v>
      </c>
      <c r="J181" s="12" t="str">
        <f>IFERROR(INDEX($J$16:J180,MATCH(C181,$C$16:C180,0)),"")</f>
        <v>RAKIB</v>
      </c>
    </row>
    <row r="182" spans="1:10" ht="12" customHeight="1" x14ac:dyDescent="0.35">
      <c r="A182" s="6" t="s">
        <v>169</v>
      </c>
      <c r="B182" s="6" t="s">
        <v>170</v>
      </c>
      <c r="C182" s="6" t="s">
        <v>225</v>
      </c>
      <c r="D182" s="7" t="str">
        <f>IF(E182="","",IF(ISNUMBER(FIND("|",E182)),TRIM(LEFT(E182,FIND("|",E182)-1)),IF(ISNUMBER(MATCH(E182,Config!$C$1:$C$211,0)),E182,IFERROR(INDEX(Config!$C$1:$C$211,MATCH(E182,Config!$D$1:$D$211,0)),""))))</f>
        <v>OP-0121</v>
      </c>
      <c r="E182" s="8" t="s">
        <v>226</v>
      </c>
      <c r="F182" s="9">
        <v>14</v>
      </c>
      <c r="G182" s="10">
        <f t="shared" si="4"/>
        <v>80</v>
      </c>
      <c r="H182" s="11">
        <f t="shared" si="5"/>
        <v>3.8888888888888888E-3</v>
      </c>
      <c r="I182" s="7" t="str">
        <f>IF(J182="","",IF(ISNUMBER(FIND("|",J182)),TRIM(LEFT(J182,FIND("|",J182)-1)),IF(ISNUMBER(MATCH(J182,Config!$F$1:$F$224,0)),J182,IFERROR(INDEX(Config!$F$1:$F$224,MATCH(J182,Config!$G$1:$G$224,0)),""))))</f>
        <v>LPD10727</v>
      </c>
      <c r="J182" s="8" t="s">
        <v>227</v>
      </c>
    </row>
    <row r="183" spans="1:10" ht="12" customHeight="1" x14ac:dyDescent="0.35">
      <c r="A183" s="6" t="s">
        <v>169</v>
      </c>
      <c r="B183" s="6" t="s">
        <v>170</v>
      </c>
      <c r="C183" s="6" t="s">
        <v>225</v>
      </c>
      <c r="D183" s="7" t="str">
        <f>IF(E183="","",IF(ISNUMBER(FIND("|",E183)),TRIM(LEFT(E183,FIND("|",E183)-1)),IF(ISNUMBER(MATCH(E183,Config!$C$1:$C$211,0)),E183,IFERROR(INDEX(Config!$C$1:$C$211,MATCH(E183,Config!$D$1:$D$211,0)),""))))</f>
        <v>OP-0122</v>
      </c>
      <c r="E183" s="8" t="s">
        <v>228</v>
      </c>
      <c r="F183" s="9">
        <v>14</v>
      </c>
      <c r="G183" s="10">
        <f t="shared" si="4"/>
        <v>80</v>
      </c>
      <c r="H183" s="11">
        <f t="shared" si="5"/>
        <v>3.8888888888888888E-3</v>
      </c>
      <c r="I183" s="7" t="str">
        <f>IF(J183="","",IF(ISNUMBER(FIND("|",J183)),TRIM(LEFT(J183,FIND("|",J183)-1)),IF(ISNUMBER(MATCH(J183,Config!$F$1:$F$224,0)),J183,IFERROR(INDEX(Config!$F$1:$F$224,MATCH(J183,Config!$G$1:$G$224,0)),""))))</f>
        <v>LPD10727</v>
      </c>
      <c r="J183" s="12" t="str">
        <f>IFERROR(INDEX($J$16:J182,MATCH(C183,$C$16:C182,0)),"")</f>
        <v>SHAN BASHA</v>
      </c>
    </row>
    <row r="184" spans="1:10" ht="12" customHeight="1" x14ac:dyDescent="0.35">
      <c r="A184" s="6" t="s">
        <v>169</v>
      </c>
      <c r="B184" s="6" t="s">
        <v>170</v>
      </c>
      <c r="C184" s="6" t="s">
        <v>225</v>
      </c>
      <c r="D184" s="7" t="str">
        <f>IF(E184="","",IF(ISNUMBER(FIND("|",E184)),TRIM(LEFT(E184,FIND("|",E184)-1)),IF(ISNUMBER(MATCH(E184,Config!$C$1:$C$211,0)),E184,IFERROR(INDEX(Config!$C$1:$C$211,MATCH(E184,Config!$D$1:$D$211,0)),""))))</f>
        <v>OP-0123</v>
      </c>
      <c r="E184" s="8" t="s">
        <v>229</v>
      </c>
      <c r="F184" s="9">
        <v>52</v>
      </c>
      <c r="G184" s="10">
        <f t="shared" si="4"/>
        <v>80</v>
      </c>
      <c r="H184" s="11">
        <f t="shared" si="5"/>
        <v>1.4444444444444444E-2</v>
      </c>
      <c r="I184" s="7" t="str">
        <f>IF(J184="","",IF(ISNUMBER(FIND("|",J184)),TRIM(LEFT(J184,FIND("|",J184)-1)),IF(ISNUMBER(MATCH(J184,Config!$F$1:$F$224,0)),J184,IFERROR(INDEX(Config!$F$1:$F$224,MATCH(J184,Config!$G$1:$G$224,0)),""))))</f>
        <v>LPD10727</v>
      </c>
      <c r="J184" s="12" t="str">
        <f>IFERROR(INDEX($J$16:J183,MATCH(C184,$C$16:C183,0)),"")</f>
        <v>SHAN BASHA</v>
      </c>
    </row>
    <row r="185" spans="1:10" ht="12" customHeight="1" x14ac:dyDescent="0.35">
      <c r="A185" s="6" t="s">
        <v>169</v>
      </c>
      <c r="B185" s="6" t="s">
        <v>170</v>
      </c>
      <c r="C185" s="6" t="s">
        <v>230</v>
      </c>
      <c r="D185" s="7" t="str">
        <f>IF(E185="","",IF(ISNUMBER(FIND("|",E185)),TRIM(LEFT(E185,FIND("|",E185)-1)),IF(ISNUMBER(MATCH(E185,Config!$C$1:$C$211,0)),E185,IFERROR(INDEX(Config!$C$1:$C$211,MATCH(E185,Config!$D$1:$D$211,0)),""))))</f>
        <v>OP-0121</v>
      </c>
      <c r="E185" s="8" t="s">
        <v>226</v>
      </c>
      <c r="F185" s="9">
        <v>14</v>
      </c>
      <c r="G185" s="10">
        <f t="shared" si="4"/>
        <v>80</v>
      </c>
      <c r="H185" s="11">
        <f t="shared" si="5"/>
        <v>3.8888888888888888E-3</v>
      </c>
      <c r="I185" s="7" t="str">
        <f>IF(J185="","",IF(ISNUMBER(FIND("|",J185)),TRIM(LEFT(J185,FIND("|",J185)-1)),IF(ISNUMBER(MATCH(J185,Config!$F$1:$F$224,0)),J185,IFERROR(INDEX(Config!$F$1:$F$224,MATCH(J185,Config!$G$1:$G$224,0)),""))))</f>
        <v>LPD12139</v>
      </c>
      <c r="J185" s="8" t="s">
        <v>231</v>
      </c>
    </row>
    <row r="186" spans="1:10" ht="12" customHeight="1" x14ac:dyDescent="0.35">
      <c r="A186" s="6" t="s">
        <v>169</v>
      </c>
      <c r="B186" s="6" t="s">
        <v>170</v>
      </c>
      <c r="C186" s="6" t="s">
        <v>230</v>
      </c>
      <c r="D186" s="7" t="str">
        <f>IF(E186="","",IF(ISNUMBER(FIND("|",E186)),TRIM(LEFT(E186,FIND("|",E186)-1)),IF(ISNUMBER(MATCH(E186,Config!$C$1:$C$211,0)),E186,IFERROR(INDEX(Config!$C$1:$C$211,MATCH(E186,Config!$D$1:$D$211,0)),""))))</f>
        <v>OP-0122</v>
      </c>
      <c r="E186" s="8" t="s">
        <v>228</v>
      </c>
      <c r="F186" s="9">
        <v>14</v>
      </c>
      <c r="G186" s="10">
        <f t="shared" si="4"/>
        <v>80</v>
      </c>
      <c r="H186" s="11">
        <f t="shared" si="5"/>
        <v>3.8888888888888888E-3</v>
      </c>
      <c r="I186" s="7" t="str">
        <f>IF(J186="","",IF(ISNUMBER(FIND("|",J186)),TRIM(LEFT(J186,FIND("|",J186)-1)),IF(ISNUMBER(MATCH(J186,Config!$F$1:$F$224,0)),J186,IFERROR(INDEX(Config!$F$1:$F$224,MATCH(J186,Config!$G$1:$G$224,0)),""))))</f>
        <v>LPD12139</v>
      </c>
      <c r="J186" s="12" t="str">
        <f>IFERROR(INDEX($J$16:J185,MATCH(C186,$C$16:C185,0)),"")</f>
        <v>SARTHAJ</v>
      </c>
    </row>
    <row r="187" spans="1:10" ht="12" customHeight="1" x14ac:dyDescent="0.35">
      <c r="A187" s="6" t="s">
        <v>169</v>
      </c>
      <c r="B187" s="6" t="s">
        <v>170</v>
      </c>
      <c r="C187" s="6" t="s">
        <v>230</v>
      </c>
      <c r="D187" s="7" t="str">
        <f>IF(E187="","",IF(ISNUMBER(FIND("|",E187)),TRIM(LEFT(E187,FIND("|",E187)-1)),IF(ISNUMBER(MATCH(E187,Config!$C$1:$C$211,0)),E187,IFERROR(INDEX(Config!$C$1:$C$211,MATCH(E187,Config!$D$1:$D$211,0)),""))))</f>
        <v>OP-0123</v>
      </c>
      <c r="E187" s="8" t="s">
        <v>229</v>
      </c>
      <c r="F187" s="9">
        <v>52</v>
      </c>
      <c r="G187" s="10">
        <f t="shared" si="4"/>
        <v>80</v>
      </c>
      <c r="H187" s="11">
        <f t="shared" si="5"/>
        <v>1.4444444444444444E-2</v>
      </c>
      <c r="I187" s="7" t="str">
        <f>IF(J187="","",IF(ISNUMBER(FIND("|",J187)),TRIM(LEFT(J187,FIND("|",J187)-1)),IF(ISNUMBER(MATCH(J187,Config!$F$1:$F$224,0)),J187,IFERROR(INDEX(Config!$F$1:$F$224,MATCH(J187,Config!$G$1:$G$224,0)),""))))</f>
        <v>LPD12139</v>
      </c>
      <c r="J187" s="12" t="str">
        <f>IFERROR(INDEX($J$16:J186,MATCH(C187,$C$16:C186,0)),"")</f>
        <v>SARTHAJ</v>
      </c>
    </row>
    <row r="188" spans="1:10" ht="12" customHeight="1" x14ac:dyDescent="0.35">
      <c r="A188" s="6" t="s">
        <v>169</v>
      </c>
      <c r="B188" s="6" t="s">
        <v>170</v>
      </c>
      <c r="C188" s="6" t="s">
        <v>232</v>
      </c>
      <c r="D188" s="7" t="str">
        <f>IF(E188="","",IF(ISNUMBER(FIND("|",E188)),TRIM(LEFT(E188,FIND("|",E188)-1)),IF(ISNUMBER(MATCH(E188,Config!$C$1:$C$211,0)),E188,IFERROR(INDEX(Config!$C$1:$C$211,MATCH(E188,Config!$D$1:$D$211,0)),""))))</f>
        <v>OP-0124</v>
      </c>
      <c r="E188" s="8" t="s">
        <v>233</v>
      </c>
      <c r="F188" s="9">
        <v>36</v>
      </c>
      <c r="G188" s="10">
        <f t="shared" si="4"/>
        <v>64</v>
      </c>
      <c r="H188" s="11">
        <f t="shared" si="5"/>
        <v>0.01</v>
      </c>
      <c r="I188" s="7" t="str">
        <f>IF(J188="","",IF(ISNUMBER(FIND("|",J188)),TRIM(LEFT(J188,FIND("|",J188)-1)),IF(ISNUMBER(MATCH(J188,Config!$F$1:$F$224,0)),J188,IFERROR(INDEX(Config!$F$1:$F$224,MATCH(J188,Config!$G$1:$G$224,0)),""))))</f>
        <v>LPD11669</v>
      </c>
      <c r="J188" s="8" t="s">
        <v>234</v>
      </c>
    </row>
    <row r="189" spans="1:10" ht="12" customHeight="1" x14ac:dyDescent="0.35">
      <c r="A189" s="6" t="s">
        <v>169</v>
      </c>
      <c r="B189" s="6" t="s">
        <v>170</v>
      </c>
      <c r="C189" s="6" t="s">
        <v>232</v>
      </c>
      <c r="D189" s="7" t="str">
        <f>IF(E189="","",IF(ISNUMBER(FIND("|",E189)),TRIM(LEFT(E189,FIND("|",E189)-1)),IF(ISNUMBER(MATCH(E189,Config!$C$1:$C$211,0)),E189,IFERROR(INDEX(Config!$C$1:$C$211,MATCH(E189,Config!$D$1:$D$211,0)),""))))</f>
        <v>OP-0088</v>
      </c>
      <c r="E189" s="8" t="s">
        <v>165</v>
      </c>
      <c r="F189" s="9">
        <v>28</v>
      </c>
      <c r="G189" s="10">
        <f t="shared" si="4"/>
        <v>64</v>
      </c>
      <c r="H189" s="11">
        <f t="shared" si="5"/>
        <v>7.7777777777777776E-3</v>
      </c>
      <c r="I189" s="7" t="str">
        <f>IF(J189="","",IF(ISNUMBER(FIND("|",J189)),TRIM(LEFT(J189,FIND("|",J189)-1)),IF(ISNUMBER(MATCH(J189,Config!$F$1:$F$224,0)),J189,IFERROR(INDEX(Config!$F$1:$F$224,MATCH(J189,Config!$G$1:$G$224,0)),""))))</f>
        <v>LPD11669</v>
      </c>
      <c r="J189" s="12" t="str">
        <f>IFERROR(INDEX($J$16:J188,MATCH(C189,$C$16:C188,0)),"")</f>
        <v>LEVINA</v>
      </c>
    </row>
    <row r="190" spans="1:10" ht="12" customHeight="1" x14ac:dyDescent="0.35">
      <c r="A190" s="6" t="s">
        <v>169</v>
      </c>
      <c r="B190" s="6" t="s">
        <v>170</v>
      </c>
      <c r="C190" s="6" t="s">
        <v>235</v>
      </c>
      <c r="D190" s="7" t="str">
        <f>IF(E190="","",IF(ISNUMBER(FIND("|",E190)),TRIM(LEFT(E190,FIND("|",E190)-1)),IF(ISNUMBER(MATCH(E190,Config!$C$1:$C$211,0)),E190,IFERROR(INDEX(Config!$C$1:$C$211,MATCH(E190,Config!$D$1:$D$211,0)),""))))</f>
        <v>OP-0053</v>
      </c>
      <c r="E190" s="8" t="s">
        <v>104</v>
      </c>
      <c r="F190" s="9">
        <v>10</v>
      </c>
      <c r="G190" s="10">
        <f t="shared" si="4"/>
        <v>66</v>
      </c>
      <c r="H190" s="11">
        <f t="shared" si="5"/>
        <v>2.7777777777777779E-3</v>
      </c>
      <c r="I190" s="7" t="str">
        <f>IF(J190="","",IF(ISNUMBER(FIND("|",J190)),TRIM(LEFT(J190,FIND("|",J190)-1)),IF(ISNUMBER(MATCH(J190,Config!$F$1:$F$224,0)),J190,IFERROR(INDEX(Config!$F$1:$F$224,MATCH(J190,Config!$G$1:$G$224,0)),""))))</f>
        <v>LPD05252</v>
      </c>
      <c r="J190" s="8" t="s">
        <v>236</v>
      </c>
    </row>
    <row r="191" spans="1:10" ht="12" customHeight="1" x14ac:dyDescent="0.35">
      <c r="A191" s="6" t="s">
        <v>169</v>
      </c>
      <c r="B191" s="6" t="s">
        <v>170</v>
      </c>
      <c r="C191" s="6" t="s">
        <v>235</v>
      </c>
      <c r="D191" s="7" t="str">
        <f>IF(E191="","",IF(ISNUMBER(FIND("|",E191)),TRIM(LEFT(E191,FIND("|",E191)-1)),IF(ISNUMBER(MATCH(E191,Config!$C$1:$C$211,0)),E191,IFERROR(INDEX(Config!$C$1:$C$211,MATCH(E191,Config!$D$1:$D$211,0)),""))))</f>
        <v>OP-0053</v>
      </c>
      <c r="E191" s="8" t="s">
        <v>104</v>
      </c>
      <c r="F191" s="9">
        <v>12</v>
      </c>
      <c r="G191" s="10">
        <f t="shared" si="4"/>
        <v>66</v>
      </c>
      <c r="H191" s="11">
        <f t="shared" si="5"/>
        <v>3.3333333333333335E-3</v>
      </c>
      <c r="I191" s="7" t="str">
        <f>IF(J191="","",IF(ISNUMBER(FIND("|",J191)),TRIM(LEFT(J191,FIND("|",J191)-1)),IF(ISNUMBER(MATCH(J191,Config!$F$1:$F$224,0)),J191,IFERROR(INDEX(Config!$F$1:$F$224,MATCH(J191,Config!$G$1:$G$224,0)),""))))</f>
        <v>LPD05252</v>
      </c>
      <c r="J191" s="12" t="str">
        <f>IFERROR(INDEX($J$16:J190,MATCH(C191,$C$16:C190,0)),"")</f>
        <v>SHEINAAZ</v>
      </c>
    </row>
    <row r="192" spans="1:10" ht="12" customHeight="1" x14ac:dyDescent="0.35">
      <c r="A192" s="6" t="s">
        <v>169</v>
      </c>
      <c r="B192" s="6" t="s">
        <v>170</v>
      </c>
      <c r="C192" s="6" t="s">
        <v>235</v>
      </c>
      <c r="D192" s="7" t="str">
        <f>IF(E192="","",IF(ISNUMBER(FIND("|",E192)),TRIM(LEFT(E192,FIND("|",E192)-1)),IF(ISNUMBER(MATCH(E192,Config!$C$1:$C$211,0)),E192,IFERROR(INDEX(Config!$C$1:$C$211,MATCH(E192,Config!$D$1:$D$211,0)),""))))</f>
        <v>OP-0053</v>
      </c>
      <c r="E192" s="8" t="s">
        <v>104</v>
      </c>
      <c r="F192" s="9">
        <v>12</v>
      </c>
      <c r="G192" s="10">
        <f t="shared" si="4"/>
        <v>66</v>
      </c>
      <c r="H192" s="11">
        <f t="shared" si="5"/>
        <v>3.3333333333333335E-3</v>
      </c>
      <c r="I192" s="7" t="str">
        <f>IF(J192="","",IF(ISNUMBER(FIND("|",J192)),TRIM(LEFT(J192,FIND("|",J192)-1)),IF(ISNUMBER(MATCH(J192,Config!$F$1:$F$224,0)),J192,IFERROR(INDEX(Config!$F$1:$F$224,MATCH(J192,Config!$G$1:$G$224,0)),""))))</f>
        <v>LPD05252</v>
      </c>
      <c r="J192" s="12" t="str">
        <f>IFERROR(INDEX($J$16:J191,MATCH(C192,$C$16:C191,0)),"")</f>
        <v>SHEINAAZ</v>
      </c>
    </row>
    <row r="193" spans="1:10" ht="12" customHeight="1" x14ac:dyDescent="0.35">
      <c r="A193" s="6" t="s">
        <v>169</v>
      </c>
      <c r="B193" s="6" t="s">
        <v>170</v>
      </c>
      <c r="C193" s="6" t="s">
        <v>235</v>
      </c>
      <c r="D193" s="7" t="str">
        <f>IF(E193="","",IF(ISNUMBER(FIND("|",E193)),TRIM(LEFT(E193,FIND("|",E193)-1)),IF(ISNUMBER(MATCH(E193,Config!$C$1:$C$211,0)),E193,IFERROR(INDEX(Config!$C$1:$C$211,MATCH(E193,Config!$D$1:$D$211,0)),""))))</f>
        <v>OP-0053</v>
      </c>
      <c r="E193" s="8" t="s">
        <v>104</v>
      </c>
      <c r="F193" s="9">
        <v>10</v>
      </c>
      <c r="G193" s="10">
        <f t="shared" si="4"/>
        <v>66</v>
      </c>
      <c r="H193" s="11">
        <f t="shared" si="5"/>
        <v>2.7777777777777779E-3</v>
      </c>
      <c r="I193" s="7" t="str">
        <f>IF(J193="","",IF(ISNUMBER(FIND("|",J193)),TRIM(LEFT(J193,FIND("|",J193)-1)),IF(ISNUMBER(MATCH(J193,Config!$F$1:$F$224,0)),J193,IFERROR(INDEX(Config!$F$1:$F$224,MATCH(J193,Config!$G$1:$G$224,0)),""))))</f>
        <v>LPD05252</v>
      </c>
      <c r="J193" s="12" t="str">
        <f>IFERROR(INDEX($J$16:J192,MATCH(C193,$C$16:C192,0)),"")</f>
        <v>SHEINAAZ</v>
      </c>
    </row>
    <row r="194" spans="1:10" ht="12" customHeight="1" x14ac:dyDescent="0.35">
      <c r="A194" s="6" t="s">
        <v>169</v>
      </c>
      <c r="B194" s="6" t="s">
        <v>170</v>
      </c>
      <c r="C194" s="6" t="s">
        <v>235</v>
      </c>
      <c r="D194" s="7" t="str">
        <f>IF(E194="","",IF(ISNUMBER(FIND("|",E194)),TRIM(LEFT(E194,FIND("|",E194)-1)),IF(ISNUMBER(MATCH(E194,Config!$C$1:$C$211,0)),E194,IFERROR(INDEX(Config!$C$1:$C$211,MATCH(E194,Config!$D$1:$D$211,0)),""))))</f>
        <v>OP-0053</v>
      </c>
      <c r="E194" s="8" t="s">
        <v>104</v>
      </c>
      <c r="F194" s="9">
        <v>12</v>
      </c>
      <c r="G194" s="10">
        <f t="shared" si="4"/>
        <v>66</v>
      </c>
      <c r="H194" s="11">
        <f t="shared" si="5"/>
        <v>3.3333333333333335E-3</v>
      </c>
      <c r="I194" s="7" t="str">
        <f>IF(J194="","",IF(ISNUMBER(FIND("|",J194)),TRIM(LEFT(J194,FIND("|",J194)-1)),IF(ISNUMBER(MATCH(J194,Config!$F$1:$F$224,0)),J194,IFERROR(INDEX(Config!$F$1:$F$224,MATCH(J194,Config!$G$1:$G$224,0)),""))))</f>
        <v>LPD05252</v>
      </c>
      <c r="J194" s="12" t="str">
        <f>IFERROR(INDEX($J$16:J193,MATCH(C194,$C$16:C193,0)),"")</f>
        <v>SHEINAAZ</v>
      </c>
    </row>
    <row r="195" spans="1:10" ht="12" customHeight="1" x14ac:dyDescent="0.35">
      <c r="A195" s="6" t="s">
        <v>169</v>
      </c>
      <c r="B195" s="6" t="s">
        <v>170</v>
      </c>
      <c r="C195" s="6" t="s">
        <v>235</v>
      </c>
      <c r="D195" s="7" t="str">
        <f>IF(E195="","",IF(ISNUMBER(FIND("|",E195)),TRIM(LEFT(E195,FIND("|",E195)-1)),IF(ISNUMBER(MATCH(E195,Config!$C$1:$C$211,0)),E195,IFERROR(INDEX(Config!$C$1:$C$211,MATCH(E195,Config!$D$1:$D$211,0)),""))))</f>
        <v>OP-0053</v>
      </c>
      <c r="E195" s="8" t="s">
        <v>104</v>
      </c>
      <c r="F195" s="9">
        <v>10</v>
      </c>
      <c r="G195" s="10">
        <f t="shared" si="4"/>
        <v>66</v>
      </c>
      <c r="H195" s="11">
        <f t="shared" si="5"/>
        <v>2.7777777777777779E-3</v>
      </c>
      <c r="I195" s="7" t="str">
        <f>IF(J195="","",IF(ISNUMBER(FIND("|",J195)),TRIM(LEFT(J195,FIND("|",J195)-1)),IF(ISNUMBER(MATCH(J195,Config!$F$1:$F$224,0)),J195,IFERROR(INDEX(Config!$F$1:$F$224,MATCH(J195,Config!$G$1:$G$224,0)),""))))</f>
        <v>LPD05252</v>
      </c>
      <c r="J195" s="12" t="str">
        <f>IFERROR(INDEX($J$16:J194,MATCH(C195,$C$16:C194,0)),"")</f>
        <v>SHEINAAZ</v>
      </c>
    </row>
    <row r="196" spans="1:10" ht="12" customHeight="1" x14ac:dyDescent="0.35">
      <c r="A196" s="6" t="s">
        <v>120</v>
      </c>
      <c r="B196" s="6" t="s">
        <v>170</v>
      </c>
      <c r="C196" s="6" t="s">
        <v>237</v>
      </c>
      <c r="D196" s="7" t="str">
        <f>IF(E196="","",IF(ISNUMBER(FIND("|",E196)),TRIM(LEFT(E196,FIND("|",E196)-1)),IF(ISNUMBER(MATCH(E196,Config!$C$1:$C$211,0)),E196,IFERROR(INDEX(Config!$C$1:$C$211,MATCH(E196,Config!$D$1:$D$211,0)),""))))</f>
        <v>OP-0058</v>
      </c>
      <c r="E196" s="8" t="s">
        <v>113</v>
      </c>
      <c r="F196" s="9">
        <v>10</v>
      </c>
      <c r="G196" s="10">
        <f t="shared" si="4"/>
        <v>40</v>
      </c>
      <c r="H196" s="11">
        <f t="shared" si="5"/>
        <v>2.7777777777777779E-3</v>
      </c>
      <c r="I196" s="7" t="str">
        <f>IF(J196="","",IF(ISNUMBER(FIND("|",J196)),TRIM(LEFT(J196,FIND("|",J196)-1)),IF(ISNUMBER(MATCH(J196,Config!$F$1:$F$224,0)),J196,IFERROR(INDEX(Config!$F$1:$F$224,MATCH(J196,Config!$G$1:$G$224,0)),""))))</f>
        <v>LPDS95788</v>
      </c>
      <c r="J196" s="13" t="s">
        <v>1005</v>
      </c>
    </row>
    <row r="197" spans="1:10" ht="12" customHeight="1" x14ac:dyDescent="0.35">
      <c r="A197" s="6" t="s">
        <v>120</v>
      </c>
      <c r="B197" s="6" t="s">
        <v>170</v>
      </c>
      <c r="C197" s="6" t="s">
        <v>237</v>
      </c>
      <c r="D197" s="7" t="str">
        <f>IF(E197="","",IF(ISNUMBER(FIND("|",E197)),TRIM(LEFT(E197,FIND("|",E197)-1)),IF(ISNUMBER(MATCH(E197,Config!$C$1:$C$211,0)),E197,IFERROR(INDEX(Config!$C$1:$C$211,MATCH(E197,Config!$D$1:$D$211,0)),""))))</f>
        <v>OP-0059</v>
      </c>
      <c r="E197" s="8" t="s">
        <v>117</v>
      </c>
      <c r="F197" s="9">
        <v>10</v>
      </c>
      <c r="G197" s="10">
        <f t="shared" si="4"/>
        <v>40</v>
      </c>
      <c r="H197" s="11">
        <f t="shared" si="5"/>
        <v>2.7777777777777779E-3</v>
      </c>
      <c r="I197" s="7" t="str">
        <f>IF(J197="","",IF(ISNUMBER(FIND("|",J197)),TRIM(LEFT(J197,FIND("|",J197)-1)),IF(ISNUMBER(MATCH(J197,Config!$F$1:$F$224,0)),J197,IFERROR(INDEX(Config!$F$1:$F$224,MATCH(J197,Config!$G$1:$G$224,0)),""))))</f>
        <v>LPDS95788</v>
      </c>
      <c r="J197" s="12" t="str">
        <f>IFERROR(INDEX($J$16:J196,MATCH(C197,$C$16:C196,0)),"")</f>
        <v>LPDS95788 | MUMTAZ</v>
      </c>
    </row>
    <row r="198" spans="1:10" ht="12" customHeight="1" x14ac:dyDescent="0.35">
      <c r="A198" s="6" t="s">
        <v>120</v>
      </c>
      <c r="B198" s="6" t="s">
        <v>170</v>
      </c>
      <c r="C198" s="6" t="s">
        <v>237</v>
      </c>
      <c r="D198" s="7" t="str">
        <f>IF(E198="","",IF(ISNUMBER(FIND("|",E198)),TRIM(LEFT(E198,FIND("|",E198)-1)),IF(ISNUMBER(MATCH(E198,Config!$C$1:$C$211,0)),E198,IFERROR(INDEX(Config!$C$1:$C$211,MATCH(E198,Config!$D$1:$D$211,0)),""))))</f>
        <v>OP-0060</v>
      </c>
      <c r="E198" s="8" t="s">
        <v>118</v>
      </c>
      <c r="F198" s="9">
        <v>10</v>
      </c>
      <c r="G198" s="10">
        <f t="shared" si="4"/>
        <v>40</v>
      </c>
      <c r="H198" s="11">
        <f t="shared" si="5"/>
        <v>2.7777777777777779E-3</v>
      </c>
      <c r="I198" s="7" t="str">
        <f>IF(J198="","",IF(ISNUMBER(FIND("|",J198)),TRIM(LEFT(J198,FIND("|",J198)-1)),IF(ISNUMBER(MATCH(J198,Config!$F$1:$F$224,0)),J198,IFERROR(INDEX(Config!$F$1:$F$224,MATCH(J198,Config!$G$1:$G$224,0)),""))))</f>
        <v>LPDS95788</v>
      </c>
      <c r="J198" s="12" t="str">
        <f>IFERROR(INDEX($J$16:J197,MATCH(C198,$C$16:C197,0)),"")</f>
        <v>LPDS95788 | MUMTAZ</v>
      </c>
    </row>
    <row r="199" spans="1:10" ht="12" customHeight="1" x14ac:dyDescent="0.35">
      <c r="A199" s="6" t="s">
        <v>120</v>
      </c>
      <c r="B199" s="6" t="s">
        <v>170</v>
      </c>
      <c r="C199" s="6" t="s">
        <v>237</v>
      </c>
      <c r="D199" s="7" t="str">
        <f>IF(E199="","",IF(ISNUMBER(FIND("|",E199)),TRIM(LEFT(E199,FIND("|",E199)-1)),IF(ISNUMBER(MATCH(E199,Config!$C$1:$C$211,0)),E199,IFERROR(INDEX(Config!$C$1:$C$211,MATCH(E199,Config!$D$1:$D$211,0)),""))))</f>
        <v>OP-0057</v>
      </c>
      <c r="E199" s="8" t="s">
        <v>111</v>
      </c>
      <c r="F199" s="9">
        <v>10</v>
      </c>
      <c r="G199" s="10">
        <f t="shared" si="4"/>
        <v>40</v>
      </c>
      <c r="H199" s="11">
        <f t="shared" si="5"/>
        <v>2.7777777777777779E-3</v>
      </c>
      <c r="I199" s="7" t="str">
        <f>IF(J199="","",IF(ISNUMBER(FIND("|",J199)),TRIM(LEFT(J199,FIND("|",J199)-1)),IF(ISNUMBER(MATCH(J199,Config!$F$1:$F$224,0)),J199,IFERROR(INDEX(Config!$F$1:$F$224,MATCH(J199,Config!$G$1:$G$224,0)),""))))</f>
        <v>LPDS95788</v>
      </c>
      <c r="J199" s="12" t="str">
        <f>IFERROR(INDEX($J$16:J198,MATCH(C199,$C$16:C198,0)),"")</f>
        <v>LPDS95788 | MUMTAZ</v>
      </c>
    </row>
    <row r="200" spans="1:10" ht="12" customHeight="1" x14ac:dyDescent="0.35">
      <c r="A200" s="6" t="s">
        <v>169</v>
      </c>
      <c r="B200" s="6" t="s">
        <v>170</v>
      </c>
      <c r="C200" s="6" t="s">
        <v>238</v>
      </c>
      <c r="D200" s="7" t="str">
        <f>IF(E200="","",IF(ISNUMBER(FIND("|",E200)),TRIM(LEFT(E200,FIND("|",E200)-1)),IF(ISNUMBER(MATCH(E200,Config!$C$1:$C$211,0)),E200,IFERROR(INDEX(Config!$C$1:$C$211,MATCH(E200,Config!$D$1:$D$211,0)),""))))</f>
        <v>OP-0058</v>
      </c>
      <c r="E200" s="8" t="s">
        <v>113</v>
      </c>
      <c r="F200" s="9">
        <v>16</v>
      </c>
      <c r="G200" s="10">
        <f t="shared" si="4"/>
        <v>48</v>
      </c>
      <c r="H200" s="11">
        <f t="shared" si="5"/>
        <v>4.4444444444444444E-3</v>
      </c>
      <c r="I200" s="7" t="str">
        <f>IF(J200="","",IF(ISNUMBER(FIND("|",J200)),TRIM(LEFT(J200,FIND("|",J200)-1)),IF(ISNUMBER(MATCH(J200,Config!$F$1:$F$224,0)),J200,IFERROR(INDEX(Config!$F$1:$F$224,MATCH(J200,Config!$G$1:$G$224,0)),""))))</f>
        <v>LPD10526</v>
      </c>
      <c r="J200" s="8" t="s">
        <v>142</v>
      </c>
    </row>
    <row r="201" spans="1:10" ht="12" customHeight="1" x14ac:dyDescent="0.35">
      <c r="A201" s="6" t="s">
        <v>169</v>
      </c>
      <c r="B201" s="6" t="s">
        <v>170</v>
      </c>
      <c r="C201" s="6" t="s">
        <v>238</v>
      </c>
      <c r="D201" s="7" t="str">
        <f>IF(E201="","",IF(ISNUMBER(FIND("|",E201)),TRIM(LEFT(E201,FIND("|",E201)-1)),IF(ISNUMBER(MATCH(E201,Config!$C$1:$C$211,0)),E201,IFERROR(INDEX(Config!$C$1:$C$211,MATCH(E201,Config!$D$1:$D$211,0)),""))))</f>
        <v>OP-0059</v>
      </c>
      <c r="E201" s="8" t="s">
        <v>117</v>
      </c>
      <c r="F201" s="9">
        <v>16</v>
      </c>
      <c r="G201" s="10">
        <f t="shared" si="4"/>
        <v>48</v>
      </c>
      <c r="H201" s="11">
        <f t="shared" si="5"/>
        <v>4.4444444444444444E-3</v>
      </c>
      <c r="I201" s="7" t="str">
        <f>IF(J201="","",IF(ISNUMBER(FIND("|",J201)),TRIM(LEFT(J201,FIND("|",J201)-1)),IF(ISNUMBER(MATCH(J201,Config!$F$1:$F$224,0)),J201,IFERROR(INDEX(Config!$F$1:$F$224,MATCH(J201,Config!$G$1:$G$224,0)),""))))</f>
        <v>LPD10526</v>
      </c>
      <c r="J201" s="12" t="str">
        <f>IFERROR(INDEX($J$16:J200,MATCH(C201,$C$16:C200,0)),"")</f>
        <v>SHAKEERA</v>
      </c>
    </row>
    <row r="202" spans="1:10" ht="12" customHeight="1" x14ac:dyDescent="0.35">
      <c r="A202" s="6" t="s">
        <v>169</v>
      </c>
      <c r="B202" s="6" t="s">
        <v>170</v>
      </c>
      <c r="C202" s="6" t="s">
        <v>238</v>
      </c>
      <c r="D202" s="7" t="str">
        <f>IF(E202="","",IF(ISNUMBER(FIND("|",E202)),TRIM(LEFT(E202,FIND("|",E202)-1)),IF(ISNUMBER(MATCH(E202,Config!$C$1:$C$211,0)),E202,IFERROR(INDEX(Config!$C$1:$C$211,MATCH(E202,Config!$D$1:$D$211,0)),""))))</f>
        <v>OP-0057</v>
      </c>
      <c r="E202" s="8" t="s">
        <v>111</v>
      </c>
      <c r="F202" s="9">
        <v>16</v>
      </c>
      <c r="G202" s="10">
        <f t="shared" si="4"/>
        <v>48</v>
      </c>
      <c r="H202" s="11">
        <f t="shared" si="5"/>
        <v>4.4444444444444444E-3</v>
      </c>
      <c r="I202" s="7" t="str">
        <f>IF(J202="","",IF(ISNUMBER(FIND("|",J202)),TRIM(LEFT(J202,FIND("|",J202)-1)),IF(ISNUMBER(MATCH(J202,Config!$F$1:$F$224,0)),J202,IFERROR(INDEX(Config!$F$1:$F$224,MATCH(J202,Config!$G$1:$G$224,0)),""))))</f>
        <v>LPD10526</v>
      </c>
      <c r="J202" s="12" t="str">
        <f>IFERROR(INDEX($J$16:J201,MATCH(C202,$C$16:C201,0)),"")</f>
        <v>SHAKEERA</v>
      </c>
    </row>
    <row r="203" spans="1:10" ht="12" customHeight="1" x14ac:dyDescent="0.35">
      <c r="A203" s="6" t="s">
        <v>169</v>
      </c>
      <c r="B203" s="6" t="s">
        <v>170</v>
      </c>
      <c r="C203" s="6" t="s">
        <v>239</v>
      </c>
      <c r="D203" s="7" t="str">
        <f>IF(E203="","",IF(ISNUMBER(FIND("|",E203)),TRIM(LEFT(E203,FIND("|",E203)-1)),IF(ISNUMBER(MATCH(E203,Config!$C$1:$C$211,0)),E203,IFERROR(INDEX(Config!$C$1:$C$211,MATCH(E203,Config!$D$1:$D$211,0)),""))))</f>
        <v>OP-0058</v>
      </c>
      <c r="E203" s="8" t="s">
        <v>113</v>
      </c>
      <c r="F203" s="9">
        <v>38</v>
      </c>
      <c r="G203" s="10">
        <f t="shared" si="4"/>
        <v>184</v>
      </c>
      <c r="H203" s="11">
        <f t="shared" si="5"/>
        <v>1.0555555555555556E-2</v>
      </c>
      <c r="I203" s="7" t="str">
        <f>IF(J203="","",IF(ISNUMBER(FIND("|",J203)),TRIM(LEFT(J203,FIND("|",J203)-1)),IF(ISNUMBER(MATCH(J203,Config!$F$1:$F$224,0)),J203,IFERROR(INDEX(Config!$F$1:$F$224,MATCH(J203,Config!$G$1:$G$224,0)),""))))</f>
        <v>LPD09702</v>
      </c>
      <c r="J203" s="8" t="s">
        <v>240</v>
      </c>
    </row>
    <row r="204" spans="1:10" ht="12" customHeight="1" x14ac:dyDescent="0.35">
      <c r="A204" s="6" t="s">
        <v>169</v>
      </c>
      <c r="B204" s="6" t="s">
        <v>170</v>
      </c>
      <c r="C204" s="6" t="s">
        <v>241</v>
      </c>
      <c r="D204" s="7" t="str">
        <f>IF(E204="","",IF(ISNUMBER(FIND("|",E204)),TRIM(LEFT(E204,FIND("|",E204)-1)),IF(ISNUMBER(MATCH(E204,Config!$C$1:$C$211,0)),E204,IFERROR(INDEX(Config!$C$1:$C$211,MATCH(E204,Config!$D$1:$D$211,0)),""))))</f>
        <v>OP-0058</v>
      </c>
      <c r="E204" s="8" t="s">
        <v>113</v>
      </c>
      <c r="F204" s="9">
        <v>38</v>
      </c>
      <c r="G204" s="10">
        <f t="shared" si="4"/>
        <v>148</v>
      </c>
      <c r="H204" s="11">
        <f t="shared" si="5"/>
        <v>1.0555555555555556E-2</v>
      </c>
      <c r="I204" s="7" t="str">
        <f>IF(J204="","",IF(ISNUMBER(FIND("|",J204)),TRIM(LEFT(J204,FIND("|",J204)-1)),IF(ISNUMBER(MATCH(J204,Config!$F$1:$F$224,0)),J204,IFERROR(INDEX(Config!$F$1:$F$224,MATCH(J204,Config!$G$1:$G$224,0)),""))))</f>
        <v>LPD10618</v>
      </c>
      <c r="J204" s="8" t="s">
        <v>242</v>
      </c>
    </row>
    <row r="205" spans="1:10" ht="12" customHeight="1" x14ac:dyDescent="0.35">
      <c r="A205" s="6" t="s">
        <v>169</v>
      </c>
      <c r="B205" s="6" t="s">
        <v>170</v>
      </c>
      <c r="C205" s="6" t="s">
        <v>239</v>
      </c>
      <c r="D205" s="7" t="str">
        <f>IF(E205="","",IF(ISNUMBER(FIND("|",E205)),TRIM(LEFT(E205,FIND("|",E205)-1)),IF(ISNUMBER(MATCH(E205,Config!$C$1:$C$211,0)),E205,IFERROR(INDEX(Config!$C$1:$C$211,MATCH(E205,Config!$D$1:$D$211,0)),""))))</f>
        <v>OP-0059</v>
      </c>
      <c r="E205" s="8" t="s">
        <v>117</v>
      </c>
      <c r="F205" s="9">
        <v>36</v>
      </c>
      <c r="G205" s="10">
        <f t="shared" si="4"/>
        <v>184</v>
      </c>
      <c r="H205" s="11">
        <f t="shared" si="5"/>
        <v>0.01</v>
      </c>
      <c r="I205" s="7" t="str">
        <f>IF(J205="","",IF(ISNUMBER(FIND("|",J205)),TRIM(LEFT(J205,FIND("|",J205)-1)),IF(ISNUMBER(MATCH(J205,Config!$F$1:$F$224,0)),J205,IFERROR(INDEX(Config!$F$1:$F$224,MATCH(J205,Config!$G$1:$G$224,0)),""))))</f>
        <v>LPD09702</v>
      </c>
      <c r="J205" s="12" t="str">
        <f>IFERROR(INDEX($J$16:J204,MATCH(C205,$C$16:C204,0)),"")</f>
        <v>DEVI</v>
      </c>
    </row>
    <row r="206" spans="1:10" ht="12" customHeight="1" x14ac:dyDescent="0.35">
      <c r="A206" s="6" t="s">
        <v>169</v>
      </c>
      <c r="B206" s="6" t="s">
        <v>170</v>
      </c>
      <c r="C206" s="6" t="s">
        <v>241</v>
      </c>
      <c r="D206" s="7" t="str">
        <f>IF(E206="","",IF(ISNUMBER(FIND("|",E206)),TRIM(LEFT(E206,FIND("|",E206)-1)),IF(ISNUMBER(MATCH(E206,Config!$C$1:$C$211,0)),E206,IFERROR(INDEX(Config!$C$1:$C$211,MATCH(E206,Config!$D$1:$D$211,0)),""))))</f>
        <v>OP-0059</v>
      </c>
      <c r="E206" s="8" t="s">
        <v>117</v>
      </c>
      <c r="F206" s="9">
        <v>36</v>
      </c>
      <c r="G206" s="10">
        <f t="shared" si="4"/>
        <v>148</v>
      </c>
      <c r="H206" s="11">
        <f t="shared" si="5"/>
        <v>0.01</v>
      </c>
      <c r="I206" s="7" t="str">
        <f>IF(J206="","",IF(ISNUMBER(FIND("|",J206)),TRIM(LEFT(J206,FIND("|",J206)-1)),IF(ISNUMBER(MATCH(J206,Config!$F$1:$F$224,0)),J206,IFERROR(INDEX(Config!$F$1:$F$224,MATCH(J206,Config!$G$1:$G$224,0)),""))))</f>
        <v>LPD10618</v>
      </c>
      <c r="J206" s="12" t="str">
        <f>IFERROR(INDEX($J$16:J205,MATCH(C206,$C$16:C205,0)),"")</f>
        <v>RAMEEZA</v>
      </c>
    </row>
    <row r="207" spans="1:10" ht="12" customHeight="1" x14ac:dyDescent="0.35">
      <c r="A207" s="6" t="s">
        <v>169</v>
      </c>
      <c r="B207" s="6" t="s">
        <v>170</v>
      </c>
      <c r="C207" s="6" t="s">
        <v>239</v>
      </c>
      <c r="D207" s="7" t="str">
        <f>IF(E207="","",IF(ISNUMBER(FIND("|",E207)),TRIM(LEFT(E207,FIND("|",E207)-1)),IF(ISNUMBER(MATCH(E207,Config!$C$1:$C$211,0)),E207,IFERROR(INDEX(Config!$C$1:$C$211,MATCH(E207,Config!$D$1:$D$211,0)),""))))</f>
        <v>OP-0060</v>
      </c>
      <c r="E207" s="8" t="s">
        <v>118</v>
      </c>
      <c r="F207" s="9">
        <v>36</v>
      </c>
      <c r="G207" s="10">
        <f t="shared" si="4"/>
        <v>184</v>
      </c>
      <c r="H207" s="11">
        <f t="shared" si="5"/>
        <v>0.01</v>
      </c>
      <c r="I207" s="7" t="str">
        <f>IF(J207="","",IF(ISNUMBER(FIND("|",J207)),TRIM(LEFT(J207,FIND("|",J207)-1)),IF(ISNUMBER(MATCH(J207,Config!$F$1:$F$224,0)),J207,IFERROR(INDEX(Config!$F$1:$F$224,MATCH(J207,Config!$G$1:$G$224,0)),""))))</f>
        <v>LPD09702</v>
      </c>
      <c r="J207" s="12" t="str">
        <f>IFERROR(INDEX($J$16:J206,MATCH(C207,$C$16:C206,0)),"")</f>
        <v>DEVI</v>
      </c>
    </row>
    <row r="208" spans="1:10" ht="12" customHeight="1" x14ac:dyDescent="0.35">
      <c r="A208" s="6" t="s">
        <v>169</v>
      </c>
      <c r="B208" s="6" t="s">
        <v>170</v>
      </c>
      <c r="C208" s="6" t="s">
        <v>241</v>
      </c>
      <c r="D208" s="7" t="str">
        <f>IF(E208="","",IF(ISNUMBER(FIND("|",E208)),TRIM(LEFT(E208,FIND("|",E208)-1)),IF(ISNUMBER(MATCH(E208,Config!$C$1:$C$211,0)),E208,IFERROR(INDEX(Config!$C$1:$C$211,MATCH(E208,Config!$D$1:$D$211,0)),""))))</f>
        <v>OP-0060</v>
      </c>
      <c r="E208" s="8" t="s">
        <v>118</v>
      </c>
      <c r="F208" s="9">
        <v>36</v>
      </c>
      <c r="G208" s="10">
        <f t="shared" ref="G208:G241" si="6">SUMIF($C$16:$C$241,C208,$F$16:$F$241)</f>
        <v>148</v>
      </c>
      <c r="H208" s="11">
        <f t="shared" ref="H208:H241" si="7">F208/3600</f>
        <v>0.01</v>
      </c>
      <c r="I208" s="7" t="str">
        <f>IF(J208="","",IF(ISNUMBER(FIND("|",J208)),TRIM(LEFT(J208,FIND("|",J208)-1)),IF(ISNUMBER(MATCH(J208,Config!$F$1:$F$224,0)),J208,IFERROR(INDEX(Config!$F$1:$F$224,MATCH(J208,Config!$G$1:$G$224,0)),""))))</f>
        <v>LPD10618</v>
      </c>
      <c r="J208" s="12" t="str">
        <f>IFERROR(INDEX($J$16:J207,MATCH(C208,$C$16:C207,0)),"")</f>
        <v>RAMEEZA</v>
      </c>
    </row>
    <row r="209" spans="1:10" ht="12" customHeight="1" x14ac:dyDescent="0.35">
      <c r="A209" s="6" t="s">
        <v>169</v>
      </c>
      <c r="B209" s="6" t="s">
        <v>170</v>
      </c>
      <c r="C209" s="6" t="s">
        <v>239</v>
      </c>
      <c r="D209" s="7" t="str">
        <f>IF(E209="","",IF(ISNUMBER(FIND("|",E209)),TRIM(LEFT(E209,FIND("|",E209)-1)),IF(ISNUMBER(MATCH(E209,Config!$C$1:$C$211,0)),E209,IFERROR(INDEX(Config!$C$1:$C$211,MATCH(E209,Config!$D$1:$D$211,0)),""))))</f>
        <v>OP-0125</v>
      </c>
      <c r="E209" s="8" t="s">
        <v>243</v>
      </c>
      <c r="F209" s="9">
        <v>36</v>
      </c>
      <c r="G209" s="10">
        <f t="shared" si="6"/>
        <v>184</v>
      </c>
      <c r="H209" s="11">
        <f t="shared" si="7"/>
        <v>0.01</v>
      </c>
      <c r="I209" s="7" t="str">
        <f>IF(J209="","",IF(ISNUMBER(FIND("|",J209)),TRIM(LEFT(J209,FIND("|",J209)-1)),IF(ISNUMBER(MATCH(J209,Config!$F$1:$F$224,0)),J209,IFERROR(INDEX(Config!$F$1:$F$224,MATCH(J209,Config!$G$1:$G$224,0)),""))))</f>
        <v>LPD09702</v>
      </c>
      <c r="J209" s="12" t="str">
        <f>IFERROR(INDEX($J$16:J208,MATCH(C209,$C$16:C208,0)),"")</f>
        <v>DEVI</v>
      </c>
    </row>
    <row r="210" spans="1:10" ht="12" customHeight="1" x14ac:dyDescent="0.35">
      <c r="A210" s="6" t="s">
        <v>169</v>
      </c>
      <c r="B210" s="6" t="s">
        <v>170</v>
      </c>
      <c r="C210" s="6" t="s">
        <v>239</v>
      </c>
      <c r="D210" s="7" t="str">
        <f>IF(E210="","",IF(ISNUMBER(FIND("|",E210)),TRIM(LEFT(E210,FIND("|",E210)-1)),IF(ISNUMBER(MATCH(E210,Config!$C$1:$C$211,0)),E210,IFERROR(INDEX(Config!$C$1:$C$211,MATCH(E210,Config!$D$1:$D$211,0)),""))))</f>
        <v>OP-0126</v>
      </c>
      <c r="E210" s="8" t="s">
        <v>244</v>
      </c>
      <c r="F210" s="9">
        <v>38</v>
      </c>
      <c r="G210" s="10">
        <f t="shared" si="6"/>
        <v>184</v>
      </c>
      <c r="H210" s="11">
        <f t="shared" si="7"/>
        <v>1.0555555555555556E-2</v>
      </c>
      <c r="I210" s="7" t="str">
        <f>IF(J210="","",IF(ISNUMBER(FIND("|",J210)),TRIM(LEFT(J210,FIND("|",J210)-1)),IF(ISNUMBER(MATCH(J210,Config!$F$1:$F$224,0)),J210,IFERROR(INDEX(Config!$F$1:$F$224,MATCH(J210,Config!$G$1:$G$224,0)),""))))</f>
        <v>LPD09702</v>
      </c>
      <c r="J210" s="12" t="str">
        <f>IFERROR(INDEX($J$16:J209,MATCH(C210,$C$16:C209,0)),"")</f>
        <v>DEVI</v>
      </c>
    </row>
    <row r="211" spans="1:10" ht="12" customHeight="1" x14ac:dyDescent="0.35">
      <c r="A211" s="6" t="s">
        <v>169</v>
      </c>
      <c r="B211" s="6" t="s">
        <v>170</v>
      </c>
      <c r="C211" s="6" t="s">
        <v>241</v>
      </c>
      <c r="D211" s="7" t="str">
        <f>IF(E211="","",IF(ISNUMBER(FIND("|",E211)),TRIM(LEFT(E211,FIND("|",E211)-1)),IF(ISNUMBER(MATCH(E211,Config!$C$1:$C$211,0)),E211,IFERROR(INDEX(Config!$C$1:$C$211,MATCH(E211,Config!$D$1:$D$211,0)),""))))</f>
        <v>OP-0126</v>
      </c>
      <c r="E211" s="8" t="s">
        <v>244</v>
      </c>
      <c r="F211" s="9">
        <v>38</v>
      </c>
      <c r="G211" s="10">
        <f t="shared" si="6"/>
        <v>148</v>
      </c>
      <c r="H211" s="11">
        <f t="shared" si="7"/>
        <v>1.0555555555555556E-2</v>
      </c>
      <c r="I211" s="7" t="str">
        <f>IF(J211="","",IF(ISNUMBER(FIND("|",J211)),TRIM(LEFT(J211,FIND("|",J211)-1)),IF(ISNUMBER(MATCH(J211,Config!$F$1:$F$224,0)),J211,IFERROR(INDEX(Config!$F$1:$F$224,MATCH(J211,Config!$G$1:$G$224,0)),""))))</f>
        <v>LPD10618</v>
      </c>
      <c r="J211" s="12" t="str">
        <f>IFERROR(INDEX($J$16:J210,MATCH(C211,$C$16:C210,0)),"")</f>
        <v>RAMEEZA</v>
      </c>
    </row>
    <row r="212" spans="1:10" ht="12" customHeight="1" x14ac:dyDescent="0.35">
      <c r="A212" s="6" t="s">
        <v>120</v>
      </c>
      <c r="B212" s="6" t="s">
        <v>170</v>
      </c>
      <c r="C212" s="6" t="s">
        <v>245</v>
      </c>
      <c r="D212" s="7" t="str">
        <f>IF(E212="","",IF(ISNUMBER(FIND("|",E212)),TRIM(LEFT(E212,FIND("|",E212)-1)),IF(ISNUMBER(MATCH(E212,Config!$C$1:$C$211,0)),E212,IFERROR(INDEX(Config!$C$1:$C$211,MATCH(E212,Config!$D$1:$D$211,0)),""))))</f>
        <v>OP-0058</v>
      </c>
      <c r="E212" s="8" t="s">
        <v>113</v>
      </c>
      <c r="F212" s="9">
        <v>18</v>
      </c>
      <c r="G212" s="10">
        <f t="shared" si="6"/>
        <v>70</v>
      </c>
      <c r="H212" s="11">
        <f t="shared" si="7"/>
        <v>5.0000000000000001E-3</v>
      </c>
      <c r="I212" s="7" t="str">
        <f>IF(J212="","",IF(ISNUMBER(FIND("|",J212)),TRIM(LEFT(J212,FIND("|",J212)-1)),IF(ISNUMBER(MATCH(J212,Config!$F$1:$F$224,0)),J212,IFERROR(INDEX(Config!$F$1:$F$224,MATCH(J212,Config!$G$1:$G$224,0)),""))))</f>
        <v>LPDS95788</v>
      </c>
      <c r="J212" s="8" t="s">
        <v>246</v>
      </c>
    </row>
    <row r="213" spans="1:10" ht="12" customHeight="1" x14ac:dyDescent="0.35">
      <c r="A213" s="6" t="s">
        <v>120</v>
      </c>
      <c r="B213" s="6" t="s">
        <v>170</v>
      </c>
      <c r="C213" s="6" t="s">
        <v>245</v>
      </c>
      <c r="D213" s="7" t="str">
        <f>IF(E213="","",IF(ISNUMBER(FIND("|",E213)),TRIM(LEFT(E213,FIND("|",E213)-1)),IF(ISNUMBER(MATCH(E213,Config!$C$1:$C$211,0)),E213,IFERROR(INDEX(Config!$C$1:$C$211,MATCH(E213,Config!$D$1:$D$211,0)),""))))</f>
        <v>OP-0059</v>
      </c>
      <c r="E213" s="8" t="s">
        <v>117</v>
      </c>
      <c r="F213" s="9">
        <v>18</v>
      </c>
      <c r="G213" s="10">
        <f t="shared" si="6"/>
        <v>70</v>
      </c>
      <c r="H213" s="11">
        <f t="shared" si="7"/>
        <v>5.0000000000000001E-3</v>
      </c>
      <c r="I213" s="7" t="str">
        <f>IF(J213="","",IF(ISNUMBER(FIND("|",J213)),TRIM(LEFT(J213,FIND("|",J213)-1)),IF(ISNUMBER(MATCH(J213,Config!$F$1:$F$224,0)),J213,IFERROR(INDEX(Config!$F$1:$F$224,MATCH(J213,Config!$G$1:$G$224,0)),""))))</f>
        <v>LPDS95788</v>
      </c>
      <c r="J213" s="12" t="str">
        <f>IFERROR(INDEX($J$16:J212,MATCH(C213,$C$16:C212,0)),"")</f>
        <v>MUMTAZ</v>
      </c>
    </row>
    <row r="214" spans="1:10" ht="12" customHeight="1" x14ac:dyDescent="0.35">
      <c r="A214" s="6" t="s">
        <v>120</v>
      </c>
      <c r="B214" s="6" t="s">
        <v>170</v>
      </c>
      <c r="C214" s="6" t="s">
        <v>245</v>
      </c>
      <c r="D214" s="7" t="str">
        <f>IF(E214="","",IF(ISNUMBER(FIND("|",E214)),TRIM(LEFT(E214,FIND("|",E214)-1)),IF(ISNUMBER(MATCH(E214,Config!$C$1:$C$211,0)),E214,IFERROR(INDEX(Config!$C$1:$C$211,MATCH(E214,Config!$D$1:$D$211,0)),""))))</f>
        <v>OP-0060</v>
      </c>
      <c r="E214" s="8" t="s">
        <v>118</v>
      </c>
      <c r="F214" s="9">
        <v>16</v>
      </c>
      <c r="G214" s="10">
        <f t="shared" si="6"/>
        <v>70</v>
      </c>
      <c r="H214" s="11">
        <f t="shared" si="7"/>
        <v>4.4444444444444444E-3</v>
      </c>
      <c r="I214" s="7" t="str">
        <f>IF(J214="","",IF(ISNUMBER(FIND("|",J214)),TRIM(LEFT(J214,FIND("|",J214)-1)),IF(ISNUMBER(MATCH(J214,Config!$F$1:$F$224,0)),J214,IFERROR(INDEX(Config!$F$1:$F$224,MATCH(J214,Config!$G$1:$G$224,0)),""))))</f>
        <v>LPDS95788</v>
      </c>
      <c r="J214" s="12" t="str">
        <f>IFERROR(INDEX($J$16:J213,MATCH(C214,$C$16:C213,0)),"")</f>
        <v>MUMTAZ</v>
      </c>
    </row>
    <row r="215" spans="1:10" ht="12" customHeight="1" x14ac:dyDescent="0.35">
      <c r="A215" s="6" t="s">
        <v>120</v>
      </c>
      <c r="B215" s="6" t="s">
        <v>170</v>
      </c>
      <c r="C215" s="6" t="s">
        <v>245</v>
      </c>
      <c r="D215" s="7" t="str">
        <f>IF(E215="","",IF(ISNUMBER(FIND("|",E215)),TRIM(LEFT(E215,FIND("|",E215)-1)),IF(ISNUMBER(MATCH(E215,Config!$C$1:$C$211,0)),E215,IFERROR(INDEX(Config!$C$1:$C$211,MATCH(E215,Config!$D$1:$D$211,0)),""))))</f>
        <v>OP-0057</v>
      </c>
      <c r="E215" s="8" t="s">
        <v>111</v>
      </c>
      <c r="F215" s="9">
        <v>18</v>
      </c>
      <c r="G215" s="10">
        <f t="shared" si="6"/>
        <v>70</v>
      </c>
      <c r="H215" s="11">
        <f t="shared" si="7"/>
        <v>5.0000000000000001E-3</v>
      </c>
      <c r="I215" s="7" t="str">
        <f>IF(J215="","",IF(ISNUMBER(FIND("|",J215)),TRIM(LEFT(J215,FIND("|",J215)-1)),IF(ISNUMBER(MATCH(J215,Config!$F$1:$F$224,0)),J215,IFERROR(INDEX(Config!$F$1:$F$224,MATCH(J215,Config!$G$1:$G$224,0)),""))))</f>
        <v>LPDS95788</v>
      </c>
      <c r="J215" s="12" t="str">
        <f>IFERROR(INDEX($J$16:J214,MATCH(C215,$C$16:C214,0)),"")</f>
        <v>MUMTAZ</v>
      </c>
    </row>
    <row r="216" spans="1:10" ht="12" customHeight="1" x14ac:dyDescent="0.35">
      <c r="A216" s="6" t="s">
        <v>247</v>
      </c>
      <c r="B216" s="6" t="s">
        <v>170</v>
      </c>
      <c r="C216" s="6" t="s">
        <v>248</v>
      </c>
      <c r="D216" s="7" t="str">
        <f>IF(E216="","",IF(ISNUMBER(FIND("|",E216)),TRIM(LEFT(E216,FIND("|",E216)-1)),IF(ISNUMBER(MATCH(E216,Config!$C$1:$C$211,0)),E216,IFERROR(INDEX(Config!$C$1:$C$211,MATCH(E216,Config!$D$1:$D$211,0)),""))))</f>
        <v>OP-0127</v>
      </c>
      <c r="E216" s="8" t="s">
        <v>249</v>
      </c>
      <c r="F216" s="9">
        <v>24</v>
      </c>
      <c r="G216" s="10">
        <f t="shared" si="6"/>
        <v>128</v>
      </c>
      <c r="H216" s="11">
        <f t="shared" si="7"/>
        <v>6.6666666666666671E-3</v>
      </c>
      <c r="I216" s="7" t="str">
        <f>IF(J216="","",IF(ISNUMBER(FIND("|",J216)),TRIM(LEFT(J216,FIND("|",J216)-1)),IF(ISNUMBER(MATCH(J216,Config!$F$1:$F$224,0)),J216,IFERROR(INDEX(Config!$F$1:$F$224,MATCH(J216,Config!$G$1:$G$224,0)),""))))</f>
        <v>LPD10282</v>
      </c>
      <c r="J216" s="8" t="s">
        <v>250</v>
      </c>
    </row>
    <row r="217" spans="1:10" ht="12" customHeight="1" x14ac:dyDescent="0.35">
      <c r="A217" s="6" t="s">
        <v>247</v>
      </c>
      <c r="B217" s="6" t="s">
        <v>170</v>
      </c>
      <c r="C217" s="6" t="s">
        <v>251</v>
      </c>
      <c r="D217" s="7" t="str">
        <f>IF(E217="","",IF(ISNUMBER(FIND("|",E217)),TRIM(LEFT(E217,FIND("|",E217)-1)),IF(ISNUMBER(MATCH(E217,Config!$C$1:$C$211,0)),E217,IFERROR(INDEX(Config!$C$1:$C$211,MATCH(E217,Config!$D$1:$D$211,0)),""))))</f>
        <v>OP-0127</v>
      </c>
      <c r="E217" s="8" t="s">
        <v>249</v>
      </c>
      <c r="F217" s="9">
        <v>24</v>
      </c>
      <c r="G217" s="10">
        <f t="shared" si="6"/>
        <v>128</v>
      </c>
      <c r="H217" s="11">
        <f t="shared" si="7"/>
        <v>6.6666666666666671E-3</v>
      </c>
      <c r="I217" s="7" t="str">
        <f>IF(J217="","",IF(ISNUMBER(FIND("|",J217)),TRIM(LEFT(J217,FIND("|",J217)-1)),IF(ISNUMBER(MATCH(J217,Config!$F$1:$F$224,0)),J217,IFERROR(INDEX(Config!$F$1:$F$224,MATCH(J217,Config!$G$1:$G$224,0)),""))))</f>
        <v>LPD11520</v>
      </c>
      <c r="J217" s="8" t="s">
        <v>252</v>
      </c>
    </row>
    <row r="218" spans="1:10" ht="12" customHeight="1" x14ac:dyDescent="0.35">
      <c r="A218" s="6" t="s">
        <v>247</v>
      </c>
      <c r="B218" s="6" t="s">
        <v>170</v>
      </c>
      <c r="C218" s="6" t="s">
        <v>248</v>
      </c>
      <c r="D218" s="7" t="str">
        <f>IF(E218="","",IF(ISNUMBER(FIND("|",E218)),TRIM(LEFT(E218,FIND("|",E218)-1)),IF(ISNUMBER(MATCH(E218,Config!$C$1:$C$211,0)),E218,IFERROR(INDEX(Config!$C$1:$C$211,MATCH(E218,Config!$D$1:$D$211,0)),""))))</f>
        <v>OP-0128</v>
      </c>
      <c r="E218" s="8" t="s">
        <v>253</v>
      </c>
      <c r="F218" s="9">
        <v>48</v>
      </c>
      <c r="G218" s="10">
        <f t="shared" si="6"/>
        <v>128</v>
      </c>
      <c r="H218" s="11">
        <f t="shared" si="7"/>
        <v>1.3333333333333334E-2</v>
      </c>
      <c r="I218" s="7" t="str">
        <f>IF(J218="","",IF(ISNUMBER(FIND("|",J218)),TRIM(LEFT(J218,FIND("|",J218)-1)),IF(ISNUMBER(MATCH(J218,Config!$F$1:$F$224,0)),J218,IFERROR(INDEX(Config!$F$1:$F$224,MATCH(J218,Config!$G$1:$G$224,0)),""))))</f>
        <v>LPD10282</v>
      </c>
      <c r="J218" s="12" t="str">
        <f>IFERROR(INDEX($J$16:J217,MATCH(C218,$C$16:C217,0)),"")</f>
        <v>DIVYA</v>
      </c>
    </row>
    <row r="219" spans="1:10" ht="12" customHeight="1" x14ac:dyDescent="0.35">
      <c r="A219" s="6" t="s">
        <v>247</v>
      </c>
      <c r="B219" s="6" t="s">
        <v>170</v>
      </c>
      <c r="C219" s="6" t="s">
        <v>251</v>
      </c>
      <c r="D219" s="7" t="str">
        <f>IF(E219="","",IF(ISNUMBER(FIND("|",E219)),TRIM(LEFT(E219,FIND("|",E219)-1)),IF(ISNUMBER(MATCH(E219,Config!$C$1:$C$211,0)),E219,IFERROR(INDEX(Config!$C$1:$C$211,MATCH(E219,Config!$D$1:$D$211,0)),""))))</f>
        <v>OP-0128</v>
      </c>
      <c r="E219" s="8" t="s">
        <v>253</v>
      </c>
      <c r="F219" s="9">
        <v>48</v>
      </c>
      <c r="G219" s="10">
        <f t="shared" si="6"/>
        <v>128</v>
      </c>
      <c r="H219" s="11">
        <f t="shared" si="7"/>
        <v>1.3333333333333334E-2</v>
      </c>
      <c r="I219" s="7" t="str">
        <f>IF(J219="","",IF(ISNUMBER(FIND("|",J219)),TRIM(LEFT(J219,FIND("|",J219)-1)),IF(ISNUMBER(MATCH(J219,Config!$F$1:$F$224,0)),J219,IFERROR(INDEX(Config!$F$1:$F$224,MATCH(J219,Config!$G$1:$G$224,0)),""))))</f>
        <v>LPD11520</v>
      </c>
      <c r="J219" s="12" t="str">
        <f>IFERROR(INDEX($J$16:J218,MATCH(C219,$C$16:C218,0)),"")</f>
        <v>ZAREENA</v>
      </c>
    </row>
    <row r="220" spans="1:10" ht="12" customHeight="1" x14ac:dyDescent="0.35">
      <c r="A220" s="6" t="s">
        <v>247</v>
      </c>
      <c r="B220" s="6" t="s">
        <v>170</v>
      </c>
      <c r="C220" s="6" t="s">
        <v>248</v>
      </c>
      <c r="D220" s="7" t="str">
        <f>IF(E220="","",IF(ISNUMBER(FIND("|",E220)),TRIM(LEFT(E220,FIND("|",E220)-1)),IF(ISNUMBER(MATCH(E220,Config!$C$1:$C$211,0)),E220,IFERROR(INDEX(Config!$C$1:$C$211,MATCH(E220,Config!$D$1:$D$211,0)),""))))</f>
        <v>OP-0129</v>
      </c>
      <c r="E220" s="8" t="s">
        <v>254</v>
      </c>
      <c r="F220" s="9">
        <v>42</v>
      </c>
      <c r="G220" s="10">
        <f t="shared" si="6"/>
        <v>128</v>
      </c>
      <c r="H220" s="11">
        <f t="shared" si="7"/>
        <v>1.1666666666666667E-2</v>
      </c>
      <c r="I220" s="7" t="str">
        <f>IF(J220="","",IF(ISNUMBER(FIND("|",J220)),TRIM(LEFT(J220,FIND("|",J220)-1)),IF(ISNUMBER(MATCH(J220,Config!$F$1:$F$224,0)),J220,IFERROR(INDEX(Config!$F$1:$F$224,MATCH(J220,Config!$G$1:$G$224,0)),""))))</f>
        <v>LPD10282</v>
      </c>
      <c r="J220" s="12" t="str">
        <f>IFERROR(INDEX($J$16:J219,MATCH(C220,$C$16:C219,0)),"")</f>
        <v>DIVYA</v>
      </c>
    </row>
    <row r="221" spans="1:10" ht="12" customHeight="1" x14ac:dyDescent="0.35">
      <c r="A221" s="6" t="s">
        <v>247</v>
      </c>
      <c r="B221" s="6" t="s">
        <v>170</v>
      </c>
      <c r="C221" s="6" t="s">
        <v>251</v>
      </c>
      <c r="D221" s="7" t="str">
        <f>IF(E221="","",IF(ISNUMBER(FIND("|",E221)),TRIM(LEFT(E221,FIND("|",E221)-1)),IF(ISNUMBER(MATCH(E221,Config!$C$1:$C$211,0)),E221,IFERROR(INDEX(Config!$C$1:$C$211,MATCH(E221,Config!$D$1:$D$211,0)),""))))</f>
        <v>OP-0129</v>
      </c>
      <c r="E221" s="8" t="s">
        <v>254</v>
      </c>
      <c r="F221" s="9">
        <v>42</v>
      </c>
      <c r="G221" s="10">
        <f t="shared" si="6"/>
        <v>128</v>
      </c>
      <c r="H221" s="11">
        <f t="shared" si="7"/>
        <v>1.1666666666666667E-2</v>
      </c>
      <c r="I221" s="7" t="str">
        <f>IF(J221="","",IF(ISNUMBER(FIND("|",J221)),TRIM(LEFT(J221,FIND("|",J221)-1)),IF(ISNUMBER(MATCH(J221,Config!$F$1:$F$224,0)),J221,IFERROR(INDEX(Config!$F$1:$F$224,MATCH(J221,Config!$G$1:$G$224,0)),""))))</f>
        <v>LPD11520</v>
      </c>
      <c r="J221" s="12" t="str">
        <f>IFERROR(INDEX($J$16:J220,MATCH(C221,$C$16:C220,0)),"")</f>
        <v>ZAREENA</v>
      </c>
    </row>
    <row r="222" spans="1:10" ht="12" customHeight="1" x14ac:dyDescent="0.35">
      <c r="A222" s="6" t="s">
        <v>247</v>
      </c>
      <c r="B222" s="6" t="s">
        <v>170</v>
      </c>
      <c r="C222" s="6" t="s">
        <v>248</v>
      </c>
      <c r="D222" s="7" t="str">
        <f>IF(E222="","",IF(ISNUMBER(FIND("|",E222)),TRIM(LEFT(E222,FIND("|",E222)-1)),IF(ISNUMBER(MATCH(E222,Config!$C$1:$C$211,0)),E222,IFERROR(INDEX(Config!$C$1:$C$211,MATCH(E222,Config!$D$1:$D$211,0)),""))))</f>
        <v>OP-0130</v>
      </c>
      <c r="E222" s="8" t="s">
        <v>255</v>
      </c>
      <c r="F222" s="9">
        <v>14</v>
      </c>
      <c r="G222" s="10">
        <f t="shared" si="6"/>
        <v>128</v>
      </c>
      <c r="H222" s="11">
        <f t="shared" si="7"/>
        <v>3.8888888888888888E-3</v>
      </c>
      <c r="I222" s="7" t="str">
        <f>IF(J222="","",IF(ISNUMBER(FIND("|",J222)),TRIM(LEFT(J222,FIND("|",J222)-1)),IF(ISNUMBER(MATCH(J222,Config!$F$1:$F$224,0)),J222,IFERROR(INDEX(Config!$F$1:$F$224,MATCH(J222,Config!$G$1:$G$224,0)),""))))</f>
        <v>LPD10282</v>
      </c>
      <c r="J222" s="12" t="str">
        <f>IFERROR(INDEX($J$16:J221,MATCH(C222,$C$16:C221,0)),"")</f>
        <v>DIVYA</v>
      </c>
    </row>
    <row r="223" spans="1:10" ht="12" customHeight="1" x14ac:dyDescent="0.35">
      <c r="A223" s="6" t="s">
        <v>247</v>
      </c>
      <c r="B223" s="6" t="s">
        <v>170</v>
      </c>
      <c r="C223" s="6" t="s">
        <v>251</v>
      </c>
      <c r="D223" s="7" t="str">
        <f>IF(E223="","",IF(ISNUMBER(FIND("|",E223)),TRIM(LEFT(E223,FIND("|",E223)-1)),IF(ISNUMBER(MATCH(E223,Config!$C$1:$C$211,0)),E223,IFERROR(INDEX(Config!$C$1:$C$211,MATCH(E223,Config!$D$1:$D$211,0)),""))))</f>
        <v>OP-0130</v>
      </c>
      <c r="E223" s="8" t="s">
        <v>255</v>
      </c>
      <c r="F223" s="9">
        <v>14</v>
      </c>
      <c r="G223" s="10">
        <f t="shared" si="6"/>
        <v>128</v>
      </c>
      <c r="H223" s="11">
        <f t="shared" si="7"/>
        <v>3.8888888888888888E-3</v>
      </c>
      <c r="I223" s="7" t="str">
        <f>IF(J223="","",IF(ISNUMBER(FIND("|",J223)),TRIM(LEFT(J223,FIND("|",J223)-1)),IF(ISNUMBER(MATCH(J223,Config!$F$1:$F$224,0)),J223,IFERROR(INDEX(Config!$F$1:$F$224,MATCH(J223,Config!$G$1:$G$224,0)),""))))</f>
        <v>LPD11520</v>
      </c>
      <c r="J223" s="12" t="str">
        <f>IFERROR(INDEX($J$16:J222,MATCH(C223,$C$16:C222,0)),"")</f>
        <v>ZAREENA</v>
      </c>
    </row>
    <row r="224" spans="1:10" ht="12" customHeight="1" x14ac:dyDescent="0.35">
      <c r="A224" s="6" t="s">
        <v>247</v>
      </c>
      <c r="B224" s="6" t="s">
        <v>170</v>
      </c>
      <c r="C224" s="6" t="s">
        <v>256</v>
      </c>
      <c r="D224" s="7" t="str">
        <f>IF(E224="","",IF(ISNUMBER(FIND("|",E224)),TRIM(LEFT(E224,FIND("|",E224)-1)),IF(ISNUMBER(MATCH(E224,Config!$C$1:$C$211,0)),E224,IFERROR(INDEX(Config!$C$1:$C$211,MATCH(E224,Config!$D$1:$D$211,0)),""))))</f>
        <v>OP-0131</v>
      </c>
      <c r="E224" s="8" t="s">
        <v>257</v>
      </c>
      <c r="F224" s="9">
        <v>18</v>
      </c>
      <c r="G224" s="10">
        <f t="shared" si="6"/>
        <v>154</v>
      </c>
      <c r="H224" s="11">
        <f t="shared" si="7"/>
        <v>5.0000000000000001E-3</v>
      </c>
      <c r="I224" s="7" t="str">
        <f>IF(J224="","",IF(ISNUMBER(FIND("|",J224)),TRIM(LEFT(J224,FIND("|",J224)-1)),IF(ISNUMBER(MATCH(J224,Config!$F$1:$F$224,0)),J224,IFERROR(INDEX(Config!$F$1:$F$224,MATCH(J224,Config!$G$1:$G$224,0)),""))))</f>
        <v>LPD12061</v>
      </c>
      <c r="J224" s="13" t="s">
        <v>540</v>
      </c>
    </row>
    <row r="225" spans="1:10" ht="12" customHeight="1" x14ac:dyDescent="0.35">
      <c r="A225" s="6" t="s">
        <v>247</v>
      </c>
      <c r="B225" s="6" t="s">
        <v>170</v>
      </c>
      <c r="C225" s="6" t="s">
        <v>258</v>
      </c>
      <c r="D225" s="7" t="str">
        <f>IF(E225="","",IF(ISNUMBER(FIND("|",E225)),TRIM(LEFT(E225,FIND("|",E225)-1)),IF(ISNUMBER(MATCH(E225,Config!$C$1:$C$211,0)),E225,IFERROR(INDEX(Config!$C$1:$C$211,MATCH(E225,Config!$D$1:$D$211,0)),""))))</f>
        <v>OP-0131</v>
      </c>
      <c r="E225" s="8" t="s">
        <v>257</v>
      </c>
      <c r="F225" s="9">
        <v>18</v>
      </c>
      <c r="G225" s="10">
        <f t="shared" si="6"/>
        <v>154</v>
      </c>
      <c r="H225" s="11">
        <f t="shared" si="7"/>
        <v>5.0000000000000001E-3</v>
      </c>
      <c r="I225" s="7" t="str">
        <f>IF(J225="","",IF(ISNUMBER(FIND("|",J225)),TRIM(LEFT(J225,FIND("|",J225)-1)),IF(ISNUMBER(MATCH(J225,Config!$F$1:$F$224,0)),J225,IFERROR(INDEX(Config!$F$1:$F$224,MATCH(J225,Config!$G$1:$G$224,0)),""))))</f>
        <v>LPD11959</v>
      </c>
      <c r="J225" s="13" t="s">
        <v>306</v>
      </c>
    </row>
    <row r="226" spans="1:10" ht="12" customHeight="1" x14ac:dyDescent="0.35">
      <c r="A226" s="6" t="s">
        <v>247</v>
      </c>
      <c r="B226" s="6" t="s">
        <v>170</v>
      </c>
      <c r="C226" s="6" t="s">
        <v>256</v>
      </c>
      <c r="D226" s="7" t="str">
        <f>IF(E226="","",IF(ISNUMBER(FIND("|",E226)),TRIM(LEFT(E226,FIND("|",E226)-1)),IF(ISNUMBER(MATCH(E226,Config!$C$1:$C$211,0)),E226,IFERROR(INDEX(Config!$C$1:$C$211,MATCH(E226,Config!$D$1:$D$211,0)),""))))</f>
        <v>OP-0132</v>
      </c>
      <c r="E226" s="8" t="s">
        <v>259</v>
      </c>
      <c r="F226" s="9">
        <v>28</v>
      </c>
      <c r="G226" s="10">
        <f t="shared" si="6"/>
        <v>154</v>
      </c>
      <c r="H226" s="11">
        <f t="shared" si="7"/>
        <v>7.7777777777777776E-3</v>
      </c>
      <c r="I226" s="7" t="str">
        <f>IF(J226="","",IF(ISNUMBER(FIND("|",J226)),TRIM(LEFT(J226,FIND("|",J226)-1)),IF(ISNUMBER(MATCH(J226,Config!$F$1:$F$224,0)),J226,IFERROR(INDEX(Config!$F$1:$F$224,MATCH(J226,Config!$G$1:$G$224,0)),""))))</f>
        <v>LPD12061</v>
      </c>
      <c r="J226" s="12" t="str">
        <f>IFERROR(INDEX($J$16:J225,MATCH(C226,$C$16:C225,0)),"")</f>
        <v>LPD12061 | BAKIBULLA MOLLA</v>
      </c>
    </row>
    <row r="227" spans="1:10" ht="12" customHeight="1" x14ac:dyDescent="0.35">
      <c r="A227" s="6" t="s">
        <v>247</v>
      </c>
      <c r="B227" s="6" t="s">
        <v>170</v>
      </c>
      <c r="C227" s="6" t="s">
        <v>258</v>
      </c>
      <c r="D227" s="7" t="str">
        <f>IF(E227="","",IF(ISNUMBER(FIND("|",E227)),TRIM(LEFT(E227,FIND("|",E227)-1)),IF(ISNUMBER(MATCH(E227,Config!$C$1:$C$211,0)),E227,IFERROR(INDEX(Config!$C$1:$C$211,MATCH(E227,Config!$D$1:$D$211,0)),""))))</f>
        <v>OP-0132</v>
      </c>
      <c r="E227" s="8" t="s">
        <v>259</v>
      </c>
      <c r="F227" s="9">
        <v>28</v>
      </c>
      <c r="G227" s="10">
        <f t="shared" si="6"/>
        <v>154</v>
      </c>
      <c r="H227" s="11">
        <f t="shared" si="7"/>
        <v>7.7777777777777776E-3</v>
      </c>
      <c r="I227" s="7" t="str">
        <f>IF(J227="","",IF(ISNUMBER(FIND("|",J227)),TRIM(LEFT(J227,FIND("|",J227)-1)),IF(ISNUMBER(MATCH(J227,Config!$F$1:$F$224,0)),J227,IFERROR(INDEX(Config!$F$1:$F$224,MATCH(J227,Config!$G$1:$G$224,0)),""))))</f>
        <v>LPD11959</v>
      </c>
      <c r="J227" s="12" t="str">
        <f>IFERROR(INDEX($J$16:J226,MATCH(C227,$C$16:C226,0)),"")</f>
        <v>LPD11959 | A MEENAKSHI</v>
      </c>
    </row>
    <row r="228" spans="1:10" ht="12" customHeight="1" x14ac:dyDescent="0.35">
      <c r="A228" s="6" t="s">
        <v>247</v>
      </c>
      <c r="B228" s="6" t="s">
        <v>170</v>
      </c>
      <c r="C228" s="6" t="s">
        <v>256</v>
      </c>
      <c r="D228" s="7" t="str">
        <f>IF(E228="","",IF(ISNUMBER(FIND("|",E228)),TRIM(LEFT(E228,FIND("|",E228)-1)),IF(ISNUMBER(MATCH(E228,Config!$C$1:$C$211,0)),E228,IFERROR(INDEX(Config!$C$1:$C$211,MATCH(E228,Config!$D$1:$D$211,0)),""))))</f>
        <v>OP-0133</v>
      </c>
      <c r="E228" s="8" t="s">
        <v>260</v>
      </c>
      <c r="F228" s="9">
        <v>108</v>
      </c>
      <c r="G228" s="10">
        <f t="shared" si="6"/>
        <v>154</v>
      </c>
      <c r="H228" s="11">
        <f t="shared" si="7"/>
        <v>0.03</v>
      </c>
      <c r="I228" s="7" t="str">
        <f>IF(J228="","",IF(ISNUMBER(FIND("|",J228)),TRIM(LEFT(J228,FIND("|",J228)-1)),IF(ISNUMBER(MATCH(J228,Config!$F$1:$F$224,0)),J228,IFERROR(INDEX(Config!$F$1:$F$224,MATCH(J228,Config!$G$1:$G$224,0)),""))))</f>
        <v>LPD12061</v>
      </c>
      <c r="J228" s="12" t="str">
        <f>IFERROR(INDEX($J$16:J227,MATCH(C228,$C$16:C227,0)),"")</f>
        <v>LPD12061 | BAKIBULLA MOLLA</v>
      </c>
    </row>
    <row r="229" spans="1:10" ht="12" customHeight="1" x14ac:dyDescent="0.35">
      <c r="A229" s="6" t="s">
        <v>247</v>
      </c>
      <c r="B229" s="6" t="s">
        <v>170</v>
      </c>
      <c r="C229" s="6" t="s">
        <v>258</v>
      </c>
      <c r="D229" s="7" t="str">
        <f>IF(E229="","",IF(ISNUMBER(FIND("|",E229)),TRIM(LEFT(E229,FIND("|",E229)-1)),IF(ISNUMBER(MATCH(E229,Config!$C$1:$C$211,0)),E229,IFERROR(INDEX(Config!$C$1:$C$211,MATCH(E229,Config!$D$1:$D$211,0)),""))))</f>
        <v>OP-0133</v>
      </c>
      <c r="E229" s="8" t="s">
        <v>260</v>
      </c>
      <c r="F229" s="9">
        <v>108</v>
      </c>
      <c r="G229" s="10">
        <f t="shared" si="6"/>
        <v>154</v>
      </c>
      <c r="H229" s="11">
        <f t="shared" si="7"/>
        <v>0.03</v>
      </c>
      <c r="I229" s="7" t="str">
        <f>IF(J229="","",IF(ISNUMBER(FIND("|",J229)),TRIM(LEFT(J229,FIND("|",J229)-1)),IF(ISNUMBER(MATCH(J229,Config!$F$1:$F$224,0)),J229,IFERROR(INDEX(Config!$F$1:$F$224,MATCH(J229,Config!$G$1:$G$224,0)),""))))</f>
        <v>LPD11959</v>
      </c>
      <c r="J229" s="12" t="str">
        <f>IFERROR(INDEX($J$16:J228,MATCH(C229,$C$16:C228,0)),"")</f>
        <v>LPD11959 | A MEENAKSHI</v>
      </c>
    </row>
    <row r="230" spans="1:10" ht="12" customHeight="1" x14ac:dyDescent="0.35">
      <c r="A230" s="6" t="s">
        <v>261</v>
      </c>
      <c r="B230" s="6" t="s">
        <v>262</v>
      </c>
      <c r="C230" s="6" t="s">
        <v>263</v>
      </c>
      <c r="D230" s="7" t="str">
        <f>IF(E230="","",IF(ISNUMBER(FIND("|",E230)),TRIM(LEFT(E230,FIND("|",E230)-1)),IF(ISNUMBER(MATCH(E230,Config!$C$1:$C$211,0)),E230,IFERROR(INDEX(Config!$C$1:$C$211,MATCH(E230,Config!$D$1:$D$211,0)),""))))</f>
        <v>OP-0134</v>
      </c>
      <c r="E230" s="8" t="s">
        <v>264</v>
      </c>
      <c r="F230" s="9">
        <v>60</v>
      </c>
      <c r="G230" s="10">
        <f t="shared" si="6"/>
        <v>82</v>
      </c>
      <c r="H230" s="11">
        <f t="shared" si="7"/>
        <v>1.6666666666666666E-2</v>
      </c>
      <c r="I230" s="7" t="str">
        <f>IF(J230="","",IF(ISNUMBER(FIND("|",J230)),TRIM(LEFT(J230,FIND("|",J230)-1)),IF(ISNUMBER(MATCH(J230,Config!$F$1:$F$224,0)),J230,IFERROR(INDEX(Config!$F$1:$F$224,MATCH(J230,Config!$G$1:$G$224,0)),""))))</f>
        <v>LPDS95790</v>
      </c>
      <c r="J230" s="8" t="s">
        <v>265</v>
      </c>
    </row>
    <row r="231" spans="1:10" ht="12" customHeight="1" x14ac:dyDescent="0.35">
      <c r="A231" s="6" t="s">
        <v>261</v>
      </c>
      <c r="B231" s="6" t="s">
        <v>262</v>
      </c>
      <c r="C231" s="6" t="s">
        <v>266</v>
      </c>
      <c r="D231" s="7" t="str">
        <f>IF(E231="","",IF(ISNUMBER(FIND("|",E231)),TRIM(LEFT(E231,FIND("|",E231)-1)),IF(ISNUMBER(MATCH(E231,Config!$C$1:$C$211,0)),E231,IFERROR(INDEX(Config!$C$1:$C$211,MATCH(E231,Config!$D$1:$D$211,0)),""))))</f>
        <v>OP-0134</v>
      </c>
      <c r="E231" s="8" t="s">
        <v>264</v>
      </c>
      <c r="F231" s="9">
        <v>60</v>
      </c>
      <c r="G231" s="10">
        <f t="shared" si="6"/>
        <v>82</v>
      </c>
      <c r="H231" s="11">
        <f t="shared" si="7"/>
        <v>1.6666666666666666E-2</v>
      </c>
      <c r="I231" s="7" t="str">
        <f>IF(J231="","",IF(ISNUMBER(FIND("|",J231)),TRIM(LEFT(J231,FIND("|",J231)-1)),IF(ISNUMBER(MATCH(J231,Config!$F$1:$F$224,0)),J231,IFERROR(INDEX(Config!$F$1:$F$224,MATCH(J231,Config!$G$1:$G$224,0)),""))))</f>
        <v>LPD05252</v>
      </c>
      <c r="J231" s="8" t="s">
        <v>236</v>
      </c>
    </row>
    <row r="232" spans="1:10" ht="12" customHeight="1" x14ac:dyDescent="0.35">
      <c r="A232" s="6" t="s">
        <v>261</v>
      </c>
      <c r="B232" s="6" t="s">
        <v>262</v>
      </c>
      <c r="C232" s="6" t="s">
        <v>263</v>
      </c>
      <c r="D232" s="7" t="str">
        <f>IF(E232="","",IF(ISNUMBER(FIND("|",E232)),TRIM(LEFT(E232,FIND("|",E232)-1)),IF(ISNUMBER(MATCH(E232,Config!$C$1:$C$211,0)),E232,IFERROR(INDEX(Config!$C$1:$C$211,MATCH(E232,Config!$D$1:$D$211,0)),""))))</f>
        <v>OP-0135</v>
      </c>
      <c r="E232" s="8" t="s">
        <v>267</v>
      </c>
      <c r="F232" s="9">
        <v>12</v>
      </c>
      <c r="G232" s="10">
        <f t="shared" si="6"/>
        <v>82</v>
      </c>
      <c r="H232" s="11">
        <f t="shared" si="7"/>
        <v>3.3333333333333335E-3</v>
      </c>
      <c r="I232" s="7" t="str">
        <f>IF(J232="","",IF(ISNUMBER(FIND("|",J232)),TRIM(LEFT(J232,FIND("|",J232)-1)),IF(ISNUMBER(MATCH(J232,Config!$F$1:$F$224,0)),J232,IFERROR(INDEX(Config!$F$1:$F$224,MATCH(J232,Config!$G$1:$G$224,0)),""))))</f>
        <v>LPDS95790</v>
      </c>
      <c r="J232" s="12" t="str">
        <f>IFERROR(INDEX($J$16:J231,MATCH(C232,$C$16:C231,0)),"")</f>
        <v>PARWEEN</v>
      </c>
    </row>
    <row r="233" spans="1:10" ht="12" customHeight="1" x14ac:dyDescent="0.35">
      <c r="A233" s="6" t="s">
        <v>261</v>
      </c>
      <c r="B233" s="6" t="s">
        <v>262</v>
      </c>
      <c r="C233" s="6" t="s">
        <v>266</v>
      </c>
      <c r="D233" s="7" t="str">
        <f>IF(E233="","",IF(ISNUMBER(FIND("|",E233)),TRIM(LEFT(E233,FIND("|",E233)-1)),IF(ISNUMBER(MATCH(E233,Config!$C$1:$C$211,0)),E233,IFERROR(INDEX(Config!$C$1:$C$211,MATCH(E233,Config!$D$1:$D$211,0)),""))))</f>
        <v>OP-0135</v>
      </c>
      <c r="E233" s="8" t="s">
        <v>267</v>
      </c>
      <c r="F233" s="9">
        <v>12</v>
      </c>
      <c r="G233" s="10">
        <f t="shared" si="6"/>
        <v>82</v>
      </c>
      <c r="H233" s="11">
        <f t="shared" si="7"/>
        <v>3.3333333333333335E-3</v>
      </c>
      <c r="I233" s="7" t="str">
        <f>IF(J233="","",IF(ISNUMBER(FIND("|",J233)),TRIM(LEFT(J233,FIND("|",J233)-1)),IF(ISNUMBER(MATCH(J233,Config!$F$1:$F$224,0)),J233,IFERROR(INDEX(Config!$F$1:$F$224,MATCH(J233,Config!$G$1:$G$224,0)),""))))</f>
        <v>LPD05252</v>
      </c>
      <c r="J233" s="12" t="str">
        <f>IFERROR(INDEX($J$16:J232,MATCH(C233,$C$16:C232,0)),"")</f>
        <v>SHEINAAZ</v>
      </c>
    </row>
    <row r="234" spans="1:10" ht="12" customHeight="1" x14ac:dyDescent="0.35">
      <c r="A234" s="6" t="s">
        <v>261</v>
      </c>
      <c r="B234" s="6" t="s">
        <v>262</v>
      </c>
      <c r="C234" s="6" t="s">
        <v>263</v>
      </c>
      <c r="D234" s="7" t="str">
        <f>IF(E234="","",IF(ISNUMBER(FIND("|",E234)),TRIM(LEFT(E234,FIND("|",E234)-1)),IF(ISNUMBER(MATCH(E234,Config!$C$1:$C$211,0)),E234,IFERROR(INDEX(Config!$C$1:$C$211,MATCH(E234,Config!$D$1:$D$211,0)),""))))</f>
        <v>OP-0136</v>
      </c>
      <c r="E234" s="8" t="s">
        <v>268</v>
      </c>
      <c r="F234" s="9">
        <v>10</v>
      </c>
      <c r="G234" s="10">
        <f t="shared" si="6"/>
        <v>82</v>
      </c>
      <c r="H234" s="11">
        <f t="shared" si="7"/>
        <v>2.7777777777777779E-3</v>
      </c>
      <c r="I234" s="7" t="str">
        <f>IF(J234="","",IF(ISNUMBER(FIND("|",J234)),TRIM(LEFT(J234,FIND("|",J234)-1)),IF(ISNUMBER(MATCH(J234,Config!$F$1:$F$224,0)),J234,IFERROR(INDEX(Config!$F$1:$F$224,MATCH(J234,Config!$G$1:$G$224,0)),""))))</f>
        <v>LPDS95790</v>
      </c>
      <c r="J234" s="12" t="str">
        <f>IFERROR(INDEX($J$16:J233,MATCH(C234,$C$16:C233,0)),"")</f>
        <v>PARWEEN</v>
      </c>
    </row>
    <row r="235" spans="1:10" ht="12" customHeight="1" x14ac:dyDescent="0.35">
      <c r="A235" s="6" t="s">
        <v>261</v>
      </c>
      <c r="B235" s="6" t="s">
        <v>262</v>
      </c>
      <c r="C235" s="6" t="s">
        <v>266</v>
      </c>
      <c r="D235" s="7" t="str">
        <f>IF(E235="","",IF(ISNUMBER(FIND("|",E235)),TRIM(LEFT(E235,FIND("|",E235)-1)),IF(ISNUMBER(MATCH(E235,Config!$C$1:$C$211,0)),E235,IFERROR(INDEX(Config!$C$1:$C$211,MATCH(E235,Config!$D$1:$D$211,0)),""))))</f>
        <v>OP-0136</v>
      </c>
      <c r="E235" s="8" t="s">
        <v>268</v>
      </c>
      <c r="F235" s="9">
        <v>10</v>
      </c>
      <c r="G235" s="10">
        <f t="shared" si="6"/>
        <v>82</v>
      </c>
      <c r="H235" s="11">
        <f t="shared" si="7"/>
        <v>2.7777777777777779E-3</v>
      </c>
      <c r="I235" s="7" t="str">
        <f>IF(J235="","",IF(ISNUMBER(FIND("|",J235)),TRIM(LEFT(J235,FIND("|",J235)-1)),IF(ISNUMBER(MATCH(J235,Config!$F$1:$F$224,0)),J235,IFERROR(INDEX(Config!$F$1:$F$224,MATCH(J235,Config!$G$1:$G$224,0)),""))))</f>
        <v>LPD05252</v>
      </c>
      <c r="J235" s="12" t="str">
        <f>IFERROR(INDEX($J$16:J234,MATCH(C235,$C$16:C234,0)),"")</f>
        <v>SHEINAAZ</v>
      </c>
    </row>
    <row r="236" spans="1:10" ht="12" customHeight="1" x14ac:dyDescent="0.35">
      <c r="A236" s="6" t="s">
        <v>261</v>
      </c>
      <c r="B236" s="6" t="s">
        <v>262</v>
      </c>
      <c r="C236" s="6" t="s">
        <v>269</v>
      </c>
      <c r="D236" s="7" t="str">
        <f>IF(E236="","",IF(ISNUMBER(FIND("|",E236)),TRIM(LEFT(E236,FIND("|",E236)-1)),IF(ISNUMBER(MATCH(E236,Config!$C$1:$C$211,0)),E236,IFERROR(INDEX(Config!$C$1:$C$211,MATCH(E236,Config!$D$1:$D$211,0)),""))))</f>
        <v>OP-0137</v>
      </c>
      <c r="E236" s="8" t="s">
        <v>270</v>
      </c>
      <c r="F236" s="9">
        <v>16</v>
      </c>
      <c r="G236" s="10">
        <f t="shared" si="6"/>
        <v>16</v>
      </c>
      <c r="H236" s="11">
        <f t="shared" si="7"/>
        <v>4.4444444444444444E-3</v>
      </c>
      <c r="I236" s="7" t="str">
        <f>IF(J236="","",IF(ISNUMBER(FIND("|",J236)),TRIM(LEFT(J236,FIND("|",J236)-1)),IF(ISNUMBER(MATCH(J236,Config!$F$1:$F$224,0)),J236,IFERROR(INDEX(Config!$F$1:$F$224,MATCH(J236,Config!$G$1:$G$224,0)),""))))</f>
        <v>LPD12275</v>
      </c>
      <c r="J236" s="8" t="s">
        <v>271</v>
      </c>
    </row>
    <row r="237" spans="1:10" ht="12" customHeight="1" x14ac:dyDescent="0.35">
      <c r="A237" s="6" t="s">
        <v>261</v>
      </c>
      <c r="B237" s="6" t="s">
        <v>262</v>
      </c>
      <c r="C237" s="6" t="s">
        <v>272</v>
      </c>
      <c r="D237" s="7" t="str">
        <f>IF(E237="","",IF(ISNUMBER(FIND("|",E237)),TRIM(LEFT(E237,FIND("|",E237)-1)),IF(ISNUMBER(MATCH(E237,Config!$C$1:$C$211,0)),E237,IFERROR(INDEX(Config!$C$1:$C$211,MATCH(E237,Config!$D$1:$D$211,0)),""))))</f>
        <v>OP-0138</v>
      </c>
      <c r="E237" s="8" t="s">
        <v>273</v>
      </c>
      <c r="F237" s="9">
        <v>102</v>
      </c>
      <c r="G237" s="10">
        <f t="shared" si="6"/>
        <v>102</v>
      </c>
      <c r="H237" s="11">
        <f t="shared" si="7"/>
        <v>2.8333333333333332E-2</v>
      </c>
      <c r="I237" s="7" t="str">
        <f>IF(J237="","",IF(ISNUMBER(FIND("|",J237)),TRIM(LEFT(J237,FIND("|",J237)-1)),IF(ISNUMBER(MATCH(J237,Config!$F$1:$F$224,0)),J237,IFERROR(INDEX(Config!$F$1:$F$224,MATCH(J237,Config!$G$1:$G$224,0)),""))))</f>
        <v>LPD12262</v>
      </c>
      <c r="J237" s="8" t="s">
        <v>274</v>
      </c>
    </row>
    <row r="238" spans="1:10" ht="12" customHeight="1" x14ac:dyDescent="0.35">
      <c r="A238" s="6" t="s">
        <v>261</v>
      </c>
      <c r="B238" s="6" t="s">
        <v>275</v>
      </c>
      <c r="C238" s="6" t="s">
        <v>276</v>
      </c>
      <c r="D238" s="7" t="str">
        <f>IF(E238="","",IF(ISNUMBER(FIND("|",E238)),TRIM(LEFT(E238,FIND("|",E238)-1)),IF(ISNUMBER(MATCH(E238,Config!$C$1:$C$211,0)),E238,IFERROR(INDEX(Config!$C$1:$C$211,MATCH(E238,Config!$D$1:$D$211,0)),""))))</f>
        <v>OP-0139</v>
      </c>
      <c r="E238" s="8" t="s">
        <v>277</v>
      </c>
      <c r="F238" s="9">
        <v>108</v>
      </c>
      <c r="G238" s="10">
        <f t="shared" si="6"/>
        <v>108</v>
      </c>
      <c r="H238" s="11">
        <f t="shared" si="7"/>
        <v>0.03</v>
      </c>
      <c r="I238" s="7" t="str">
        <f>IF(J238="","",IF(ISNUMBER(FIND("|",J238)),TRIM(LEFT(J238,FIND("|",J238)-1)),IF(ISNUMBER(MATCH(J238,Config!$F$1:$F$224,0)),J238,IFERROR(INDEX(Config!$F$1:$F$224,MATCH(J238,Config!$G$1:$G$224,0)),""))))</f>
        <v>LPD11396</v>
      </c>
      <c r="J238" s="8" t="s">
        <v>278</v>
      </c>
    </row>
    <row r="239" spans="1:10" ht="12" customHeight="1" x14ac:dyDescent="0.35">
      <c r="A239" s="6" t="s">
        <v>261</v>
      </c>
      <c r="B239" s="6" t="s">
        <v>275</v>
      </c>
      <c r="C239" s="6" t="s">
        <v>279</v>
      </c>
      <c r="D239" s="7" t="str">
        <f>IF(E239="","",IF(ISNUMBER(FIND("|",E239)),TRIM(LEFT(E239,FIND("|",E239)-1)),IF(ISNUMBER(MATCH(E239,Config!$C$1:$C$211,0)),E239,IFERROR(INDEX(Config!$C$1:$C$211,MATCH(E239,Config!$D$1:$D$211,0)),""))))</f>
        <v>OP-0053</v>
      </c>
      <c r="E239" s="8" t="s">
        <v>104</v>
      </c>
      <c r="F239" s="9">
        <v>24</v>
      </c>
      <c r="G239" s="10">
        <f t="shared" si="6"/>
        <v>40</v>
      </c>
      <c r="H239" s="11">
        <f t="shared" si="7"/>
        <v>6.6666666666666671E-3</v>
      </c>
      <c r="I239" s="7" t="str">
        <f>IF(J239="","",IF(ISNUMBER(FIND("|",J239)),TRIM(LEFT(J239,FIND("|",J239)-1)),IF(ISNUMBER(MATCH(J239,Config!$F$1:$F$224,0)),J239,IFERROR(INDEX(Config!$F$1:$F$224,MATCH(J239,Config!$G$1:$G$224,0)),""))))</f>
        <v>LPD11018</v>
      </c>
      <c r="J239" s="8" t="s">
        <v>280</v>
      </c>
    </row>
    <row r="240" spans="1:10" ht="12" customHeight="1" x14ac:dyDescent="0.35">
      <c r="A240" s="6" t="s">
        <v>261</v>
      </c>
      <c r="B240" s="6" t="s">
        <v>275</v>
      </c>
      <c r="C240" s="6" t="s">
        <v>279</v>
      </c>
      <c r="D240" s="7" t="str">
        <f>IF(E240="","",IF(ISNUMBER(FIND("|",E240)),TRIM(LEFT(E240,FIND("|",E240)-1)),IF(ISNUMBER(MATCH(E240,Config!$C$1:$C$211,0)),E240,IFERROR(INDEX(Config!$C$1:$C$211,MATCH(E240,Config!$D$1:$D$211,0)),""))))</f>
        <v>OP-0140</v>
      </c>
      <c r="E240" s="8" t="s">
        <v>281</v>
      </c>
      <c r="F240" s="9">
        <v>16</v>
      </c>
      <c r="G240" s="10">
        <f t="shared" si="6"/>
        <v>40</v>
      </c>
      <c r="H240" s="11">
        <f t="shared" si="7"/>
        <v>4.4444444444444444E-3</v>
      </c>
      <c r="I240" s="7" t="str">
        <f>IF(J240="","",IF(ISNUMBER(FIND("|",J240)),TRIM(LEFT(J240,FIND("|",J240)-1)),IF(ISNUMBER(MATCH(J240,Config!$F$1:$F$224,0)),J240,IFERROR(INDEX(Config!$F$1:$F$224,MATCH(J240,Config!$G$1:$G$224,0)),""))))</f>
        <v>LPD11018</v>
      </c>
      <c r="J240" s="12" t="str">
        <f>IFERROR(INDEX($J$16:J239,MATCH(C240,$C$16:C239,0)),"")</f>
        <v>SHABANA</v>
      </c>
    </row>
    <row r="241" spans="1:10" ht="12" customHeight="1" x14ac:dyDescent="0.35">
      <c r="A241" s="6" t="s">
        <v>261</v>
      </c>
      <c r="B241" s="6" t="s">
        <v>282</v>
      </c>
      <c r="C241" s="6" t="s">
        <v>283</v>
      </c>
      <c r="D241" s="7" t="str">
        <f>IF(E241="","",IF(ISNUMBER(FIND("|",E241)),TRIM(LEFT(E241,FIND("|",E241)-1)),IF(ISNUMBER(MATCH(E241,Config!$C$1:$C$211,0)),E241,IFERROR(INDEX(Config!$C$1:$C$211,MATCH(E241,Config!$D$1:$D$211,0)),""))))</f>
        <v>OP-0011</v>
      </c>
      <c r="E241" s="8" t="s">
        <v>284</v>
      </c>
      <c r="F241" s="9">
        <v>90</v>
      </c>
      <c r="G241" s="10">
        <f t="shared" si="6"/>
        <v>90</v>
      </c>
      <c r="H241" s="11">
        <f t="shared" si="7"/>
        <v>2.5000000000000001E-2</v>
      </c>
      <c r="I241" s="7" t="str">
        <f>IF(J241="","",IF(ISNUMBER(FIND("|",J241)),TRIM(LEFT(J241,FIND("|",J241)-1)),IF(ISNUMBER(MATCH(J241,Config!$F$1:$F$224,0)),J241,IFERROR(INDEX(Config!$F$1:$F$224,MATCH(J241,Config!$G$1:$G$224,0)),""))))</f>
        <v>LPD11690</v>
      </c>
      <c r="J241" s="8" t="s">
        <v>285</v>
      </c>
    </row>
    <row r="243" spans="1:10" ht="20" customHeight="1" x14ac:dyDescent="0.35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</sheetData>
  <mergeCells count="13">
    <mergeCell ref="C12:J12"/>
    <mergeCell ref="C13:J13"/>
    <mergeCell ref="A243:J243"/>
    <mergeCell ref="C7:J7"/>
    <mergeCell ref="C8:J8"/>
    <mergeCell ref="C9:J9"/>
    <mergeCell ref="C10:J10"/>
    <mergeCell ref="C11:J11"/>
    <mergeCell ref="A1:J1"/>
    <mergeCell ref="C3:J3"/>
    <mergeCell ref="C4:J4"/>
    <mergeCell ref="C5:J5"/>
    <mergeCell ref="C6:J6"/>
  </mergeCells>
  <phoneticPr fontId="9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Config!$B$1:$B$50</xm:f>
          </x14:formula1>
          <xm:sqref>A16:A241</xm:sqref>
        </x14:dataValidation>
        <x14:dataValidation type="list" allowBlank="1" xr:uid="{00000000-0002-0000-0000-000001000000}">
          <x14:formula1>
            <xm:f>Config!$A$1:$A$100</xm:f>
          </x14:formula1>
          <xm:sqref>C16:C241</xm:sqref>
        </x14:dataValidation>
        <x14:dataValidation type="list" allowBlank="1" xr:uid="{00000000-0002-0000-0000-000002000000}">
          <x14:formula1>
            <xm:f>Config!$E$1:$E$211</xm:f>
          </x14:formula1>
          <xm:sqref>E16:E241</xm:sqref>
        </x14:dataValidation>
        <x14:dataValidation type="list" allowBlank="1" xr:uid="{00000000-0002-0000-0000-000003000000}">
          <x14:formula1>
            <xm:f>Config!$H$1:$H$224</xm:f>
          </x14:formula1>
          <xm:sqref>J16:J241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"/>
  <sheetViews>
    <sheetView workbookViewId="0"/>
  </sheetViews>
  <sheetFormatPr defaultRowHeight="14.5" x14ac:dyDescent="0.35"/>
  <sheetData>
    <row r="1" spans="1:8" x14ac:dyDescent="0.35">
      <c r="A1" t="s">
        <v>286</v>
      </c>
      <c r="B1" t="s">
        <v>41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35">
      <c r="A2" t="s">
        <v>293</v>
      </c>
      <c r="B2" t="s">
        <v>92</v>
      </c>
      <c r="C2" t="s">
        <v>294</v>
      </c>
      <c r="D2" t="s">
        <v>295</v>
      </c>
      <c r="E2" t="s">
        <v>296</v>
      </c>
      <c r="F2" t="s">
        <v>297</v>
      </c>
      <c r="G2" t="s">
        <v>298</v>
      </c>
      <c r="H2" t="s">
        <v>299</v>
      </c>
    </row>
    <row r="3" spans="1:8" x14ac:dyDescent="0.35">
      <c r="A3" t="s">
        <v>300</v>
      </c>
      <c r="B3" t="s">
        <v>120</v>
      </c>
      <c r="C3" t="s">
        <v>301</v>
      </c>
      <c r="D3" t="s">
        <v>302</v>
      </c>
      <c r="E3" t="s">
        <v>303</v>
      </c>
      <c r="F3" t="s">
        <v>304</v>
      </c>
      <c r="G3" t="s">
        <v>305</v>
      </c>
      <c r="H3" t="s">
        <v>306</v>
      </c>
    </row>
    <row r="4" spans="1:8" x14ac:dyDescent="0.35">
      <c r="A4" t="s">
        <v>307</v>
      </c>
      <c r="B4" t="s">
        <v>152</v>
      </c>
      <c r="C4" t="s">
        <v>308</v>
      </c>
      <c r="D4" t="s">
        <v>309</v>
      </c>
      <c r="E4" t="s">
        <v>310</v>
      </c>
      <c r="F4" t="s">
        <v>311</v>
      </c>
      <c r="G4" t="s">
        <v>312</v>
      </c>
      <c r="H4" t="s">
        <v>313</v>
      </c>
    </row>
    <row r="5" spans="1:8" x14ac:dyDescent="0.35">
      <c r="A5" t="s">
        <v>314</v>
      </c>
      <c r="B5" t="s">
        <v>169</v>
      </c>
      <c r="C5" t="s">
        <v>315</v>
      </c>
      <c r="D5" t="s">
        <v>316</v>
      </c>
      <c r="E5" t="s">
        <v>317</v>
      </c>
      <c r="F5" t="s">
        <v>318</v>
      </c>
      <c r="G5" t="s">
        <v>319</v>
      </c>
      <c r="H5" t="s">
        <v>320</v>
      </c>
    </row>
    <row r="6" spans="1:8" x14ac:dyDescent="0.35">
      <c r="A6" t="s">
        <v>321</v>
      </c>
      <c r="B6" t="s">
        <v>247</v>
      </c>
      <c r="C6" t="s">
        <v>322</v>
      </c>
      <c r="D6" t="s">
        <v>323</v>
      </c>
      <c r="E6" t="s">
        <v>324</v>
      </c>
      <c r="F6" t="s">
        <v>325</v>
      </c>
      <c r="G6" t="s">
        <v>326</v>
      </c>
      <c r="H6" t="s">
        <v>327</v>
      </c>
    </row>
    <row r="7" spans="1:8" x14ac:dyDescent="0.35">
      <c r="A7" t="s">
        <v>328</v>
      </c>
      <c r="B7" t="s">
        <v>261</v>
      </c>
      <c r="C7" t="s">
        <v>329</v>
      </c>
      <c r="D7" t="s">
        <v>330</v>
      </c>
      <c r="E7" t="s">
        <v>331</v>
      </c>
      <c r="F7" t="s">
        <v>332</v>
      </c>
      <c r="G7" t="s">
        <v>45</v>
      </c>
      <c r="H7" t="s">
        <v>333</v>
      </c>
    </row>
    <row r="8" spans="1:8" x14ac:dyDescent="0.35">
      <c r="A8" t="s">
        <v>334</v>
      </c>
      <c r="B8" t="s">
        <v>335</v>
      </c>
      <c r="C8" t="s">
        <v>336</v>
      </c>
      <c r="D8" t="s">
        <v>337</v>
      </c>
      <c r="E8" t="s">
        <v>338</v>
      </c>
      <c r="F8" t="s">
        <v>339</v>
      </c>
      <c r="G8" t="s">
        <v>340</v>
      </c>
      <c r="H8" t="s">
        <v>341</v>
      </c>
    </row>
    <row r="9" spans="1:8" x14ac:dyDescent="0.35">
      <c r="A9" t="s">
        <v>342</v>
      </c>
      <c r="B9" t="s">
        <v>343</v>
      </c>
      <c r="C9" t="s">
        <v>344</v>
      </c>
      <c r="D9" t="s">
        <v>345</v>
      </c>
      <c r="E9" t="s">
        <v>346</v>
      </c>
      <c r="F9" t="s">
        <v>347</v>
      </c>
      <c r="G9" t="s">
        <v>348</v>
      </c>
      <c r="H9" t="s">
        <v>349</v>
      </c>
    </row>
    <row r="10" spans="1:8" x14ac:dyDescent="0.35">
      <c r="A10" t="s">
        <v>350</v>
      </c>
      <c r="B10" t="s">
        <v>351</v>
      </c>
      <c r="C10" t="s">
        <v>352</v>
      </c>
      <c r="D10" t="s">
        <v>353</v>
      </c>
      <c r="E10" t="s">
        <v>354</v>
      </c>
      <c r="F10" t="s">
        <v>355</v>
      </c>
      <c r="G10" t="s">
        <v>356</v>
      </c>
      <c r="H10" t="s">
        <v>357</v>
      </c>
    </row>
    <row r="11" spans="1:8" x14ac:dyDescent="0.35">
      <c r="A11" t="s">
        <v>358</v>
      </c>
      <c r="B11" t="s">
        <v>359</v>
      </c>
      <c r="C11" t="s">
        <v>360</v>
      </c>
      <c r="D11" t="s">
        <v>361</v>
      </c>
      <c r="E11" t="s">
        <v>362</v>
      </c>
      <c r="F11" t="s">
        <v>363</v>
      </c>
      <c r="G11" t="s">
        <v>364</v>
      </c>
      <c r="H11" t="s">
        <v>365</v>
      </c>
    </row>
    <row r="12" spans="1:8" x14ac:dyDescent="0.35">
      <c r="A12" t="s">
        <v>366</v>
      </c>
      <c r="B12" t="s">
        <v>367</v>
      </c>
      <c r="C12" t="s">
        <v>368</v>
      </c>
      <c r="D12" t="s">
        <v>361</v>
      </c>
      <c r="E12" t="s">
        <v>369</v>
      </c>
      <c r="F12" t="s">
        <v>370</v>
      </c>
      <c r="G12" t="s">
        <v>371</v>
      </c>
      <c r="H12" t="s">
        <v>372</v>
      </c>
    </row>
    <row r="13" spans="1:8" x14ac:dyDescent="0.35">
      <c r="A13" t="s">
        <v>373</v>
      </c>
      <c r="B13" t="s">
        <v>374</v>
      </c>
      <c r="C13" t="s">
        <v>375</v>
      </c>
      <c r="D13" t="s">
        <v>361</v>
      </c>
      <c r="E13" t="s">
        <v>376</v>
      </c>
      <c r="F13" t="s">
        <v>377</v>
      </c>
      <c r="G13" t="s">
        <v>378</v>
      </c>
      <c r="H13" t="s">
        <v>379</v>
      </c>
    </row>
    <row r="14" spans="1:8" x14ac:dyDescent="0.35">
      <c r="A14" t="s">
        <v>380</v>
      </c>
      <c r="B14" t="s">
        <v>381</v>
      </c>
      <c r="C14" t="s">
        <v>382</v>
      </c>
      <c r="D14" t="s">
        <v>44</v>
      </c>
      <c r="E14" t="s">
        <v>383</v>
      </c>
      <c r="F14" t="s">
        <v>384</v>
      </c>
      <c r="G14" t="s">
        <v>385</v>
      </c>
      <c r="H14" t="s">
        <v>386</v>
      </c>
    </row>
    <row r="15" spans="1:8" x14ac:dyDescent="0.35">
      <c r="A15" t="s">
        <v>387</v>
      </c>
      <c r="B15" t="s">
        <v>388</v>
      </c>
      <c r="C15" t="s">
        <v>389</v>
      </c>
      <c r="D15" t="s">
        <v>46</v>
      </c>
      <c r="E15" t="s">
        <v>390</v>
      </c>
      <c r="F15" t="s">
        <v>391</v>
      </c>
      <c r="G15" t="s">
        <v>168</v>
      </c>
      <c r="H15" t="s">
        <v>392</v>
      </c>
    </row>
    <row r="16" spans="1:8" x14ac:dyDescent="0.35">
      <c r="A16" t="s">
        <v>393</v>
      </c>
      <c r="B16" t="s">
        <v>394</v>
      </c>
      <c r="C16" t="s">
        <v>395</v>
      </c>
      <c r="D16" t="s">
        <v>47</v>
      </c>
      <c r="E16" t="s">
        <v>396</v>
      </c>
      <c r="F16" t="s">
        <v>397</v>
      </c>
      <c r="G16" t="s">
        <v>398</v>
      </c>
      <c r="H16" t="s">
        <v>399</v>
      </c>
    </row>
    <row r="17" spans="1:8" x14ac:dyDescent="0.35">
      <c r="A17" t="s">
        <v>400</v>
      </c>
      <c r="B17" t="s">
        <v>401</v>
      </c>
      <c r="C17" t="s">
        <v>402</v>
      </c>
      <c r="D17" t="s">
        <v>51</v>
      </c>
      <c r="E17" t="s">
        <v>403</v>
      </c>
      <c r="F17" t="s">
        <v>404</v>
      </c>
      <c r="G17" t="s">
        <v>136</v>
      </c>
      <c r="H17" t="s">
        <v>405</v>
      </c>
    </row>
    <row r="18" spans="1:8" x14ac:dyDescent="0.35">
      <c r="A18" t="s">
        <v>406</v>
      </c>
      <c r="B18" t="s">
        <v>407</v>
      </c>
      <c r="C18" t="s">
        <v>408</v>
      </c>
      <c r="D18" t="s">
        <v>52</v>
      </c>
      <c r="E18" t="s">
        <v>409</v>
      </c>
      <c r="F18" t="s">
        <v>410</v>
      </c>
      <c r="G18" t="s">
        <v>411</v>
      </c>
      <c r="H18" t="s">
        <v>412</v>
      </c>
    </row>
    <row r="19" spans="1:8" x14ac:dyDescent="0.35">
      <c r="A19" t="s">
        <v>413</v>
      </c>
      <c r="B19" t="s">
        <v>414</v>
      </c>
      <c r="C19" t="s">
        <v>415</v>
      </c>
      <c r="D19" t="s">
        <v>53</v>
      </c>
      <c r="E19" t="s">
        <v>416</v>
      </c>
      <c r="F19" t="s">
        <v>417</v>
      </c>
      <c r="G19" t="s">
        <v>418</v>
      </c>
      <c r="H19" t="s">
        <v>419</v>
      </c>
    </row>
    <row r="20" spans="1:8" x14ac:dyDescent="0.35">
      <c r="A20" t="s">
        <v>420</v>
      </c>
      <c r="B20" t="s">
        <v>421</v>
      </c>
      <c r="C20" t="s">
        <v>422</v>
      </c>
      <c r="D20" t="s">
        <v>54</v>
      </c>
      <c r="E20" t="s">
        <v>423</v>
      </c>
      <c r="F20" t="s">
        <v>424</v>
      </c>
      <c r="G20" t="s">
        <v>425</v>
      </c>
      <c r="H20" t="s">
        <v>426</v>
      </c>
    </row>
    <row r="21" spans="1:8" x14ac:dyDescent="0.35">
      <c r="A21" t="s">
        <v>427</v>
      </c>
      <c r="B21" t="s">
        <v>428</v>
      </c>
      <c r="C21" t="s">
        <v>429</v>
      </c>
      <c r="D21" t="s">
        <v>55</v>
      </c>
      <c r="E21" t="s">
        <v>430</v>
      </c>
      <c r="F21" t="s">
        <v>431</v>
      </c>
      <c r="G21" t="s">
        <v>432</v>
      </c>
      <c r="H21" t="s">
        <v>433</v>
      </c>
    </row>
    <row r="22" spans="1:8" x14ac:dyDescent="0.35">
      <c r="A22" t="s">
        <v>434</v>
      </c>
      <c r="B22" t="s">
        <v>435</v>
      </c>
      <c r="C22" t="s">
        <v>436</v>
      </c>
      <c r="D22" t="s">
        <v>56</v>
      </c>
      <c r="E22" t="s">
        <v>437</v>
      </c>
      <c r="F22" t="s">
        <v>438</v>
      </c>
      <c r="G22" t="s">
        <v>439</v>
      </c>
      <c r="H22" t="s">
        <v>440</v>
      </c>
    </row>
    <row r="23" spans="1:8" x14ac:dyDescent="0.35">
      <c r="A23" t="s">
        <v>441</v>
      </c>
      <c r="B23" t="s">
        <v>442</v>
      </c>
      <c r="C23" t="s">
        <v>443</v>
      </c>
      <c r="D23" t="s">
        <v>58</v>
      </c>
      <c r="E23" t="s">
        <v>444</v>
      </c>
      <c r="F23" t="s">
        <v>445</v>
      </c>
      <c r="G23" t="s">
        <v>105</v>
      </c>
      <c r="H23" t="s">
        <v>446</v>
      </c>
    </row>
    <row r="24" spans="1:8" x14ac:dyDescent="0.35">
      <c r="A24" t="s">
        <v>447</v>
      </c>
      <c r="B24" t="s">
        <v>448</v>
      </c>
      <c r="C24" t="s">
        <v>449</v>
      </c>
      <c r="D24" t="s">
        <v>60</v>
      </c>
      <c r="E24" t="s">
        <v>450</v>
      </c>
      <c r="F24" t="s">
        <v>451</v>
      </c>
      <c r="G24" t="s">
        <v>452</v>
      </c>
      <c r="H24" t="s">
        <v>453</v>
      </c>
    </row>
    <row r="25" spans="1:8" x14ac:dyDescent="0.35">
      <c r="A25" t="s">
        <v>454</v>
      </c>
      <c r="B25" t="s">
        <v>455</v>
      </c>
      <c r="C25" t="s">
        <v>456</v>
      </c>
      <c r="D25" t="s">
        <v>61</v>
      </c>
      <c r="E25" t="s">
        <v>457</v>
      </c>
      <c r="F25" t="s">
        <v>458</v>
      </c>
      <c r="G25" t="s">
        <v>459</v>
      </c>
      <c r="H25" t="s">
        <v>460</v>
      </c>
    </row>
    <row r="26" spans="1:8" x14ac:dyDescent="0.35">
      <c r="A26" t="s">
        <v>461</v>
      </c>
      <c r="B26" t="s">
        <v>462</v>
      </c>
      <c r="C26" t="s">
        <v>463</v>
      </c>
      <c r="D26" t="s">
        <v>62</v>
      </c>
      <c r="E26" t="s">
        <v>464</v>
      </c>
      <c r="F26" t="s">
        <v>465</v>
      </c>
      <c r="G26" t="s">
        <v>163</v>
      </c>
      <c r="H26" t="s">
        <v>466</v>
      </c>
    </row>
    <row r="27" spans="1:8" x14ac:dyDescent="0.35">
      <c r="A27" t="s">
        <v>467</v>
      </c>
      <c r="B27" t="s">
        <v>468</v>
      </c>
      <c r="C27" t="s">
        <v>469</v>
      </c>
      <c r="D27" t="s">
        <v>64</v>
      </c>
      <c r="E27" t="s">
        <v>470</v>
      </c>
      <c r="F27" t="s">
        <v>471</v>
      </c>
      <c r="G27" t="s">
        <v>65</v>
      </c>
      <c r="H27" t="s">
        <v>472</v>
      </c>
    </row>
    <row r="28" spans="1:8" x14ac:dyDescent="0.35">
      <c r="A28" t="s">
        <v>473</v>
      </c>
      <c r="B28" t="s">
        <v>474</v>
      </c>
      <c r="C28" t="s">
        <v>475</v>
      </c>
      <c r="D28" t="s">
        <v>66</v>
      </c>
      <c r="E28" t="s">
        <v>476</v>
      </c>
      <c r="F28" t="s">
        <v>477</v>
      </c>
      <c r="G28" t="s">
        <v>478</v>
      </c>
      <c r="H28" t="s">
        <v>479</v>
      </c>
    </row>
    <row r="29" spans="1:8" x14ac:dyDescent="0.35">
      <c r="A29" t="s">
        <v>480</v>
      </c>
      <c r="B29" t="s">
        <v>481</v>
      </c>
      <c r="C29" t="s">
        <v>482</v>
      </c>
      <c r="D29" t="s">
        <v>68</v>
      </c>
      <c r="E29" t="s">
        <v>483</v>
      </c>
      <c r="F29" t="s">
        <v>484</v>
      </c>
      <c r="G29" t="s">
        <v>271</v>
      </c>
      <c r="H29" t="s">
        <v>485</v>
      </c>
    </row>
    <row r="30" spans="1:8" x14ac:dyDescent="0.35">
      <c r="A30" t="s">
        <v>486</v>
      </c>
      <c r="B30" t="s">
        <v>487</v>
      </c>
      <c r="C30" t="s">
        <v>488</v>
      </c>
      <c r="D30" t="s">
        <v>70</v>
      </c>
      <c r="E30" t="s">
        <v>489</v>
      </c>
      <c r="F30" t="s">
        <v>490</v>
      </c>
      <c r="G30" t="s">
        <v>491</v>
      </c>
      <c r="H30" t="s">
        <v>492</v>
      </c>
    </row>
    <row r="31" spans="1:8" x14ac:dyDescent="0.35">
      <c r="A31" t="s">
        <v>493</v>
      </c>
      <c r="B31" t="s">
        <v>494</v>
      </c>
      <c r="C31" t="s">
        <v>495</v>
      </c>
      <c r="D31" t="s">
        <v>71</v>
      </c>
      <c r="E31" t="s">
        <v>496</v>
      </c>
      <c r="F31" t="s">
        <v>497</v>
      </c>
      <c r="G31" t="s">
        <v>498</v>
      </c>
      <c r="H31" t="s">
        <v>499</v>
      </c>
    </row>
    <row r="32" spans="1:8" x14ac:dyDescent="0.35">
      <c r="A32" t="s">
        <v>500</v>
      </c>
      <c r="B32" t="s">
        <v>501</v>
      </c>
      <c r="C32" t="s">
        <v>502</v>
      </c>
      <c r="D32" t="s">
        <v>72</v>
      </c>
      <c r="E32" t="s">
        <v>503</v>
      </c>
      <c r="F32" t="s">
        <v>504</v>
      </c>
      <c r="G32" t="s">
        <v>505</v>
      </c>
      <c r="H32" t="s">
        <v>506</v>
      </c>
    </row>
    <row r="33" spans="1:8" x14ac:dyDescent="0.35">
      <c r="A33" t="s">
        <v>507</v>
      </c>
      <c r="B33" t="s">
        <v>508</v>
      </c>
      <c r="C33" t="s">
        <v>509</v>
      </c>
      <c r="D33" t="s">
        <v>73</v>
      </c>
      <c r="E33" t="s">
        <v>510</v>
      </c>
      <c r="F33" t="s">
        <v>511</v>
      </c>
      <c r="G33" t="s">
        <v>512</v>
      </c>
      <c r="H33" t="s">
        <v>513</v>
      </c>
    </row>
    <row r="34" spans="1:8" x14ac:dyDescent="0.35">
      <c r="A34" t="s">
        <v>514</v>
      </c>
      <c r="B34" t="s">
        <v>515</v>
      </c>
      <c r="C34" t="s">
        <v>516</v>
      </c>
      <c r="D34" t="s">
        <v>74</v>
      </c>
      <c r="E34" t="s">
        <v>517</v>
      </c>
      <c r="F34" t="s">
        <v>518</v>
      </c>
      <c r="G34" t="s">
        <v>519</v>
      </c>
      <c r="H34" t="s">
        <v>520</v>
      </c>
    </row>
    <row r="35" spans="1:8" x14ac:dyDescent="0.35">
      <c r="A35" t="s">
        <v>521</v>
      </c>
      <c r="B35" t="s">
        <v>522</v>
      </c>
      <c r="C35" t="s">
        <v>523</v>
      </c>
      <c r="D35" t="s">
        <v>75</v>
      </c>
      <c r="E35" t="s">
        <v>524</v>
      </c>
      <c r="F35" t="s">
        <v>525</v>
      </c>
      <c r="G35" t="s">
        <v>526</v>
      </c>
      <c r="H35" t="s">
        <v>527</v>
      </c>
    </row>
    <row r="36" spans="1:8" x14ac:dyDescent="0.35">
      <c r="A36" t="s">
        <v>528</v>
      </c>
      <c r="B36" t="s">
        <v>529</v>
      </c>
      <c r="C36" t="s">
        <v>530</v>
      </c>
      <c r="D36" t="s">
        <v>76</v>
      </c>
      <c r="E36" t="s">
        <v>531</v>
      </c>
      <c r="F36" t="s">
        <v>532</v>
      </c>
      <c r="G36" t="s">
        <v>533</v>
      </c>
      <c r="H36" t="s">
        <v>534</v>
      </c>
    </row>
    <row r="37" spans="1:8" x14ac:dyDescent="0.35">
      <c r="A37" t="s">
        <v>535</v>
      </c>
      <c r="B37" t="s">
        <v>536</v>
      </c>
      <c r="C37" t="s">
        <v>537</v>
      </c>
      <c r="D37" t="s">
        <v>78</v>
      </c>
      <c r="E37" t="s">
        <v>538</v>
      </c>
      <c r="F37" t="s">
        <v>539</v>
      </c>
      <c r="G37" t="s">
        <v>189</v>
      </c>
      <c r="H37" t="s">
        <v>540</v>
      </c>
    </row>
    <row r="38" spans="1:8" x14ac:dyDescent="0.35">
      <c r="A38" t="s">
        <v>541</v>
      </c>
      <c r="B38" t="s">
        <v>542</v>
      </c>
      <c r="C38" t="s">
        <v>543</v>
      </c>
      <c r="D38" t="s">
        <v>80</v>
      </c>
      <c r="E38" t="s">
        <v>544</v>
      </c>
      <c r="F38" t="s">
        <v>545</v>
      </c>
      <c r="G38" t="s">
        <v>546</v>
      </c>
      <c r="H38" t="s">
        <v>547</v>
      </c>
    </row>
    <row r="39" spans="1:8" x14ac:dyDescent="0.35">
      <c r="A39" t="s">
        <v>548</v>
      </c>
      <c r="B39" t="s">
        <v>549</v>
      </c>
      <c r="C39" t="s">
        <v>550</v>
      </c>
      <c r="D39" t="s">
        <v>81</v>
      </c>
      <c r="E39" t="s">
        <v>551</v>
      </c>
      <c r="F39" t="s">
        <v>552</v>
      </c>
      <c r="G39" t="s">
        <v>553</v>
      </c>
      <c r="H39" t="s">
        <v>554</v>
      </c>
    </row>
    <row r="40" spans="1:8" x14ac:dyDescent="0.35">
      <c r="A40" t="s">
        <v>555</v>
      </c>
      <c r="B40" t="s">
        <v>556</v>
      </c>
      <c r="C40" t="s">
        <v>557</v>
      </c>
      <c r="D40" t="s">
        <v>82</v>
      </c>
      <c r="E40" t="s">
        <v>558</v>
      </c>
      <c r="F40" t="s">
        <v>559</v>
      </c>
      <c r="G40" t="s">
        <v>560</v>
      </c>
      <c r="H40" t="s">
        <v>561</v>
      </c>
    </row>
    <row r="41" spans="1:8" x14ac:dyDescent="0.35">
      <c r="A41" t="s">
        <v>562</v>
      </c>
      <c r="B41" t="s">
        <v>563</v>
      </c>
      <c r="C41" t="s">
        <v>564</v>
      </c>
      <c r="D41" t="s">
        <v>83</v>
      </c>
      <c r="E41" t="s">
        <v>565</v>
      </c>
      <c r="F41" t="s">
        <v>566</v>
      </c>
      <c r="G41" t="s">
        <v>567</v>
      </c>
      <c r="H41" t="s">
        <v>568</v>
      </c>
    </row>
    <row r="42" spans="1:8" x14ac:dyDescent="0.35">
      <c r="A42" t="s">
        <v>569</v>
      </c>
      <c r="B42" t="s">
        <v>570</v>
      </c>
      <c r="C42" t="s">
        <v>571</v>
      </c>
      <c r="D42" t="s">
        <v>84</v>
      </c>
      <c r="E42" t="s">
        <v>572</v>
      </c>
      <c r="F42" t="s">
        <v>573</v>
      </c>
      <c r="G42" t="s">
        <v>574</v>
      </c>
      <c r="H42" t="s">
        <v>575</v>
      </c>
    </row>
    <row r="43" spans="1:8" x14ac:dyDescent="0.35">
      <c r="A43" t="s">
        <v>576</v>
      </c>
      <c r="B43" t="s">
        <v>577</v>
      </c>
      <c r="C43" t="s">
        <v>578</v>
      </c>
      <c r="D43" t="s">
        <v>85</v>
      </c>
      <c r="E43" t="s">
        <v>579</v>
      </c>
      <c r="F43" t="s">
        <v>580</v>
      </c>
      <c r="G43" t="s">
        <v>581</v>
      </c>
      <c r="H43" t="s">
        <v>582</v>
      </c>
    </row>
    <row r="44" spans="1:8" x14ac:dyDescent="0.35">
      <c r="A44" t="s">
        <v>583</v>
      </c>
      <c r="B44" t="s">
        <v>584</v>
      </c>
      <c r="C44" t="s">
        <v>585</v>
      </c>
      <c r="D44" t="s">
        <v>87</v>
      </c>
      <c r="E44" t="s">
        <v>586</v>
      </c>
      <c r="F44" t="s">
        <v>587</v>
      </c>
      <c r="G44" t="s">
        <v>240</v>
      </c>
      <c r="H44" t="s">
        <v>588</v>
      </c>
    </row>
    <row r="45" spans="1:8" x14ac:dyDescent="0.35">
      <c r="A45" t="s">
        <v>589</v>
      </c>
      <c r="B45" t="s">
        <v>590</v>
      </c>
      <c r="C45" t="s">
        <v>591</v>
      </c>
      <c r="D45" t="s">
        <v>89</v>
      </c>
      <c r="E45" t="s">
        <v>592</v>
      </c>
      <c r="F45" t="s">
        <v>593</v>
      </c>
      <c r="G45" t="s">
        <v>240</v>
      </c>
      <c r="H45" t="s">
        <v>594</v>
      </c>
    </row>
    <row r="46" spans="1:8" x14ac:dyDescent="0.35">
      <c r="A46" t="s">
        <v>595</v>
      </c>
      <c r="B46" t="s">
        <v>596</v>
      </c>
      <c r="C46" t="s">
        <v>597</v>
      </c>
      <c r="D46" t="s">
        <v>90</v>
      </c>
      <c r="E46" t="s">
        <v>598</v>
      </c>
      <c r="F46" t="s">
        <v>599</v>
      </c>
      <c r="G46" t="s">
        <v>240</v>
      </c>
      <c r="H46" t="s">
        <v>600</v>
      </c>
    </row>
    <row r="47" spans="1:8" x14ac:dyDescent="0.35">
      <c r="A47" t="s">
        <v>601</v>
      </c>
      <c r="B47" t="s">
        <v>602</v>
      </c>
      <c r="C47" t="s">
        <v>603</v>
      </c>
      <c r="D47" t="s">
        <v>91</v>
      </c>
      <c r="E47" t="s">
        <v>604</v>
      </c>
      <c r="F47" t="s">
        <v>605</v>
      </c>
      <c r="G47" t="s">
        <v>250</v>
      </c>
      <c r="H47" t="s">
        <v>606</v>
      </c>
    </row>
    <row r="48" spans="1:8" x14ac:dyDescent="0.35">
      <c r="A48" t="s">
        <v>607</v>
      </c>
      <c r="B48" t="s">
        <v>608</v>
      </c>
      <c r="C48" t="s">
        <v>609</v>
      </c>
      <c r="D48" t="s">
        <v>95</v>
      </c>
      <c r="E48" t="s">
        <v>610</v>
      </c>
      <c r="F48" t="s">
        <v>611</v>
      </c>
      <c r="G48" t="s">
        <v>612</v>
      </c>
      <c r="H48" t="s">
        <v>613</v>
      </c>
    </row>
    <row r="49" spans="1:8" x14ac:dyDescent="0.35">
      <c r="A49" t="s">
        <v>614</v>
      </c>
      <c r="B49" t="s">
        <v>615</v>
      </c>
      <c r="C49" t="s">
        <v>616</v>
      </c>
      <c r="D49" t="s">
        <v>97</v>
      </c>
      <c r="E49" t="s">
        <v>617</v>
      </c>
      <c r="F49" t="s">
        <v>618</v>
      </c>
      <c r="G49" t="s">
        <v>619</v>
      </c>
      <c r="H49" t="s">
        <v>620</v>
      </c>
    </row>
    <row r="50" spans="1:8" x14ac:dyDescent="0.35">
      <c r="A50" t="s">
        <v>621</v>
      </c>
      <c r="B50" t="s">
        <v>622</v>
      </c>
      <c r="C50" t="s">
        <v>623</v>
      </c>
      <c r="D50" t="s">
        <v>98</v>
      </c>
      <c r="E50" t="s">
        <v>624</v>
      </c>
      <c r="F50" t="s">
        <v>625</v>
      </c>
      <c r="G50" t="s">
        <v>626</v>
      </c>
      <c r="H50" t="s">
        <v>627</v>
      </c>
    </row>
    <row r="51" spans="1:8" x14ac:dyDescent="0.35">
      <c r="A51" t="s">
        <v>628</v>
      </c>
      <c r="C51" t="s">
        <v>629</v>
      </c>
      <c r="D51" t="s">
        <v>100</v>
      </c>
      <c r="E51" t="s">
        <v>630</v>
      </c>
      <c r="F51" t="s">
        <v>631</v>
      </c>
      <c r="G51" t="s">
        <v>140</v>
      </c>
      <c r="H51" t="s">
        <v>632</v>
      </c>
    </row>
    <row r="52" spans="1:8" x14ac:dyDescent="0.35">
      <c r="A52" t="s">
        <v>633</v>
      </c>
      <c r="C52" t="s">
        <v>634</v>
      </c>
      <c r="D52" t="s">
        <v>102</v>
      </c>
      <c r="E52" t="s">
        <v>635</v>
      </c>
      <c r="F52" t="s">
        <v>636</v>
      </c>
      <c r="G52" t="s">
        <v>637</v>
      </c>
      <c r="H52" t="s">
        <v>638</v>
      </c>
    </row>
    <row r="53" spans="1:8" x14ac:dyDescent="0.35">
      <c r="A53" t="s">
        <v>639</v>
      </c>
      <c r="C53" t="s">
        <v>640</v>
      </c>
      <c r="D53" t="s">
        <v>104</v>
      </c>
      <c r="E53" t="s">
        <v>641</v>
      </c>
      <c r="F53" t="s">
        <v>642</v>
      </c>
      <c r="G53" t="s">
        <v>643</v>
      </c>
      <c r="H53" t="s">
        <v>644</v>
      </c>
    </row>
    <row r="54" spans="1:8" x14ac:dyDescent="0.35">
      <c r="A54" t="s">
        <v>645</v>
      </c>
      <c r="C54" t="s">
        <v>646</v>
      </c>
      <c r="D54" t="s">
        <v>106</v>
      </c>
      <c r="E54" t="s">
        <v>647</v>
      </c>
      <c r="F54" t="s">
        <v>648</v>
      </c>
      <c r="G54" t="s">
        <v>649</v>
      </c>
      <c r="H54" t="s">
        <v>650</v>
      </c>
    </row>
    <row r="55" spans="1:8" x14ac:dyDescent="0.35">
      <c r="A55" t="s">
        <v>651</v>
      </c>
      <c r="C55" t="s">
        <v>652</v>
      </c>
      <c r="D55" t="s">
        <v>108</v>
      </c>
      <c r="E55" t="s">
        <v>653</v>
      </c>
      <c r="F55" t="s">
        <v>654</v>
      </c>
      <c r="G55" t="s">
        <v>655</v>
      </c>
      <c r="H55" t="s">
        <v>656</v>
      </c>
    </row>
    <row r="56" spans="1:8" x14ac:dyDescent="0.35">
      <c r="A56" t="s">
        <v>657</v>
      </c>
      <c r="C56" t="s">
        <v>658</v>
      </c>
      <c r="D56" t="s">
        <v>110</v>
      </c>
      <c r="E56" t="s">
        <v>659</v>
      </c>
      <c r="F56" t="s">
        <v>660</v>
      </c>
      <c r="G56" t="s">
        <v>661</v>
      </c>
      <c r="H56" t="s">
        <v>662</v>
      </c>
    </row>
    <row r="57" spans="1:8" x14ac:dyDescent="0.35">
      <c r="A57" t="s">
        <v>663</v>
      </c>
      <c r="C57" t="s">
        <v>664</v>
      </c>
      <c r="D57" t="s">
        <v>111</v>
      </c>
      <c r="E57" t="s">
        <v>665</v>
      </c>
      <c r="F57" t="s">
        <v>666</v>
      </c>
      <c r="G57" t="s">
        <v>667</v>
      </c>
      <c r="H57" t="s">
        <v>668</v>
      </c>
    </row>
    <row r="58" spans="1:8" x14ac:dyDescent="0.35">
      <c r="A58" t="s">
        <v>669</v>
      </c>
      <c r="C58" t="s">
        <v>670</v>
      </c>
      <c r="D58" t="s">
        <v>113</v>
      </c>
      <c r="E58" t="s">
        <v>671</v>
      </c>
      <c r="F58" t="s">
        <v>672</v>
      </c>
      <c r="G58" t="s">
        <v>673</v>
      </c>
      <c r="H58" t="s">
        <v>674</v>
      </c>
    </row>
    <row r="59" spans="1:8" x14ac:dyDescent="0.35">
      <c r="A59" t="s">
        <v>675</v>
      </c>
      <c r="C59" t="s">
        <v>676</v>
      </c>
      <c r="D59" t="s">
        <v>117</v>
      </c>
      <c r="E59" t="s">
        <v>677</v>
      </c>
      <c r="F59" t="s">
        <v>678</v>
      </c>
      <c r="G59" t="s">
        <v>679</v>
      </c>
      <c r="H59" t="s">
        <v>680</v>
      </c>
    </row>
    <row r="60" spans="1:8" x14ac:dyDescent="0.35">
      <c r="A60" t="s">
        <v>681</v>
      </c>
      <c r="C60" t="s">
        <v>682</v>
      </c>
      <c r="D60" t="s">
        <v>118</v>
      </c>
      <c r="E60" t="s">
        <v>683</v>
      </c>
      <c r="F60" t="s">
        <v>684</v>
      </c>
      <c r="G60" t="s">
        <v>685</v>
      </c>
      <c r="H60" t="s">
        <v>686</v>
      </c>
    </row>
    <row r="61" spans="1:8" x14ac:dyDescent="0.35">
      <c r="A61" t="s">
        <v>687</v>
      </c>
      <c r="C61" t="s">
        <v>688</v>
      </c>
      <c r="D61" t="s">
        <v>119</v>
      </c>
      <c r="E61" t="s">
        <v>689</v>
      </c>
      <c r="F61" t="s">
        <v>690</v>
      </c>
      <c r="G61" t="s">
        <v>691</v>
      </c>
      <c r="H61" t="s">
        <v>692</v>
      </c>
    </row>
    <row r="62" spans="1:8" x14ac:dyDescent="0.35">
      <c r="A62" t="s">
        <v>693</v>
      </c>
      <c r="C62" t="s">
        <v>694</v>
      </c>
      <c r="D62" t="s">
        <v>122</v>
      </c>
      <c r="E62" t="s">
        <v>695</v>
      </c>
      <c r="F62" t="s">
        <v>696</v>
      </c>
      <c r="G62" t="s">
        <v>697</v>
      </c>
      <c r="H62" t="s">
        <v>698</v>
      </c>
    </row>
    <row r="63" spans="1:8" x14ac:dyDescent="0.35">
      <c r="A63" t="s">
        <v>699</v>
      </c>
      <c r="C63" t="s">
        <v>700</v>
      </c>
      <c r="D63" t="s">
        <v>124</v>
      </c>
      <c r="E63" t="s">
        <v>701</v>
      </c>
      <c r="F63" t="s">
        <v>702</v>
      </c>
      <c r="G63" t="s">
        <v>703</v>
      </c>
      <c r="H63" t="s">
        <v>704</v>
      </c>
    </row>
    <row r="64" spans="1:8" x14ac:dyDescent="0.35">
      <c r="A64" t="s">
        <v>705</v>
      </c>
      <c r="C64" t="s">
        <v>706</v>
      </c>
      <c r="D64" t="s">
        <v>125</v>
      </c>
      <c r="E64" t="s">
        <v>707</v>
      </c>
      <c r="F64" t="s">
        <v>708</v>
      </c>
      <c r="G64" t="s">
        <v>709</v>
      </c>
      <c r="H64" t="s">
        <v>710</v>
      </c>
    </row>
    <row r="65" spans="1:8" x14ac:dyDescent="0.35">
      <c r="A65" t="s">
        <v>711</v>
      </c>
      <c r="C65" t="s">
        <v>712</v>
      </c>
      <c r="D65" t="s">
        <v>126</v>
      </c>
      <c r="E65" t="s">
        <v>713</v>
      </c>
      <c r="F65" t="s">
        <v>714</v>
      </c>
      <c r="G65" t="s">
        <v>109</v>
      </c>
      <c r="H65" t="s">
        <v>715</v>
      </c>
    </row>
    <row r="66" spans="1:8" x14ac:dyDescent="0.35">
      <c r="A66" t="s">
        <v>716</v>
      </c>
      <c r="C66" t="s">
        <v>717</v>
      </c>
      <c r="D66" t="s">
        <v>129</v>
      </c>
      <c r="E66" t="s">
        <v>718</v>
      </c>
      <c r="F66" t="s">
        <v>719</v>
      </c>
      <c r="G66" t="s">
        <v>720</v>
      </c>
      <c r="H66" t="s">
        <v>721</v>
      </c>
    </row>
    <row r="67" spans="1:8" x14ac:dyDescent="0.35">
      <c r="A67" t="s">
        <v>722</v>
      </c>
      <c r="C67" t="s">
        <v>723</v>
      </c>
      <c r="D67" t="s">
        <v>131</v>
      </c>
      <c r="E67" t="s">
        <v>724</v>
      </c>
      <c r="F67" t="s">
        <v>725</v>
      </c>
      <c r="G67" t="s">
        <v>726</v>
      </c>
      <c r="H67" t="s">
        <v>727</v>
      </c>
    </row>
    <row r="68" spans="1:8" x14ac:dyDescent="0.35">
      <c r="A68" t="s">
        <v>728</v>
      </c>
      <c r="C68" t="s">
        <v>729</v>
      </c>
      <c r="D68" t="s">
        <v>132</v>
      </c>
      <c r="E68" t="s">
        <v>730</v>
      </c>
      <c r="F68" t="s">
        <v>731</v>
      </c>
      <c r="G68" t="s">
        <v>732</v>
      </c>
      <c r="H68" t="s">
        <v>733</v>
      </c>
    </row>
    <row r="69" spans="1:8" x14ac:dyDescent="0.35">
      <c r="A69" t="s">
        <v>734</v>
      </c>
      <c r="C69" t="s">
        <v>735</v>
      </c>
      <c r="D69" t="s">
        <v>133</v>
      </c>
      <c r="E69" t="s">
        <v>736</v>
      </c>
      <c r="F69" t="s">
        <v>737</v>
      </c>
      <c r="G69" t="s">
        <v>101</v>
      </c>
      <c r="H69" t="s">
        <v>738</v>
      </c>
    </row>
    <row r="70" spans="1:8" x14ac:dyDescent="0.35">
      <c r="A70" t="s">
        <v>739</v>
      </c>
      <c r="C70" t="s">
        <v>740</v>
      </c>
      <c r="D70" t="s">
        <v>135</v>
      </c>
      <c r="E70" t="s">
        <v>741</v>
      </c>
      <c r="F70" t="s">
        <v>742</v>
      </c>
      <c r="G70" t="s">
        <v>743</v>
      </c>
      <c r="H70" t="s">
        <v>744</v>
      </c>
    </row>
    <row r="71" spans="1:8" x14ac:dyDescent="0.35">
      <c r="A71" t="s">
        <v>745</v>
      </c>
      <c r="C71" t="s">
        <v>746</v>
      </c>
      <c r="D71" t="s">
        <v>137</v>
      </c>
      <c r="E71" t="s">
        <v>747</v>
      </c>
      <c r="F71" t="s">
        <v>748</v>
      </c>
      <c r="G71" t="s">
        <v>59</v>
      </c>
      <c r="H71" t="s">
        <v>749</v>
      </c>
    </row>
    <row r="72" spans="1:8" x14ac:dyDescent="0.35">
      <c r="A72" t="s">
        <v>750</v>
      </c>
      <c r="C72" t="s">
        <v>751</v>
      </c>
      <c r="D72" t="s">
        <v>139</v>
      </c>
      <c r="E72" t="s">
        <v>752</v>
      </c>
      <c r="F72" t="s">
        <v>753</v>
      </c>
      <c r="G72" t="s">
        <v>754</v>
      </c>
      <c r="H72" t="s">
        <v>755</v>
      </c>
    </row>
    <row r="73" spans="1:8" x14ac:dyDescent="0.35">
      <c r="A73" t="s">
        <v>756</v>
      </c>
      <c r="C73" t="s">
        <v>757</v>
      </c>
      <c r="D73" t="s">
        <v>143</v>
      </c>
      <c r="E73" t="s">
        <v>758</v>
      </c>
      <c r="F73" t="s">
        <v>759</v>
      </c>
      <c r="G73" t="s">
        <v>754</v>
      </c>
      <c r="H73" t="s">
        <v>760</v>
      </c>
    </row>
    <row r="74" spans="1:8" x14ac:dyDescent="0.35">
      <c r="A74" t="s">
        <v>761</v>
      </c>
      <c r="C74" t="s">
        <v>762</v>
      </c>
      <c r="D74" t="s">
        <v>144</v>
      </c>
      <c r="E74" t="s">
        <v>763</v>
      </c>
      <c r="F74" t="s">
        <v>764</v>
      </c>
      <c r="G74" t="s">
        <v>765</v>
      </c>
      <c r="H74" t="s">
        <v>766</v>
      </c>
    </row>
    <row r="75" spans="1:8" x14ac:dyDescent="0.35">
      <c r="A75" t="s">
        <v>767</v>
      </c>
      <c r="C75" t="s">
        <v>768</v>
      </c>
      <c r="D75" t="s">
        <v>145</v>
      </c>
      <c r="E75" t="s">
        <v>769</v>
      </c>
      <c r="F75" t="s">
        <v>770</v>
      </c>
      <c r="G75" t="s">
        <v>771</v>
      </c>
      <c r="H75" t="s">
        <v>772</v>
      </c>
    </row>
    <row r="76" spans="1:8" x14ac:dyDescent="0.35">
      <c r="A76" t="s">
        <v>773</v>
      </c>
      <c r="C76" t="s">
        <v>774</v>
      </c>
      <c r="D76" t="s">
        <v>146</v>
      </c>
      <c r="E76" t="s">
        <v>775</v>
      </c>
      <c r="F76" t="s">
        <v>776</v>
      </c>
      <c r="G76" t="s">
        <v>777</v>
      </c>
      <c r="H76" t="s">
        <v>778</v>
      </c>
    </row>
    <row r="77" spans="1:8" x14ac:dyDescent="0.35">
      <c r="A77" t="s">
        <v>779</v>
      </c>
      <c r="C77" t="s">
        <v>780</v>
      </c>
      <c r="D77" t="s">
        <v>147</v>
      </c>
      <c r="E77" t="s">
        <v>781</v>
      </c>
      <c r="F77" t="s">
        <v>782</v>
      </c>
      <c r="G77" t="s">
        <v>783</v>
      </c>
      <c r="H77" t="s">
        <v>784</v>
      </c>
    </row>
    <row r="78" spans="1:8" x14ac:dyDescent="0.35">
      <c r="A78" t="s">
        <v>785</v>
      </c>
      <c r="C78" t="s">
        <v>786</v>
      </c>
      <c r="D78" t="s">
        <v>148</v>
      </c>
      <c r="E78" t="s">
        <v>787</v>
      </c>
      <c r="F78" t="s">
        <v>788</v>
      </c>
      <c r="G78" t="s">
        <v>789</v>
      </c>
      <c r="H78" t="s">
        <v>790</v>
      </c>
    </row>
    <row r="79" spans="1:8" x14ac:dyDescent="0.35">
      <c r="A79" t="s">
        <v>791</v>
      </c>
      <c r="C79" t="s">
        <v>792</v>
      </c>
      <c r="D79" t="s">
        <v>149</v>
      </c>
      <c r="E79" t="s">
        <v>793</v>
      </c>
      <c r="F79" t="s">
        <v>794</v>
      </c>
      <c r="G79" t="s">
        <v>795</v>
      </c>
      <c r="H79" t="s">
        <v>796</v>
      </c>
    </row>
    <row r="80" spans="1:8" x14ac:dyDescent="0.35">
      <c r="A80" t="s">
        <v>797</v>
      </c>
      <c r="C80" t="s">
        <v>798</v>
      </c>
      <c r="D80" t="s">
        <v>150</v>
      </c>
      <c r="E80" t="s">
        <v>799</v>
      </c>
      <c r="F80" t="s">
        <v>800</v>
      </c>
      <c r="G80" t="s">
        <v>801</v>
      </c>
      <c r="H80" t="s">
        <v>802</v>
      </c>
    </row>
    <row r="81" spans="1:8" x14ac:dyDescent="0.35">
      <c r="A81" t="s">
        <v>803</v>
      </c>
      <c r="C81" t="s">
        <v>804</v>
      </c>
      <c r="D81" t="s">
        <v>151</v>
      </c>
      <c r="E81" t="s">
        <v>805</v>
      </c>
      <c r="F81" t="s">
        <v>806</v>
      </c>
      <c r="G81" t="s">
        <v>88</v>
      </c>
      <c r="H81" t="s">
        <v>807</v>
      </c>
    </row>
    <row r="82" spans="1:8" x14ac:dyDescent="0.35">
      <c r="A82" t="s">
        <v>808</v>
      </c>
      <c r="C82" t="s">
        <v>809</v>
      </c>
      <c r="D82" t="s">
        <v>154</v>
      </c>
      <c r="E82" t="s">
        <v>810</v>
      </c>
      <c r="F82" t="s">
        <v>811</v>
      </c>
      <c r="G82" t="s">
        <v>812</v>
      </c>
      <c r="H82" t="s">
        <v>813</v>
      </c>
    </row>
    <row r="83" spans="1:8" x14ac:dyDescent="0.35">
      <c r="A83" t="s">
        <v>814</v>
      </c>
      <c r="C83" t="s">
        <v>815</v>
      </c>
      <c r="D83" t="s">
        <v>157</v>
      </c>
      <c r="E83" t="s">
        <v>816</v>
      </c>
      <c r="F83" t="s">
        <v>817</v>
      </c>
      <c r="G83" t="s">
        <v>818</v>
      </c>
      <c r="H83" t="s">
        <v>819</v>
      </c>
    </row>
    <row r="84" spans="1:8" x14ac:dyDescent="0.35">
      <c r="A84" t="s">
        <v>820</v>
      </c>
      <c r="C84" t="s">
        <v>821</v>
      </c>
      <c r="D84" t="s">
        <v>159</v>
      </c>
      <c r="E84" t="s">
        <v>822</v>
      </c>
      <c r="F84" t="s">
        <v>823</v>
      </c>
      <c r="G84" t="s">
        <v>824</v>
      </c>
      <c r="H84" t="s">
        <v>825</v>
      </c>
    </row>
    <row r="85" spans="1:8" x14ac:dyDescent="0.35">
      <c r="A85" t="s">
        <v>826</v>
      </c>
      <c r="C85" t="s">
        <v>827</v>
      </c>
      <c r="D85" t="s">
        <v>160</v>
      </c>
      <c r="E85" t="s">
        <v>828</v>
      </c>
      <c r="F85" t="s">
        <v>829</v>
      </c>
      <c r="G85" t="s">
        <v>830</v>
      </c>
      <c r="H85" t="s">
        <v>831</v>
      </c>
    </row>
    <row r="86" spans="1:8" x14ac:dyDescent="0.35">
      <c r="A86" t="s">
        <v>832</v>
      </c>
      <c r="C86" t="s">
        <v>833</v>
      </c>
      <c r="D86" t="s">
        <v>162</v>
      </c>
      <c r="E86" t="s">
        <v>834</v>
      </c>
      <c r="F86" t="s">
        <v>835</v>
      </c>
      <c r="G86" t="s">
        <v>96</v>
      </c>
      <c r="H86" t="s">
        <v>836</v>
      </c>
    </row>
    <row r="87" spans="1:8" x14ac:dyDescent="0.35">
      <c r="A87" t="s">
        <v>837</v>
      </c>
      <c r="C87" t="s">
        <v>838</v>
      </c>
      <c r="D87" t="s">
        <v>164</v>
      </c>
      <c r="E87" t="s">
        <v>839</v>
      </c>
      <c r="F87" t="s">
        <v>840</v>
      </c>
      <c r="G87" t="s">
        <v>841</v>
      </c>
      <c r="H87" t="s">
        <v>842</v>
      </c>
    </row>
    <row r="88" spans="1:8" x14ac:dyDescent="0.35">
      <c r="A88" t="s">
        <v>843</v>
      </c>
      <c r="C88" t="s">
        <v>844</v>
      </c>
      <c r="D88" t="s">
        <v>165</v>
      </c>
      <c r="E88" t="s">
        <v>845</v>
      </c>
      <c r="F88" t="s">
        <v>846</v>
      </c>
      <c r="G88" t="s">
        <v>234</v>
      </c>
      <c r="H88" t="s">
        <v>847</v>
      </c>
    </row>
    <row r="89" spans="1:8" x14ac:dyDescent="0.35">
      <c r="A89" t="s">
        <v>848</v>
      </c>
      <c r="C89" t="s">
        <v>849</v>
      </c>
      <c r="D89" t="s">
        <v>167</v>
      </c>
      <c r="E89" t="s">
        <v>850</v>
      </c>
      <c r="F89" t="s">
        <v>851</v>
      </c>
      <c r="G89" t="s">
        <v>852</v>
      </c>
      <c r="H89" t="s">
        <v>853</v>
      </c>
    </row>
    <row r="90" spans="1:8" x14ac:dyDescent="0.35">
      <c r="A90" t="s">
        <v>854</v>
      </c>
      <c r="C90" t="s">
        <v>855</v>
      </c>
      <c r="D90" t="s">
        <v>172</v>
      </c>
      <c r="E90" t="s">
        <v>856</v>
      </c>
      <c r="F90" t="s">
        <v>857</v>
      </c>
      <c r="G90" t="s">
        <v>858</v>
      </c>
      <c r="H90" t="s">
        <v>859</v>
      </c>
    </row>
    <row r="91" spans="1:8" x14ac:dyDescent="0.35">
      <c r="A91" t="s">
        <v>860</v>
      </c>
      <c r="C91" t="s">
        <v>861</v>
      </c>
      <c r="D91" t="s">
        <v>174</v>
      </c>
      <c r="E91" t="s">
        <v>862</v>
      </c>
      <c r="F91" t="s">
        <v>863</v>
      </c>
      <c r="G91" t="s">
        <v>864</v>
      </c>
      <c r="H91" t="s">
        <v>865</v>
      </c>
    </row>
    <row r="92" spans="1:8" x14ac:dyDescent="0.35">
      <c r="A92" t="s">
        <v>866</v>
      </c>
      <c r="C92" t="s">
        <v>867</v>
      </c>
      <c r="D92" t="s">
        <v>175</v>
      </c>
      <c r="E92" t="s">
        <v>868</v>
      </c>
      <c r="F92" t="s">
        <v>869</v>
      </c>
      <c r="G92" t="s">
        <v>870</v>
      </c>
      <c r="H92" t="s">
        <v>871</v>
      </c>
    </row>
    <row r="93" spans="1:8" x14ac:dyDescent="0.35">
      <c r="A93" t="s">
        <v>872</v>
      </c>
      <c r="C93" t="s">
        <v>873</v>
      </c>
      <c r="D93" t="s">
        <v>177</v>
      </c>
      <c r="E93" t="s">
        <v>874</v>
      </c>
      <c r="F93" t="s">
        <v>875</v>
      </c>
      <c r="G93" t="s">
        <v>876</v>
      </c>
      <c r="H93" t="s">
        <v>877</v>
      </c>
    </row>
    <row r="94" spans="1:8" x14ac:dyDescent="0.35">
      <c r="A94" t="s">
        <v>878</v>
      </c>
      <c r="C94" t="s">
        <v>879</v>
      </c>
      <c r="D94" t="s">
        <v>179</v>
      </c>
      <c r="E94" t="s">
        <v>880</v>
      </c>
      <c r="F94" t="s">
        <v>881</v>
      </c>
      <c r="G94" t="s">
        <v>882</v>
      </c>
      <c r="H94" t="s">
        <v>883</v>
      </c>
    </row>
    <row r="95" spans="1:8" x14ac:dyDescent="0.35">
      <c r="A95" t="s">
        <v>884</v>
      </c>
      <c r="C95" t="s">
        <v>885</v>
      </c>
      <c r="D95" t="s">
        <v>180</v>
      </c>
      <c r="E95" t="s">
        <v>886</v>
      </c>
      <c r="F95" t="s">
        <v>887</v>
      </c>
      <c r="G95" t="s">
        <v>888</v>
      </c>
      <c r="H95" t="s">
        <v>889</v>
      </c>
    </row>
    <row r="96" spans="1:8" x14ac:dyDescent="0.35">
      <c r="A96" t="s">
        <v>890</v>
      </c>
      <c r="C96" t="s">
        <v>891</v>
      </c>
      <c r="D96" t="s">
        <v>182</v>
      </c>
      <c r="E96" t="s">
        <v>892</v>
      </c>
      <c r="F96" t="s">
        <v>893</v>
      </c>
      <c r="G96" t="s">
        <v>894</v>
      </c>
      <c r="H96" t="s">
        <v>895</v>
      </c>
    </row>
    <row r="97" spans="1:8" x14ac:dyDescent="0.35">
      <c r="A97" t="s">
        <v>896</v>
      </c>
      <c r="C97" t="s">
        <v>897</v>
      </c>
      <c r="D97" t="s">
        <v>184</v>
      </c>
      <c r="E97" t="s">
        <v>898</v>
      </c>
      <c r="F97" t="s">
        <v>899</v>
      </c>
      <c r="G97" t="s">
        <v>900</v>
      </c>
      <c r="H97" t="s">
        <v>901</v>
      </c>
    </row>
    <row r="98" spans="1:8" x14ac:dyDescent="0.35">
      <c r="A98" t="s">
        <v>902</v>
      </c>
      <c r="C98" t="s">
        <v>903</v>
      </c>
      <c r="D98" t="s">
        <v>186</v>
      </c>
      <c r="E98" t="s">
        <v>904</v>
      </c>
      <c r="F98" t="s">
        <v>905</v>
      </c>
      <c r="G98" t="s">
        <v>906</v>
      </c>
      <c r="H98" t="s">
        <v>907</v>
      </c>
    </row>
    <row r="99" spans="1:8" x14ac:dyDescent="0.35">
      <c r="A99" t="s">
        <v>908</v>
      </c>
      <c r="C99" t="s">
        <v>909</v>
      </c>
      <c r="D99" t="s">
        <v>191</v>
      </c>
      <c r="E99" t="s">
        <v>910</v>
      </c>
      <c r="F99" t="s">
        <v>911</v>
      </c>
      <c r="G99" t="s">
        <v>912</v>
      </c>
      <c r="H99" t="s">
        <v>913</v>
      </c>
    </row>
    <row r="100" spans="1:8" x14ac:dyDescent="0.35">
      <c r="A100" t="s">
        <v>914</v>
      </c>
      <c r="C100" t="s">
        <v>915</v>
      </c>
      <c r="D100" t="s">
        <v>193</v>
      </c>
      <c r="E100" t="s">
        <v>916</v>
      </c>
      <c r="F100" t="s">
        <v>917</v>
      </c>
      <c r="G100" t="s">
        <v>918</v>
      </c>
      <c r="H100" t="s">
        <v>919</v>
      </c>
    </row>
    <row r="101" spans="1:8" x14ac:dyDescent="0.35">
      <c r="C101" t="s">
        <v>920</v>
      </c>
      <c r="D101" t="s">
        <v>194</v>
      </c>
      <c r="E101" t="s">
        <v>921</v>
      </c>
      <c r="F101" t="s">
        <v>922</v>
      </c>
      <c r="G101" t="s">
        <v>923</v>
      </c>
      <c r="H101" t="s">
        <v>924</v>
      </c>
    </row>
    <row r="102" spans="1:8" x14ac:dyDescent="0.35">
      <c r="C102" t="s">
        <v>925</v>
      </c>
      <c r="D102" t="s">
        <v>195</v>
      </c>
      <c r="E102" t="s">
        <v>926</v>
      </c>
      <c r="F102" t="s">
        <v>927</v>
      </c>
      <c r="G102" t="s">
        <v>928</v>
      </c>
      <c r="H102" t="s">
        <v>929</v>
      </c>
    </row>
    <row r="103" spans="1:8" x14ac:dyDescent="0.35">
      <c r="C103" t="s">
        <v>930</v>
      </c>
      <c r="D103" t="s">
        <v>196</v>
      </c>
      <c r="E103" t="s">
        <v>931</v>
      </c>
      <c r="F103" t="s">
        <v>932</v>
      </c>
      <c r="G103" t="s">
        <v>933</v>
      </c>
      <c r="H103" t="s">
        <v>934</v>
      </c>
    </row>
    <row r="104" spans="1:8" x14ac:dyDescent="0.35">
      <c r="C104" t="s">
        <v>935</v>
      </c>
      <c r="D104" t="s">
        <v>198</v>
      </c>
      <c r="E104" t="s">
        <v>936</v>
      </c>
      <c r="F104" t="s">
        <v>937</v>
      </c>
      <c r="G104" t="s">
        <v>938</v>
      </c>
      <c r="H104" t="s">
        <v>939</v>
      </c>
    </row>
    <row r="105" spans="1:8" x14ac:dyDescent="0.35">
      <c r="C105" t="s">
        <v>940</v>
      </c>
      <c r="D105" t="s">
        <v>200</v>
      </c>
      <c r="E105" t="s">
        <v>941</v>
      </c>
      <c r="F105" t="s">
        <v>942</v>
      </c>
      <c r="G105" t="s">
        <v>943</v>
      </c>
      <c r="H105" t="s">
        <v>944</v>
      </c>
    </row>
    <row r="106" spans="1:8" x14ac:dyDescent="0.35">
      <c r="C106" t="s">
        <v>945</v>
      </c>
      <c r="D106" t="s">
        <v>201</v>
      </c>
      <c r="E106" t="s">
        <v>946</v>
      </c>
      <c r="F106" t="s">
        <v>947</v>
      </c>
      <c r="G106" t="s">
        <v>183</v>
      </c>
      <c r="H106" t="s">
        <v>948</v>
      </c>
    </row>
    <row r="107" spans="1:8" x14ac:dyDescent="0.35">
      <c r="C107" t="s">
        <v>949</v>
      </c>
      <c r="D107" t="s">
        <v>202</v>
      </c>
      <c r="E107" t="s">
        <v>950</v>
      </c>
      <c r="F107" t="s">
        <v>951</v>
      </c>
      <c r="G107" t="s">
        <v>952</v>
      </c>
      <c r="H107" t="s">
        <v>953</v>
      </c>
    </row>
    <row r="108" spans="1:8" x14ac:dyDescent="0.35">
      <c r="C108" t="s">
        <v>954</v>
      </c>
      <c r="D108" t="s">
        <v>203</v>
      </c>
      <c r="E108" t="s">
        <v>955</v>
      </c>
      <c r="F108" t="s">
        <v>956</v>
      </c>
      <c r="G108" t="s">
        <v>957</v>
      </c>
      <c r="H108" t="s">
        <v>958</v>
      </c>
    </row>
    <row r="109" spans="1:8" x14ac:dyDescent="0.35">
      <c r="C109" t="s">
        <v>959</v>
      </c>
      <c r="D109" t="s">
        <v>204</v>
      </c>
      <c r="E109" t="s">
        <v>960</v>
      </c>
      <c r="F109" t="s">
        <v>961</v>
      </c>
      <c r="G109" t="s">
        <v>962</v>
      </c>
      <c r="H109" t="s">
        <v>963</v>
      </c>
    </row>
    <row r="110" spans="1:8" x14ac:dyDescent="0.35">
      <c r="C110" t="s">
        <v>964</v>
      </c>
      <c r="D110" t="s">
        <v>206</v>
      </c>
      <c r="E110" t="s">
        <v>965</v>
      </c>
      <c r="F110" t="s">
        <v>966</v>
      </c>
      <c r="G110" t="s">
        <v>967</v>
      </c>
      <c r="H110" t="s">
        <v>968</v>
      </c>
    </row>
    <row r="111" spans="1:8" x14ac:dyDescent="0.35">
      <c r="C111" t="s">
        <v>969</v>
      </c>
      <c r="D111" t="s">
        <v>208</v>
      </c>
      <c r="E111" t="s">
        <v>970</v>
      </c>
      <c r="F111" t="s">
        <v>971</v>
      </c>
      <c r="G111" t="s">
        <v>972</v>
      </c>
      <c r="H111" t="s">
        <v>973</v>
      </c>
    </row>
    <row r="112" spans="1:8" x14ac:dyDescent="0.35">
      <c r="C112" t="s">
        <v>974</v>
      </c>
      <c r="D112" t="s">
        <v>210</v>
      </c>
      <c r="E112" t="s">
        <v>975</v>
      </c>
      <c r="F112" t="s">
        <v>976</v>
      </c>
      <c r="G112" t="s">
        <v>977</v>
      </c>
      <c r="H112" t="s">
        <v>978</v>
      </c>
    </row>
    <row r="113" spans="3:8" x14ac:dyDescent="0.35">
      <c r="C113" t="s">
        <v>979</v>
      </c>
      <c r="D113" t="s">
        <v>211</v>
      </c>
      <c r="E113" t="s">
        <v>980</v>
      </c>
      <c r="F113" t="s">
        <v>981</v>
      </c>
      <c r="G113" t="s">
        <v>982</v>
      </c>
      <c r="H113" t="s">
        <v>983</v>
      </c>
    </row>
    <row r="114" spans="3:8" x14ac:dyDescent="0.35">
      <c r="C114" t="s">
        <v>984</v>
      </c>
      <c r="D114" t="s">
        <v>212</v>
      </c>
      <c r="E114" t="s">
        <v>985</v>
      </c>
      <c r="F114" t="s">
        <v>986</v>
      </c>
      <c r="G114" t="s">
        <v>987</v>
      </c>
      <c r="H114" t="s">
        <v>988</v>
      </c>
    </row>
    <row r="115" spans="3:8" x14ac:dyDescent="0.35">
      <c r="C115" t="s">
        <v>989</v>
      </c>
      <c r="D115" t="s">
        <v>213</v>
      </c>
      <c r="E115" t="s">
        <v>990</v>
      </c>
      <c r="F115" t="s">
        <v>991</v>
      </c>
      <c r="G115" t="s">
        <v>123</v>
      </c>
      <c r="H115" t="s">
        <v>992</v>
      </c>
    </row>
    <row r="116" spans="3:8" x14ac:dyDescent="0.35">
      <c r="C116" t="s">
        <v>993</v>
      </c>
      <c r="D116" t="s">
        <v>214</v>
      </c>
      <c r="E116" t="s">
        <v>994</v>
      </c>
      <c r="F116" t="s">
        <v>995</v>
      </c>
      <c r="G116" t="s">
        <v>996</v>
      </c>
      <c r="H116" t="s">
        <v>997</v>
      </c>
    </row>
    <row r="117" spans="3:8" x14ac:dyDescent="0.35">
      <c r="C117" t="s">
        <v>998</v>
      </c>
      <c r="D117" t="s">
        <v>216</v>
      </c>
      <c r="E117" t="s">
        <v>999</v>
      </c>
      <c r="F117" t="s">
        <v>1000</v>
      </c>
      <c r="G117" t="s">
        <v>217</v>
      </c>
      <c r="H117" t="s">
        <v>1001</v>
      </c>
    </row>
    <row r="118" spans="3:8" x14ac:dyDescent="0.35">
      <c r="C118" t="s">
        <v>1002</v>
      </c>
      <c r="D118" t="s">
        <v>219</v>
      </c>
      <c r="E118" t="s">
        <v>1003</v>
      </c>
      <c r="F118" t="s">
        <v>1004</v>
      </c>
      <c r="G118" t="s">
        <v>246</v>
      </c>
      <c r="H118" t="s">
        <v>1005</v>
      </c>
    </row>
    <row r="119" spans="3:8" x14ac:dyDescent="0.35">
      <c r="C119" t="s">
        <v>1006</v>
      </c>
      <c r="D119" t="s">
        <v>223</v>
      </c>
      <c r="E119" t="s">
        <v>1007</v>
      </c>
      <c r="F119" t="s">
        <v>1008</v>
      </c>
      <c r="G119" t="s">
        <v>158</v>
      </c>
      <c r="H119" t="s">
        <v>1009</v>
      </c>
    </row>
    <row r="120" spans="3:8" x14ac:dyDescent="0.35">
      <c r="C120" t="s">
        <v>1010</v>
      </c>
      <c r="D120" t="s">
        <v>224</v>
      </c>
      <c r="E120" t="s">
        <v>1011</v>
      </c>
      <c r="F120" t="s">
        <v>1012</v>
      </c>
      <c r="G120" t="s">
        <v>1013</v>
      </c>
      <c r="H120" t="s">
        <v>1014</v>
      </c>
    </row>
    <row r="121" spans="3:8" x14ac:dyDescent="0.35">
      <c r="C121" t="s">
        <v>1015</v>
      </c>
      <c r="D121" t="s">
        <v>226</v>
      </c>
      <c r="E121" t="s">
        <v>1016</v>
      </c>
      <c r="F121" t="s">
        <v>1017</v>
      </c>
      <c r="G121" t="s">
        <v>1018</v>
      </c>
      <c r="H121" t="s">
        <v>1019</v>
      </c>
    </row>
    <row r="122" spans="3:8" x14ac:dyDescent="0.35">
      <c r="C122" t="s">
        <v>1020</v>
      </c>
      <c r="D122" t="s">
        <v>228</v>
      </c>
      <c r="E122" t="s">
        <v>1021</v>
      </c>
      <c r="F122" t="s">
        <v>1022</v>
      </c>
      <c r="G122" t="s">
        <v>1023</v>
      </c>
      <c r="H122" t="s">
        <v>1024</v>
      </c>
    </row>
    <row r="123" spans="3:8" x14ac:dyDescent="0.35">
      <c r="C123" t="s">
        <v>1025</v>
      </c>
      <c r="D123" t="s">
        <v>229</v>
      </c>
      <c r="E123" t="s">
        <v>1026</v>
      </c>
      <c r="F123" t="s">
        <v>1027</v>
      </c>
      <c r="G123" t="s">
        <v>285</v>
      </c>
      <c r="H123" t="s">
        <v>1028</v>
      </c>
    </row>
    <row r="124" spans="3:8" x14ac:dyDescent="0.35">
      <c r="C124" t="s">
        <v>1029</v>
      </c>
      <c r="D124" t="s">
        <v>233</v>
      </c>
      <c r="E124" t="s">
        <v>1030</v>
      </c>
      <c r="F124" t="s">
        <v>1031</v>
      </c>
      <c r="G124" t="s">
        <v>1032</v>
      </c>
      <c r="H124" t="s">
        <v>1033</v>
      </c>
    </row>
    <row r="125" spans="3:8" x14ac:dyDescent="0.35">
      <c r="C125" t="s">
        <v>1034</v>
      </c>
      <c r="D125" t="s">
        <v>243</v>
      </c>
      <c r="E125" t="s">
        <v>1035</v>
      </c>
      <c r="F125" t="s">
        <v>1036</v>
      </c>
      <c r="G125" t="s">
        <v>1037</v>
      </c>
      <c r="H125" t="s">
        <v>1038</v>
      </c>
    </row>
    <row r="126" spans="3:8" x14ac:dyDescent="0.35">
      <c r="C126" t="s">
        <v>1039</v>
      </c>
      <c r="D126" t="s">
        <v>244</v>
      </c>
      <c r="E126" t="s">
        <v>1040</v>
      </c>
      <c r="F126" t="s">
        <v>1041</v>
      </c>
      <c r="G126" t="s">
        <v>1042</v>
      </c>
      <c r="H126" t="s">
        <v>1043</v>
      </c>
    </row>
    <row r="127" spans="3:8" x14ac:dyDescent="0.35">
      <c r="C127" t="s">
        <v>1044</v>
      </c>
      <c r="D127" t="s">
        <v>249</v>
      </c>
      <c r="E127" t="s">
        <v>1045</v>
      </c>
      <c r="F127" t="s">
        <v>1046</v>
      </c>
      <c r="G127" t="s">
        <v>1047</v>
      </c>
      <c r="H127" t="s">
        <v>1048</v>
      </c>
    </row>
    <row r="128" spans="3:8" x14ac:dyDescent="0.35">
      <c r="C128" t="s">
        <v>1049</v>
      </c>
      <c r="D128" t="s">
        <v>253</v>
      </c>
      <c r="E128" t="s">
        <v>1050</v>
      </c>
      <c r="F128" t="s">
        <v>1051</v>
      </c>
      <c r="G128" t="s">
        <v>1052</v>
      </c>
      <c r="H128" t="s">
        <v>1053</v>
      </c>
    </row>
    <row r="129" spans="3:8" x14ac:dyDescent="0.35">
      <c r="C129" t="s">
        <v>1054</v>
      </c>
      <c r="D129" t="s">
        <v>254</v>
      </c>
      <c r="E129" t="s">
        <v>1055</v>
      </c>
      <c r="F129" t="s">
        <v>1056</v>
      </c>
      <c r="G129" t="s">
        <v>1057</v>
      </c>
      <c r="H129" t="s">
        <v>1058</v>
      </c>
    </row>
    <row r="130" spans="3:8" x14ac:dyDescent="0.35">
      <c r="C130" t="s">
        <v>1059</v>
      </c>
      <c r="D130" t="s">
        <v>255</v>
      </c>
      <c r="E130" t="s">
        <v>1060</v>
      </c>
      <c r="F130" t="s">
        <v>1061</v>
      </c>
      <c r="G130" t="s">
        <v>1057</v>
      </c>
      <c r="H130" t="s">
        <v>1062</v>
      </c>
    </row>
    <row r="131" spans="3:8" x14ac:dyDescent="0.35">
      <c r="C131" t="s">
        <v>1063</v>
      </c>
      <c r="D131" t="s">
        <v>257</v>
      </c>
      <c r="E131" t="s">
        <v>1064</v>
      </c>
      <c r="F131" t="s">
        <v>1065</v>
      </c>
      <c r="G131" t="s">
        <v>265</v>
      </c>
      <c r="H131" t="s">
        <v>1066</v>
      </c>
    </row>
    <row r="132" spans="3:8" x14ac:dyDescent="0.35">
      <c r="C132" t="s">
        <v>1067</v>
      </c>
      <c r="D132" t="s">
        <v>259</v>
      </c>
      <c r="E132" t="s">
        <v>1068</v>
      </c>
      <c r="F132" t="s">
        <v>1069</v>
      </c>
      <c r="G132" t="s">
        <v>1070</v>
      </c>
      <c r="H132" t="s">
        <v>1071</v>
      </c>
    </row>
    <row r="133" spans="3:8" x14ac:dyDescent="0.35">
      <c r="C133" t="s">
        <v>1072</v>
      </c>
      <c r="D133" t="s">
        <v>260</v>
      </c>
      <c r="E133" t="s">
        <v>1073</v>
      </c>
      <c r="F133" t="s">
        <v>1074</v>
      </c>
      <c r="G133" t="s">
        <v>278</v>
      </c>
      <c r="H133" t="s">
        <v>1075</v>
      </c>
    </row>
    <row r="134" spans="3:8" x14ac:dyDescent="0.35">
      <c r="C134" t="s">
        <v>1076</v>
      </c>
      <c r="D134" t="s">
        <v>264</v>
      </c>
      <c r="E134" t="s">
        <v>1077</v>
      </c>
      <c r="F134" t="s">
        <v>1078</v>
      </c>
      <c r="G134" t="s">
        <v>114</v>
      </c>
      <c r="H134" t="s">
        <v>1079</v>
      </c>
    </row>
    <row r="135" spans="3:8" x14ac:dyDescent="0.35">
      <c r="C135" t="s">
        <v>1080</v>
      </c>
      <c r="D135" t="s">
        <v>267</v>
      </c>
      <c r="E135" t="s">
        <v>1081</v>
      </c>
      <c r="F135" t="s">
        <v>1082</v>
      </c>
      <c r="G135" t="s">
        <v>178</v>
      </c>
      <c r="H135" t="s">
        <v>1083</v>
      </c>
    </row>
    <row r="136" spans="3:8" x14ac:dyDescent="0.35">
      <c r="C136" t="s">
        <v>1084</v>
      </c>
      <c r="D136" t="s">
        <v>268</v>
      </c>
      <c r="E136" t="s">
        <v>1085</v>
      </c>
      <c r="F136" t="s">
        <v>1086</v>
      </c>
      <c r="G136" t="s">
        <v>1087</v>
      </c>
      <c r="H136" t="s">
        <v>1088</v>
      </c>
    </row>
    <row r="137" spans="3:8" x14ac:dyDescent="0.35">
      <c r="C137" t="s">
        <v>1089</v>
      </c>
      <c r="D137" t="s">
        <v>270</v>
      </c>
      <c r="E137" t="s">
        <v>1090</v>
      </c>
      <c r="F137" t="s">
        <v>1091</v>
      </c>
      <c r="G137" t="s">
        <v>1092</v>
      </c>
      <c r="H137" t="s">
        <v>1093</v>
      </c>
    </row>
    <row r="138" spans="3:8" x14ac:dyDescent="0.35">
      <c r="C138" t="s">
        <v>1094</v>
      </c>
      <c r="D138" t="s">
        <v>273</v>
      </c>
      <c r="E138" t="s">
        <v>1095</v>
      </c>
      <c r="F138" t="s">
        <v>1096</v>
      </c>
      <c r="G138" t="s">
        <v>1097</v>
      </c>
      <c r="H138" t="s">
        <v>1098</v>
      </c>
    </row>
    <row r="139" spans="3:8" x14ac:dyDescent="0.35">
      <c r="C139" t="s">
        <v>1099</v>
      </c>
      <c r="D139" t="s">
        <v>277</v>
      </c>
      <c r="E139" t="s">
        <v>1100</v>
      </c>
      <c r="F139" t="s">
        <v>1101</v>
      </c>
      <c r="G139" t="s">
        <v>1102</v>
      </c>
      <c r="H139" t="s">
        <v>1103</v>
      </c>
    </row>
    <row r="140" spans="3:8" x14ac:dyDescent="0.35">
      <c r="C140" t="s">
        <v>1104</v>
      </c>
      <c r="D140" t="s">
        <v>281</v>
      </c>
      <c r="E140" t="s">
        <v>1105</v>
      </c>
      <c r="F140" t="s">
        <v>1106</v>
      </c>
      <c r="G140" t="s">
        <v>1107</v>
      </c>
      <c r="H140" t="s">
        <v>1108</v>
      </c>
    </row>
    <row r="141" spans="3:8" x14ac:dyDescent="0.35">
      <c r="C141" t="s">
        <v>1109</v>
      </c>
      <c r="D141" t="s">
        <v>1110</v>
      </c>
      <c r="E141" t="s">
        <v>1111</v>
      </c>
      <c r="F141" t="s">
        <v>1112</v>
      </c>
      <c r="G141" t="s">
        <v>1113</v>
      </c>
      <c r="H141" t="s">
        <v>1114</v>
      </c>
    </row>
    <row r="142" spans="3:8" x14ac:dyDescent="0.35">
      <c r="C142" t="s">
        <v>1115</v>
      </c>
      <c r="D142" t="s">
        <v>1116</v>
      </c>
      <c r="E142" t="s">
        <v>1117</v>
      </c>
      <c r="F142" t="s">
        <v>1118</v>
      </c>
      <c r="G142" t="s">
        <v>1119</v>
      </c>
      <c r="H142" t="s">
        <v>1120</v>
      </c>
    </row>
    <row r="143" spans="3:8" x14ac:dyDescent="0.35">
      <c r="C143" t="s">
        <v>1121</v>
      </c>
      <c r="D143" t="s">
        <v>1122</v>
      </c>
      <c r="E143" t="s">
        <v>1123</v>
      </c>
      <c r="F143" t="s">
        <v>1124</v>
      </c>
      <c r="G143" t="s">
        <v>1125</v>
      </c>
      <c r="H143" t="s">
        <v>1126</v>
      </c>
    </row>
    <row r="144" spans="3:8" x14ac:dyDescent="0.35">
      <c r="C144" t="s">
        <v>1127</v>
      </c>
      <c r="D144" t="s">
        <v>1128</v>
      </c>
      <c r="E144" t="s">
        <v>1129</v>
      </c>
      <c r="F144" t="s">
        <v>1130</v>
      </c>
      <c r="G144" t="s">
        <v>274</v>
      </c>
      <c r="H144" t="s">
        <v>1131</v>
      </c>
    </row>
    <row r="145" spans="3:8" x14ac:dyDescent="0.35">
      <c r="C145" t="s">
        <v>1132</v>
      </c>
      <c r="D145" t="s">
        <v>1133</v>
      </c>
      <c r="E145" t="s">
        <v>1134</v>
      </c>
      <c r="F145" t="s">
        <v>1135</v>
      </c>
      <c r="G145" t="s">
        <v>207</v>
      </c>
      <c r="H145" t="s">
        <v>1136</v>
      </c>
    </row>
    <row r="146" spans="3:8" x14ac:dyDescent="0.35">
      <c r="C146" t="s">
        <v>1137</v>
      </c>
      <c r="D146" t="s">
        <v>1138</v>
      </c>
      <c r="E146" t="s">
        <v>1139</v>
      </c>
      <c r="F146" t="s">
        <v>1140</v>
      </c>
      <c r="G146" t="s">
        <v>222</v>
      </c>
      <c r="H146" t="s">
        <v>1141</v>
      </c>
    </row>
    <row r="147" spans="3:8" x14ac:dyDescent="0.35">
      <c r="C147" t="s">
        <v>1142</v>
      </c>
      <c r="D147" t="s">
        <v>1143</v>
      </c>
      <c r="E147" t="s">
        <v>1144</v>
      </c>
      <c r="F147" t="s">
        <v>1145</v>
      </c>
      <c r="G147" t="s">
        <v>242</v>
      </c>
      <c r="H147" t="s">
        <v>1146</v>
      </c>
    </row>
    <row r="148" spans="3:8" x14ac:dyDescent="0.35">
      <c r="C148" t="s">
        <v>1147</v>
      </c>
      <c r="D148" t="s">
        <v>1148</v>
      </c>
      <c r="E148" t="s">
        <v>1149</v>
      </c>
      <c r="F148" t="s">
        <v>1150</v>
      </c>
      <c r="G148" t="s">
        <v>130</v>
      </c>
      <c r="H148" t="s">
        <v>1151</v>
      </c>
    </row>
    <row r="149" spans="3:8" x14ac:dyDescent="0.35">
      <c r="C149" t="s">
        <v>1152</v>
      </c>
      <c r="D149" t="s">
        <v>1153</v>
      </c>
      <c r="E149" t="s">
        <v>1154</v>
      </c>
      <c r="F149" t="s">
        <v>1155</v>
      </c>
      <c r="G149" t="s">
        <v>1156</v>
      </c>
      <c r="H149" t="s">
        <v>1157</v>
      </c>
    </row>
    <row r="150" spans="3:8" x14ac:dyDescent="0.35">
      <c r="C150" t="s">
        <v>1158</v>
      </c>
      <c r="D150" t="s">
        <v>1159</v>
      </c>
      <c r="E150" t="s">
        <v>1160</v>
      </c>
      <c r="F150" t="s">
        <v>1161</v>
      </c>
      <c r="G150" t="s">
        <v>1162</v>
      </c>
      <c r="H150" t="s">
        <v>1163</v>
      </c>
    </row>
    <row r="151" spans="3:8" x14ac:dyDescent="0.35">
      <c r="C151" t="s">
        <v>1164</v>
      </c>
      <c r="D151" t="s">
        <v>1165</v>
      </c>
      <c r="E151" t="s">
        <v>1166</v>
      </c>
      <c r="F151" t="s">
        <v>1167</v>
      </c>
      <c r="G151" t="s">
        <v>1168</v>
      </c>
      <c r="H151" t="s">
        <v>1169</v>
      </c>
    </row>
    <row r="152" spans="3:8" x14ac:dyDescent="0.35">
      <c r="C152" t="s">
        <v>1170</v>
      </c>
      <c r="D152" t="s">
        <v>1171</v>
      </c>
      <c r="E152" t="s">
        <v>1172</v>
      </c>
      <c r="F152" t="s">
        <v>1173</v>
      </c>
      <c r="G152" t="s">
        <v>1174</v>
      </c>
      <c r="H152" t="s">
        <v>1175</v>
      </c>
    </row>
    <row r="153" spans="3:8" x14ac:dyDescent="0.35">
      <c r="C153" t="s">
        <v>1176</v>
      </c>
      <c r="D153" t="s">
        <v>1177</v>
      </c>
      <c r="E153" t="s">
        <v>1178</v>
      </c>
      <c r="F153" t="s">
        <v>1179</v>
      </c>
      <c r="G153" t="s">
        <v>1180</v>
      </c>
      <c r="H153" t="s">
        <v>1181</v>
      </c>
    </row>
    <row r="154" spans="3:8" x14ac:dyDescent="0.35">
      <c r="C154" t="s">
        <v>1182</v>
      </c>
      <c r="D154" t="s">
        <v>1183</v>
      </c>
      <c r="E154" t="s">
        <v>1184</v>
      </c>
      <c r="F154" t="s">
        <v>1185</v>
      </c>
      <c r="G154" t="s">
        <v>1186</v>
      </c>
      <c r="H154" t="s">
        <v>1187</v>
      </c>
    </row>
    <row r="155" spans="3:8" x14ac:dyDescent="0.35">
      <c r="C155" t="s">
        <v>1188</v>
      </c>
      <c r="D155" t="s">
        <v>1189</v>
      </c>
      <c r="E155" t="s">
        <v>1190</v>
      </c>
      <c r="F155" t="s">
        <v>1191</v>
      </c>
      <c r="G155" t="s">
        <v>1192</v>
      </c>
      <c r="H155" t="s">
        <v>1193</v>
      </c>
    </row>
    <row r="156" spans="3:8" x14ac:dyDescent="0.35">
      <c r="C156" t="s">
        <v>1194</v>
      </c>
      <c r="D156" t="s">
        <v>1195</v>
      </c>
      <c r="E156" t="s">
        <v>1196</v>
      </c>
      <c r="F156" t="s">
        <v>1197</v>
      </c>
      <c r="G156" t="s">
        <v>1198</v>
      </c>
      <c r="H156" t="s">
        <v>1199</v>
      </c>
    </row>
    <row r="157" spans="3:8" x14ac:dyDescent="0.35">
      <c r="C157" t="s">
        <v>1200</v>
      </c>
      <c r="D157" t="s">
        <v>1201</v>
      </c>
      <c r="E157" t="s">
        <v>1202</v>
      </c>
      <c r="F157" t="s">
        <v>1203</v>
      </c>
      <c r="G157" t="s">
        <v>1204</v>
      </c>
      <c r="H157" t="s">
        <v>1205</v>
      </c>
    </row>
    <row r="158" spans="3:8" x14ac:dyDescent="0.35">
      <c r="C158" t="s">
        <v>1206</v>
      </c>
      <c r="D158" t="s">
        <v>1207</v>
      </c>
      <c r="E158" t="s">
        <v>1208</v>
      </c>
      <c r="F158" t="s">
        <v>1209</v>
      </c>
      <c r="G158" t="s">
        <v>1210</v>
      </c>
      <c r="H158" t="s">
        <v>1211</v>
      </c>
    </row>
    <row r="159" spans="3:8" x14ac:dyDescent="0.35">
      <c r="C159" t="s">
        <v>1212</v>
      </c>
      <c r="D159" t="s">
        <v>1213</v>
      </c>
      <c r="E159" t="s">
        <v>1214</v>
      </c>
      <c r="F159" t="s">
        <v>1215</v>
      </c>
      <c r="G159" t="s">
        <v>1216</v>
      </c>
      <c r="H159" t="s">
        <v>1217</v>
      </c>
    </row>
    <row r="160" spans="3:8" x14ac:dyDescent="0.35">
      <c r="C160" t="s">
        <v>1218</v>
      </c>
      <c r="D160" t="s">
        <v>1219</v>
      </c>
      <c r="E160" t="s">
        <v>1220</v>
      </c>
      <c r="F160" t="s">
        <v>1221</v>
      </c>
      <c r="G160" t="s">
        <v>1222</v>
      </c>
      <c r="H160" t="s">
        <v>1223</v>
      </c>
    </row>
    <row r="161" spans="3:8" x14ac:dyDescent="0.35">
      <c r="C161" t="s">
        <v>1224</v>
      </c>
      <c r="D161" t="s">
        <v>1225</v>
      </c>
      <c r="E161" t="s">
        <v>1226</v>
      </c>
      <c r="F161" t="s">
        <v>1227</v>
      </c>
      <c r="G161" t="s">
        <v>1228</v>
      </c>
      <c r="H161" t="s">
        <v>1229</v>
      </c>
    </row>
    <row r="162" spans="3:8" x14ac:dyDescent="0.35">
      <c r="C162" t="s">
        <v>1230</v>
      </c>
      <c r="D162" t="s">
        <v>1231</v>
      </c>
      <c r="E162" t="s">
        <v>1232</v>
      </c>
      <c r="F162" t="s">
        <v>1233</v>
      </c>
      <c r="G162" t="s">
        <v>1234</v>
      </c>
      <c r="H162" t="s">
        <v>1235</v>
      </c>
    </row>
    <row r="163" spans="3:8" x14ac:dyDescent="0.35">
      <c r="C163" t="s">
        <v>1236</v>
      </c>
      <c r="D163" t="s">
        <v>1237</v>
      </c>
      <c r="E163" t="s">
        <v>1238</v>
      </c>
      <c r="F163" t="s">
        <v>1239</v>
      </c>
      <c r="G163" t="s">
        <v>1240</v>
      </c>
      <c r="H163" t="s">
        <v>1241</v>
      </c>
    </row>
    <row r="164" spans="3:8" x14ac:dyDescent="0.35">
      <c r="C164" t="s">
        <v>1242</v>
      </c>
      <c r="D164" t="s">
        <v>1243</v>
      </c>
      <c r="E164" t="s">
        <v>1244</v>
      </c>
      <c r="F164" t="s">
        <v>1245</v>
      </c>
      <c r="G164" t="s">
        <v>1246</v>
      </c>
      <c r="H164" t="s">
        <v>1247</v>
      </c>
    </row>
    <row r="165" spans="3:8" x14ac:dyDescent="0.35">
      <c r="C165" t="s">
        <v>1248</v>
      </c>
      <c r="D165" t="s">
        <v>1249</v>
      </c>
      <c r="E165" t="s">
        <v>1250</v>
      </c>
      <c r="F165" t="s">
        <v>1251</v>
      </c>
      <c r="G165" t="s">
        <v>1252</v>
      </c>
      <c r="H165" t="s">
        <v>1253</v>
      </c>
    </row>
    <row r="166" spans="3:8" x14ac:dyDescent="0.35">
      <c r="C166" t="s">
        <v>1254</v>
      </c>
      <c r="D166" t="s">
        <v>1255</v>
      </c>
      <c r="E166" t="s">
        <v>1256</v>
      </c>
      <c r="F166" t="s">
        <v>1257</v>
      </c>
      <c r="G166" t="s">
        <v>1258</v>
      </c>
      <c r="H166" t="s">
        <v>1259</v>
      </c>
    </row>
    <row r="167" spans="3:8" x14ac:dyDescent="0.35">
      <c r="C167" t="s">
        <v>1260</v>
      </c>
      <c r="D167" t="s">
        <v>1261</v>
      </c>
      <c r="E167" t="s">
        <v>1262</v>
      </c>
      <c r="F167" t="s">
        <v>1263</v>
      </c>
      <c r="G167" t="s">
        <v>1264</v>
      </c>
      <c r="H167" t="s">
        <v>1265</v>
      </c>
    </row>
    <row r="168" spans="3:8" x14ac:dyDescent="0.35">
      <c r="C168" t="s">
        <v>1266</v>
      </c>
      <c r="D168" t="s">
        <v>1267</v>
      </c>
      <c r="E168" t="s">
        <v>1268</v>
      </c>
      <c r="F168" t="s">
        <v>1269</v>
      </c>
      <c r="G168" t="s">
        <v>116</v>
      </c>
      <c r="H168" t="s">
        <v>1270</v>
      </c>
    </row>
    <row r="169" spans="3:8" x14ac:dyDescent="0.35">
      <c r="C169" t="s">
        <v>1271</v>
      </c>
      <c r="D169" t="s">
        <v>1272</v>
      </c>
      <c r="E169" t="s">
        <v>1273</v>
      </c>
      <c r="F169" t="s">
        <v>1274</v>
      </c>
      <c r="G169" t="s">
        <v>1275</v>
      </c>
      <c r="H169" t="s">
        <v>1276</v>
      </c>
    </row>
    <row r="170" spans="3:8" x14ac:dyDescent="0.35">
      <c r="C170" t="s">
        <v>1277</v>
      </c>
      <c r="D170" t="s">
        <v>1278</v>
      </c>
      <c r="E170" t="s">
        <v>1279</v>
      </c>
      <c r="F170" t="s">
        <v>1280</v>
      </c>
      <c r="G170" t="s">
        <v>1281</v>
      </c>
      <c r="H170" t="s">
        <v>1282</v>
      </c>
    </row>
    <row r="171" spans="3:8" x14ac:dyDescent="0.35">
      <c r="C171" t="s">
        <v>1283</v>
      </c>
      <c r="D171" t="s">
        <v>1284</v>
      </c>
      <c r="E171" t="s">
        <v>1285</v>
      </c>
      <c r="F171" t="s">
        <v>1286</v>
      </c>
      <c r="G171" t="s">
        <v>1287</v>
      </c>
      <c r="H171" t="s">
        <v>1288</v>
      </c>
    </row>
    <row r="172" spans="3:8" x14ac:dyDescent="0.35">
      <c r="C172" t="s">
        <v>1289</v>
      </c>
      <c r="D172" t="s">
        <v>1290</v>
      </c>
      <c r="E172" t="s">
        <v>1291</v>
      </c>
      <c r="F172" t="s">
        <v>1292</v>
      </c>
      <c r="G172" t="s">
        <v>1293</v>
      </c>
      <c r="H172" t="s">
        <v>1294</v>
      </c>
    </row>
    <row r="173" spans="3:8" x14ac:dyDescent="0.35">
      <c r="C173" t="s">
        <v>1295</v>
      </c>
      <c r="D173" t="s">
        <v>1296</v>
      </c>
      <c r="E173" t="s">
        <v>1297</v>
      </c>
      <c r="F173" t="s">
        <v>1298</v>
      </c>
      <c r="G173" t="s">
        <v>1299</v>
      </c>
      <c r="H173" t="s">
        <v>1300</v>
      </c>
    </row>
    <row r="174" spans="3:8" x14ac:dyDescent="0.35">
      <c r="C174" t="s">
        <v>1301</v>
      </c>
      <c r="D174" t="s">
        <v>1302</v>
      </c>
      <c r="E174" t="s">
        <v>1303</v>
      </c>
      <c r="F174" t="s">
        <v>1304</v>
      </c>
      <c r="G174" t="s">
        <v>1305</v>
      </c>
      <c r="H174" t="s">
        <v>1306</v>
      </c>
    </row>
    <row r="175" spans="3:8" x14ac:dyDescent="0.35">
      <c r="C175" t="s">
        <v>1307</v>
      </c>
      <c r="D175" t="s">
        <v>1308</v>
      </c>
      <c r="E175" t="s">
        <v>1309</v>
      </c>
      <c r="F175" t="s">
        <v>1310</v>
      </c>
      <c r="G175" t="s">
        <v>199</v>
      </c>
      <c r="H175" t="s">
        <v>1311</v>
      </c>
    </row>
    <row r="176" spans="3:8" x14ac:dyDescent="0.35">
      <c r="C176" t="s">
        <v>1312</v>
      </c>
      <c r="D176" t="s">
        <v>1313</v>
      </c>
      <c r="E176" t="s">
        <v>1314</v>
      </c>
      <c r="F176" t="s">
        <v>1315</v>
      </c>
      <c r="G176" t="s">
        <v>220</v>
      </c>
      <c r="H176" t="s">
        <v>1316</v>
      </c>
    </row>
    <row r="177" spans="3:8" x14ac:dyDescent="0.35">
      <c r="C177" t="s">
        <v>1317</v>
      </c>
      <c r="D177" t="s">
        <v>1318</v>
      </c>
      <c r="E177" t="s">
        <v>1319</v>
      </c>
      <c r="F177" t="s">
        <v>1320</v>
      </c>
      <c r="G177" t="s">
        <v>1321</v>
      </c>
      <c r="H177" t="s">
        <v>1322</v>
      </c>
    </row>
    <row r="178" spans="3:8" x14ac:dyDescent="0.35">
      <c r="C178" t="s">
        <v>1323</v>
      </c>
      <c r="D178" t="s">
        <v>1324</v>
      </c>
      <c r="E178" t="s">
        <v>1325</v>
      </c>
      <c r="F178" t="s">
        <v>1326</v>
      </c>
      <c r="G178" t="s">
        <v>173</v>
      </c>
      <c r="H178" t="s">
        <v>1327</v>
      </c>
    </row>
    <row r="179" spans="3:8" x14ac:dyDescent="0.35">
      <c r="C179" t="s">
        <v>1328</v>
      </c>
      <c r="D179" t="s">
        <v>1329</v>
      </c>
      <c r="E179" t="s">
        <v>1330</v>
      </c>
      <c r="F179" t="s">
        <v>1331</v>
      </c>
      <c r="G179" t="s">
        <v>1332</v>
      </c>
      <c r="H179" t="s">
        <v>1333</v>
      </c>
    </row>
    <row r="180" spans="3:8" x14ac:dyDescent="0.35">
      <c r="C180" t="s">
        <v>1334</v>
      </c>
      <c r="D180" t="s">
        <v>1335</v>
      </c>
      <c r="E180" t="s">
        <v>1336</v>
      </c>
      <c r="F180" t="s">
        <v>1337</v>
      </c>
      <c r="G180" t="s">
        <v>231</v>
      </c>
      <c r="H180" t="s">
        <v>1338</v>
      </c>
    </row>
    <row r="181" spans="3:8" x14ac:dyDescent="0.35">
      <c r="C181" t="s">
        <v>1339</v>
      </c>
      <c r="D181" t="s">
        <v>1340</v>
      </c>
      <c r="E181" t="s">
        <v>1341</v>
      </c>
      <c r="F181" t="s">
        <v>1342</v>
      </c>
      <c r="G181" t="s">
        <v>1343</v>
      </c>
      <c r="H181" t="s">
        <v>1344</v>
      </c>
    </row>
    <row r="182" spans="3:8" x14ac:dyDescent="0.35">
      <c r="C182" t="s">
        <v>1345</v>
      </c>
      <c r="D182" t="s">
        <v>1335</v>
      </c>
      <c r="E182" t="s">
        <v>1346</v>
      </c>
      <c r="F182" t="s">
        <v>1347</v>
      </c>
      <c r="G182" t="s">
        <v>1348</v>
      </c>
      <c r="H182" t="s">
        <v>1349</v>
      </c>
    </row>
    <row r="183" spans="3:8" x14ac:dyDescent="0.35">
      <c r="C183" t="s">
        <v>1350</v>
      </c>
      <c r="D183" t="s">
        <v>1340</v>
      </c>
      <c r="E183" t="s">
        <v>1351</v>
      </c>
      <c r="F183" t="s">
        <v>1352</v>
      </c>
      <c r="G183" t="s">
        <v>1353</v>
      </c>
      <c r="H183" t="s">
        <v>1354</v>
      </c>
    </row>
    <row r="184" spans="3:8" x14ac:dyDescent="0.35">
      <c r="C184" t="s">
        <v>1355</v>
      </c>
      <c r="D184" t="s">
        <v>1329</v>
      </c>
      <c r="E184" t="s">
        <v>1356</v>
      </c>
      <c r="F184" t="s">
        <v>1357</v>
      </c>
      <c r="G184" t="s">
        <v>280</v>
      </c>
      <c r="H184" t="s">
        <v>1358</v>
      </c>
    </row>
    <row r="185" spans="3:8" x14ac:dyDescent="0.35">
      <c r="C185" t="s">
        <v>1359</v>
      </c>
      <c r="D185" t="s">
        <v>1360</v>
      </c>
      <c r="E185" t="s">
        <v>1361</v>
      </c>
      <c r="F185" t="s">
        <v>1362</v>
      </c>
      <c r="G185" t="s">
        <v>1363</v>
      </c>
      <c r="H185" t="s">
        <v>1364</v>
      </c>
    </row>
    <row r="186" spans="3:8" x14ac:dyDescent="0.35">
      <c r="C186" t="s">
        <v>1365</v>
      </c>
      <c r="D186" t="s">
        <v>1366</v>
      </c>
      <c r="E186" t="s">
        <v>1367</v>
      </c>
      <c r="F186" t="s">
        <v>1368</v>
      </c>
      <c r="G186" t="s">
        <v>1369</v>
      </c>
      <c r="H186" t="s">
        <v>1370</v>
      </c>
    </row>
    <row r="187" spans="3:8" x14ac:dyDescent="0.35">
      <c r="C187" t="s">
        <v>1371</v>
      </c>
      <c r="D187" t="s">
        <v>1372</v>
      </c>
      <c r="E187" t="s">
        <v>1373</v>
      </c>
      <c r="F187" t="s">
        <v>1374</v>
      </c>
      <c r="G187" t="s">
        <v>142</v>
      </c>
      <c r="H187" t="s">
        <v>1375</v>
      </c>
    </row>
    <row r="188" spans="3:8" x14ac:dyDescent="0.35">
      <c r="C188" t="s">
        <v>1376</v>
      </c>
      <c r="D188" t="s">
        <v>1377</v>
      </c>
      <c r="E188" t="s">
        <v>1378</v>
      </c>
      <c r="F188" t="s">
        <v>1379</v>
      </c>
      <c r="G188" t="s">
        <v>1380</v>
      </c>
      <c r="H188" t="s">
        <v>1381</v>
      </c>
    </row>
    <row r="189" spans="3:8" x14ac:dyDescent="0.35">
      <c r="C189" t="s">
        <v>1382</v>
      </c>
      <c r="D189" t="s">
        <v>1383</v>
      </c>
      <c r="E189" t="s">
        <v>1384</v>
      </c>
      <c r="F189" t="s">
        <v>1385</v>
      </c>
      <c r="G189" t="s">
        <v>1386</v>
      </c>
      <c r="H189" t="s">
        <v>1387</v>
      </c>
    </row>
    <row r="190" spans="3:8" x14ac:dyDescent="0.35">
      <c r="C190" t="s">
        <v>1388</v>
      </c>
      <c r="D190" t="s">
        <v>1389</v>
      </c>
      <c r="E190" t="s">
        <v>1390</v>
      </c>
      <c r="F190" t="s">
        <v>1391</v>
      </c>
      <c r="G190" t="s">
        <v>1392</v>
      </c>
      <c r="H190" t="s">
        <v>1393</v>
      </c>
    </row>
    <row r="191" spans="3:8" x14ac:dyDescent="0.35">
      <c r="C191" t="s">
        <v>1394</v>
      </c>
      <c r="D191" t="s">
        <v>1395</v>
      </c>
      <c r="E191" t="s">
        <v>1396</v>
      </c>
      <c r="F191" t="s">
        <v>1397</v>
      </c>
      <c r="G191" t="s">
        <v>227</v>
      </c>
      <c r="H191" t="s">
        <v>1398</v>
      </c>
    </row>
    <row r="192" spans="3:8" x14ac:dyDescent="0.35">
      <c r="C192" t="s">
        <v>1399</v>
      </c>
      <c r="D192" t="s">
        <v>1400</v>
      </c>
      <c r="E192" t="s">
        <v>1401</v>
      </c>
      <c r="F192" t="s">
        <v>1402</v>
      </c>
      <c r="G192" t="s">
        <v>187</v>
      </c>
      <c r="H192" t="s">
        <v>1403</v>
      </c>
    </row>
    <row r="193" spans="3:8" x14ac:dyDescent="0.35">
      <c r="C193" t="s">
        <v>1404</v>
      </c>
      <c r="D193" t="s">
        <v>1405</v>
      </c>
      <c r="E193" t="s">
        <v>1406</v>
      </c>
      <c r="F193" t="s">
        <v>1407</v>
      </c>
      <c r="G193" t="s">
        <v>1408</v>
      </c>
      <c r="H193" t="s">
        <v>1409</v>
      </c>
    </row>
    <row r="194" spans="3:8" x14ac:dyDescent="0.35">
      <c r="C194" t="s">
        <v>1410</v>
      </c>
      <c r="D194" t="s">
        <v>1405</v>
      </c>
      <c r="E194" t="s">
        <v>1411</v>
      </c>
      <c r="F194" t="s">
        <v>1412</v>
      </c>
      <c r="G194" t="s">
        <v>236</v>
      </c>
      <c r="H194" t="s">
        <v>1413</v>
      </c>
    </row>
    <row r="195" spans="3:8" x14ac:dyDescent="0.35">
      <c r="C195" t="s">
        <v>1414</v>
      </c>
      <c r="D195" t="s">
        <v>1415</v>
      </c>
      <c r="E195" t="s">
        <v>1416</v>
      </c>
      <c r="F195" t="s">
        <v>1417</v>
      </c>
      <c r="G195" t="s">
        <v>1418</v>
      </c>
      <c r="H195" t="s">
        <v>1419</v>
      </c>
    </row>
    <row r="196" spans="3:8" x14ac:dyDescent="0.35">
      <c r="C196" t="s">
        <v>1420</v>
      </c>
      <c r="D196" t="s">
        <v>1421</v>
      </c>
      <c r="E196" t="s">
        <v>1422</v>
      </c>
      <c r="F196" t="s">
        <v>1423</v>
      </c>
      <c r="G196" t="s">
        <v>1424</v>
      </c>
      <c r="H196" t="s">
        <v>1425</v>
      </c>
    </row>
    <row r="197" spans="3:8" x14ac:dyDescent="0.35">
      <c r="C197" t="s">
        <v>1426</v>
      </c>
      <c r="D197" t="s">
        <v>1427</v>
      </c>
      <c r="E197" t="s">
        <v>1428</v>
      </c>
      <c r="F197" t="s">
        <v>1429</v>
      </c>
      <c r="G197" t="s">
        <v>192</v>
      </c>
      <c r="H197" t="s">
        <v>1430</v>
      </c>
    </row>
    <row r="198" spans="3:8" x14ac:dyDescent="0.35">
      <c r="C198" t="s">
        <v>1431</v>
      </c>
      <c r="D198" t="s">
        <v>1432</v>
      </c>
      <c r="E198" t="s">
        <v>1433</v>
      </c>
      <c r="F198" t="s">
        <v>1434</v>
      </c>
      <c r="G198" t="s">
        <v>155</v>
      </c>
      <c r="H198" t="s">
        <v>1435</v>
      </c>
    </row>
    <row r="199" spans="3:8" x14ac:dyDescent="0.35">
      <c r="C199" t="s">
        <v>1436</v>
      </c>
      <c r="D199" t="s">
        <v>1437</v>
      </c>
      <c r="E199" t="s">
        <v>1438</v>
      </c>
      <c r="F199" t="s">
        <v>1439</v>
      </c>
      <c r="G199" t="s">
        <v>1440</v>
      </c>
      <c r="H199" t="s">
        <v>1441</v>
      </c>
    </row>
    <row r="200" spans="3:8" x14ac:dyDescent="0.35">
      <c r="C200" t="s">
        <v>1442</v>
      </c>
      <c r="D200" t="s">
        <v>1443</v>
      </c>
      <c r="E200" t="s">
        <v>1444</v>
      </c>
      <c r="F200" t="s">
        <v>1445</v>
      </c>
      <c r="G200" t="s">
        <v>1446</v>
      </c>
      <c r="H200" t="s">
        <v>1447</v>
      </c>
    </row>
    <row r="201" spans="3:8" x14ac:dyDescent="0.35">
      <c r="C201" t="s">
        <v>1448</v>
      </c>
      <c r="D201" t="s">
        <v>1449</v>
      </c>
      <c r="E201" t="s">
        <v>1450</v>
      </c>
      <c r="F201" t="s">
        <v>1451</v>
      </c>
      <c r="G201" t="s">
        <v>1452</v>
      </c>
      <c r="H201" t="s">
        <v>1453</v>
      </c>
    </row>
    <row r="202" spans="3:8" x14ac:dyDescent="0.35">
      <c r="C202" t="s">
        <v>1454</v>
      </c>
      <c r="D202" t="s">
        <v>1455</v>
      </c>
      <c r="E202" t="s">
        <v>1456</v>
      </c>
      <c r="F202" t="s">
        <v>1457</v>
      </c>
      <c r="G202" t="s">
        <v>1452</v>
      </c>
      <c r="H202" t="s">
        <v>1458</v>
      </c>
    </row>
    <row r="203" spans="3:8" x14ac:dyDescent="0.35">
      <c r="C203" t="s">
        <v>1459</v>
      </c>
      <c r="D203" t="s">
        <v>1460</v>
      </c>
      <c r="E203" t="s">
        <v>1461</v>
      </c>
      <c r="F203" t="s">
        <v>1462</v>
      </c>
      <c r="G203" t="s">
        <v>1463</v>
      </c>
      <c r="H203" t="s">
        <v>1464</v>
      </c>
    </row>
    <row r="204" spans="3:8" x14ac:dyDescent="0.35">
      <c r="C204" t="s">
        <v>1465</v>
      </c>
      <c r="D204" t="s">
        <v>1466</v>
      </c>
      <c r="E204" t="s">
        <v>1467</v>
      </c>
      <c r="F204" t="s">
        <v>1468</v>
      </c>
      <c r="G204" t="s">
        <v>1469</v>
      </c>
      <c r="H204" t="s">
        <v>1470</v>
      </c>
    </row>
    <row r="205" spans="3:8" x14ac:dyDescent="0.35">
      <c r="C205" t="s">
        <v>1471</v>
      </c>
      <c r="D205" t="s">
        <v>1466</v>
      </c>
      <c r="E205" t="s">
        <v>1472</v>
      </c>
      <c r="F205" t="s">
        <v>1473</v>
      </c>
      <c r="G205" t="s">
        <v>79</v>
      </c>
      <c r="H205" t="s">
        <v>1474</v>
      </c>
    </row>
    <row r="206" spans="3:8" x14ac:dyDescent="0.35">
      <c r="C206" t="s">
        <v>1475</v>
      </c>
      <c r="D206" t="s">
        <v>1476</v>
      </c>
      <c r="E206" t="s">
        <v>1477</v>
      </c>
      <c r="F206" t="s">
        <v>1478</v>
      </c>
      <c r="G206" t="s">
        <v>1479</v>
      </c>
      <c r="H206" t="s">
        <v>1480</v>
      </c>
    </row>
    <row r="207" spans="3:8" x14ac:dyDescent="0.35">
      <c r="C207" t="s">
        <v>1481</v>
      </c>
      <c r="D207" t="s">
        <v>1482</v>
      </c>
      <c r="E207" t="s">
        <v>1483</v>
      </c>
      <c r="F207" t="s">
        <v>1484</v>
      </c>
      <c r="G207" t="s">
        <v>1485</v>
      </c>
      <c r="H207" t="s">
        <v>1486</v>
      </c>
    </row>
    <row r="208" spans="3:8" x14ac:dyDescent="0.35">
      <c r="C208" t="s">
        <v>1487</v>
      </c>
      <c r="D208" t="s">
        <v>1488</v>
      </c>
      <c r="E208" t="s">
        <v>1489</v>
      </c>
      <c r="F208" t="s">
        <v>1490</v>
      </c>
      <c r="G208" t="s">
        <v>1491</v>
      </c>
      <c r="H208" t="s">
        <v>1492</v>
      </c>
    </row>
    <row r="209" spans="3:8" x14ac:dyDescent="0.35">
      <c r="C209" t="s">
        <v>1493</v>
      </c>
      <c r="D209" t="s">
        <v>1494</v>
      </c>
      <c r="E209" t="s">
        <v>1495</v>
      </c>
      <c r="F209" t="s">
        <v>1496</v>
      </c>
      <c r="G209" t="s">
        <v>1497</v>
      </c>
      <c r="H209" t="s">
        <v>1498</v>
      </c>
    </row>
    <row r="210" spans="3:8" x14ac:dyDescent="0.35">
      <c r="C210" t="s">
        <v>1499</v>
      </c>
      <c r="D210" t="s">
        <v>1500</v>
      </c>
      <c r="E210" t="s">
        <v>1501</v>
      </c>
      <c r="F210" t="s">
        <v>1502</v>
      </c>
      <c r="G210" t="s">
        <v>1503</v>
      </c>
      <c r="H210" t="s">
        <v>1504</v>
      </c>
    </row>
    <row r="211" spans="3:8" x14ac:dyDescent="0.35">
      <c r="C211" t="s">
        <v>1505</v>
      </c>
      <c r="D211" t="s">
        <v>1506</v>
      </c>
      <c r="E211" t="s">
        <v>1507</v>
      </c>
      <c r="F211" t="s">
        <v>1508</v>
      </c>
      <c r="G211" t="s">
        <v>1509</v>
      </c>
      <c r="H211" t="s">
        <v>1510</v>
      </c>
    </row>
    <row r="212" spans="3:8" x14ac:dyDescent="0.35">
      <c r="F212" t="s">
        <v>1511</v>
      </c>
      <c r="G212" t="s">
        <v>49</v>
      </c>
      <c r="H212" t="s">
        <v>1512</v>
      </c>
    </row>
    <row r="213" spans="3:8" x14ac:dyDescent="0.35">
      <c r="F213" t="s">
        <v>1513</v>
      </c>
      <c r="G213" t="s">
        <v>49</v>
      </c>
      <c r="H213" t="s">
        <v>1514</v>
      </c>
    </row>
    <row r="214" spans="3:8" x14ac:dyDescent="0.35">
      <c r="F214" t="s">
        <v>1515</v>
      </c>
      <c r="G214" t="s">
        <v>1516</v>
      </c>
      <c r="H214" t="s">
        <v>1517</v>
      </c>
    </row>
    <row r="215" spans="3:8" x14ac:dyDescent="0.35">
      <c r="F215" t="s">
        <v>1518</v>
      </c>
      <c r="G215" t="s">
        <v>1519</v>
      </c>
      <c r="H215" t="s">
        <v>1520</v>
      </c>
    </row>
    <row r="216" spans="3:8" x14ac:dyDescent="0.35">
      <c r="F216" t="s">
        <v>1521</v>
      </c>
      <c r="G216" t="s">
        <v>1522</v>
      </c>
      <c r="H216" t="s">
        <v>1523</v>
      </c>
    </row>
    <row r="217" spans="3:8" x14ac:dyDescent="0.35">
      <c r="F217" t="s">
        <v>1524</v>
      </c>
      <c r="G217" t="s">
        <v>1525</v>
      </c>
      <c r="H217" t="s">
        <v>1526</v>
      </c>
    </row>
    <row r="218" spans="3:8" x14ac:dyDescent="0.35">
      <c r="F218" t="s">
        <v>1527</v>
      </c>
      <c r="G218" t="s">
        <v>1528</v>
      </c>
      <c r="H218" t="s">
        <v>1529</v>
      </c>
    </row>
    <row r="219" spans="3:8" x14ac:dyDescent="0.35">
      <c r="F219" t="s">
        <v>1530</v>
      </c>
      <c r="G219" t="s">
        <v>1531</v>
      </c>
      <c r="H219" t="s">
        <v>1532</v>
      </c>
    </row>
    <row r="220" spans="3:8" x14ac:dyDescent="0.35">
      <c r="F220" t="s">
        <v>1533</v>
      </c>
      <c r="G220" t="s">
        <v>1534</v>
      </c>
      <c r="H220" t="s">
        <v>1535</v>
      </c>
    </row>
    <row r="221" spans="3:8" x14ac:dyDescent="0.35">
      <c r="F221" t="s">
        <v>1536</v>
      </c>
      <c r="G221" t="s">
        <v>69</v>
      </c>
      <c r="H221" t="s">
        <v>1537</v>
      </c>
    </row>
    <row r="222" spans="3:8" x14ac:dyDescent="0.35">
      <c r="F222" t="s">
        <v>1538</v>
      </c>
      <c r="G222" t="s">
        <v>1539</v>
      </c>
      <c r="H222" t="s">
        <v>1540</v>
      </c>
    </row>
    <row r="223" spans="3:8" x14ac:dyDescent="0.35">
      <c r="F223" t="s">
        <v>1541</v>
      </c>
      <c r="G223" t="s">
        <v>1542</v>
      </c>
      <c r="H223" t="s">
        <v>1543</v>
      </c>
    </row>
    <row r="224" spans="3:8" x14ac:dyDescent="0.35">
      <c r="F224" t="s">
        <v>1544</v>
      </c>
      <c r="G224" t="s">
        <v>252</v>
      </c>
      <c r="H224" t="s">
        <v>1545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Plan</vt:lpstr>
      <vt:lpstr>Config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2026-03-27T09:38:02Z</dcterms:created>
  <dcterms:modified xsi:type="dcterms:W3CDTF">2026-03-27T09:40:04Z</dcterms:modified>
  <cp:category/>
</cp:coreProperties>
</file>