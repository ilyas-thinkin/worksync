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Line Plan" sheetId="1" state="visible" r:id="rId1"/>
    <sheet xmlns:r="http://schemas.openxmlformats.org/officeDocument/2006/relationships" name="Config" sheetId="2" state="hidden" r:id="rId2"/>
  </sheets>
  <definedNames/>
  <calcPr calcId="171027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0"/>
  </numFmts>
  <fonts count="7">
    <font>
      <name val="Calibri"/>
      <family val="2"/>
      <color theme="1"/>
      <sz val="11"/>
      <scheme val="minor"/>
    </font>
    <font>
      <b val="1"/>
      <color rgb="FFFFFFFF"/>
      <sz val="14"/>
    </font>
    <font>
      <b val="1"/>
      <sz val="11"/>
    </font>
    <font>
      <sz val="11"/>
    </font>
    <font>
      <i val="1"/>
      <color rgb="FF6B7280"/>
      <sz val="10"/>
    </font>
    <font>
      <b val="1"/>
      <color rgb="FF1D6F42"/>
      <sz val="11"/>
    </font>
    <font>
      <b val="1"/>
      <color rgb="FFFFFFFF"/>
      <sz val="11"/>
    </font>
  </fonts>
  <fills count="10">
    <fill>
      <patternFill/>
    </fill>
    <fill>
      <patternFill patternType="gray125"/>
    </fill>
    <fill>
      <patternFill patternType="solid">
        <fgColor rgb="FF1D6F42"/>
      </patternFill>
    </fill>
    <fill>
      <patternFill patternType="solid">
        <fgColor rgb="FFF2F2F2"/>
      </patternFill>
    </fill>
    <fill>
      <patternFill patternType="solid">
        <fgColor rgb="FFD1FAE5"/>
      </patternFill>
    </fill>
    <fill>
      <patternFill patternType="solid">
        <fgColor rgb="FFFFF9C4"/>
      </patternFill>
    </fill>
    <fill>
      <patternFill patternType="solid">
        <fgColor rgb="FF1E40AF"/>
      </patternFill>
    </fill>
    <fill>
      <patternFill patternType="solid">
        <fgColor rgb="FFFFFFFF"/>
      </patternFill>
    </fill>
    <fill>
      <patternFill patternType="solid">
        <fgColor rgb="FFEBEBEB"/>
      </patternFill>
    </fill>
    <fill>
      <patternFill patternType="solid">
        <fgColor rgb="FFE8F5E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left" vertical="center"/>
    </xf>
    <xf numFmtId="2" fontId="0" fillId="7" borderId="1" applyAlignment="1" pivotButton="0" quotePrefix="0" xfId="0">
      <alignment horizontal="center" vertical="center"/>
    </xf>
    <xf numFmtId="2" fontId="0" fillId="8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165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2"/>
  <sheetViews>
    <sheetView workbookViewId="0">
      <selection activeCell="A1" sqref="A1"/>
    </sheetView>
  </sheetViews>
  <sheetFormatPr baseColWidth="8" defaultRowHeight="15" outlineLevelRow="0"/>
  <cols>
    <col width="14" customWidth="1" min="1" max="1"/>
    <col width="10" customWidth="1" min="2" max="2"/>
    <col width="16" customWidth="1" min="3" max="3"/>
    <col width="18" customWidth="1" min="4" max="4"/>
    <col width="36" customWidth="1" min="5" max="5"/>
    <col width="16" customWidth="1" min="6" max="7"/>
    <col width="14" customWidth="1" min="8" max="8"/>
    <col width="13" customWidth="1" min="9" max="9"/>
    <col width="12" customWidth="1" min="10" max="10"/>
    <col width="18" customWidth="1" min="11" max="11"/>
    <col width="28" customWidth="1" min="12" max="12"/>
  </cols>
  <sheetData>
    <row r="1" ht="30" customHeight="1">
      <c r="A1" s="1" t="inlineStr">
        <is>
          <t>LINE PLAN UPLOAD</t>
        </is>
      </c>
    </row>
    <row r="2" ht="6" customHeight="1"/>
    <row r="3">
      <c r="A3" s="2" t="inlineStr">
        <is>
          <t>LINE CODE</t>
        </is>
      </c>
      <c r="B3" s="3" t="inlineStr">
        <is>
          <t>Rumiya_Line</t>
        </is>
      </c>
      <c r="C3" s="4" t="inlineStr">
        <is>
          <t>Production line code. Auto-created if not in system.</t>
        </is>
      </c>
    </row>
    <row r="4">
      <c r="A4" s="2" t="inlineStr">
        <is>
          <t>HALL NAME</t>
        </is>
      </c>
      <c r="B4" s="3" t="inlineStr">
        <is>
          <t>Hall B</t>
        </is>
      </c>
      <c r="C4" s="4" t="inlineStr">
        <is>
          <t>Hall/area name (used as line name if auto-creating the line).</t>
        </is>
      </c>
    </row>
    <row r="5">
      <c r="A5" s="2" t="inlineStr">
        <is>
          <t>DATE</t>
        </is>
      </c>
      <c r="B5" s="3" t="inlineStr">
        <is>
          <t>2026-03-26</t>
        </is>
      </c>
      <c r="C5" s="4" t="inlineStr">
        <is>
          <t>Work date — YYYY-MM-DD format.</t>
        </is>
      </c>
    </row>
    <row r="6">
      <c r="A6" s="2" t="inlineStr">
        <is>
          <t>PRODUCT CODE</t>
        </is>
      </c>
      <c r="B6" s="3" t="inlineStr">
        <is>
          <t>KN754</t>
        </is>
      </c>
      <c r="C6" s="4" t="inlineStr">
        <is>
          <t>Style/product code. Auto-created if new.</t>
        </is>
      </c>
    </row>
    <row r="7">
      <c r="A7" s="2" t="inlineStr">
        <is>
          <t>PRODUCT NAME</t>
        </is>
      </c>
      <c r="B7" s="3" t="inlineStr">
        <is>
          <t>KATESPADE</t>
        </is>
      </c>
      <c r="C7" s="4" t="inlineStr">
        <is>
          <t>Full product name.</t>
        </is>
      </c>
    </row>
    <row r="8">
      <c r="A8" s="2" t="inlineStr">
        <is>
          <t>BUYER NAME</t>
        </is>
      </c>
      <c r="B8" s="3" t="inlineStr"/>
      <c r="C8" s="4" t="inlineStr">
        <is>
          <t>Buyer / brand name. Optional.</t>
        </is>
      </c>
    </row>
    <row r="9">
      <c r="A9" s="2" t="inlineStr">
        <is>
          <t>PLAN MONTH</t>
        </is>
      </c>
      <c r="B9" s="3" t="inlineStr">
        <is>
          <t>2026-04</t>
        </is>
      </c>
      <c r="C9" s="4" t="inlineStr">
        <is>
          <t>Plan month (e.g. 2026-04). Optional.</t>
        </is>
      </c>
    </row>
    <row r="10">
      <c r="A10" s="2" t="inlineStr">
        <is>
          <t>TARGET UNITS</t>
        </is>
      </c>
      <c r="B10" s="3" t="n">
        <v>350</v>
      </c>
      <c r="C10" s="4" t="inlineStr">
        <is>
          <t>Daily target for this line. Required.</t>
        </is>
      </c>
    </row>
    <row r="11">
      <c r="A11" s="2" t="inlineStr">
        <is>
          <t>CO PRODUCT CODE</t>
        </is>
      </c>
      <c r="B11" s="3" t="inlineStr"/>
      <c r="C11" s="4" t="inlineStr">
        <is>
          <t>Optional — changeover product code.</t>
        </is>
      </c>
    </row>
    <row r="12">
      <c r="A12" s="2" t="inlineStr">
        <is>
          <t>CO TARGET</t>
        </is>
      </c>
      <c r="B12" s="3" t="inlineStr"/>
      <c r="C12" s="4" t="inlineStr">
        <is>
          <t>Optional — changeover target units.</t>
        </is>
      </c>
    </row>
    <row r="13">
      <c r="A13" s="2" t="inlineStr">
        <is>
          <t>LINE LEADER</t>
        </is>
      </c>
      <c r="B13" s="5" t="inlineStr">
        <is>
          <t>Rumiya</t>
        </is>
      </c>
      <c r="C13" s="4" t="inlineStr">
        <is>
          <t>Line leader name.</t>
        </is>
      </c>
    </row>
    <row r="14">
      <c r="A14" s="6" t="inlineStr">
        <is>
          <t>WORKING TIME (s)</t>
        </is>
      </c>
      <c r="B14" s="7" t="n">
        <v>32400</v>
      </c>
      <c r="C14" s="4" t="inlineStr">
        <is>
          <t>Total working seconds per shift (9h). Used for Takt Time = Working Time ÷ Target.</t>
        </is>
      </c>
    </row>
    <row r="15" ht="8" customHeight="1"/>
    <row r="16" ht="22" customHeight="1">
      <c r="A16" s="8" t="inlineStr">
        <is>
          <t>GROUP</t>
        </is>
      </c>
      <c r="B16" s="8" t="inlineStr">
        <is>
          <t>OSM ☑</t>
        </is>
      </c>
      <c r="C16" s="8" t="inlineStr">
        <is>
          <t>WORKSTATION ▼</t>
        </is>
      </c>
      <c r="D16" s="9" t="inlineStr">
        <is>
          <t>OP CODE (auto)</t>
        </is>
      </c>
      <c r="E16" s="8" t="inlineStr">
        <is>
          <t>SELECT OPERATION ▼</t>
        </is>
      </c>
      <c r="F16" s="8" t="inlineStr">
        <is>
          <t>PROCESS TIME (s)</t>
        </is>
      </c>
      <c r="G16" s="9" t="inlineStr">
        <is>
          <t>CYCLE TIME (s)</t>
        </is>
      </c>
      <c r="H16" s="9" t="inlineStr">
        <is>
          <t>TAKT TIME (s)</t>
        </is>
      </c>
      <c r="I16" s="9" t="inlineStr">
        <is>
          <t>WORKLOAD</t>
        </is>
      </c>
      <c r="J16" s="9" t="inlineStr">
        <is>
          <t>SAH</t>
        </is>
      </c>
      <c r="K16" s="9" t="inlineStr">
        <is>
          <t>EMP CODE (auto)</t>
        </is>
      </c>
      <c r="L16" s="8" t="inlineStr">
        <is>
          <t>SELECT EMPLOYEE ▼</t>
        </is>
      </c>
    </row>
    <row r="17" ht="18" customHeight="1">
      <c r="A17" s="10" t="inlineStr">
        <is>
          <t>G1</t>
        </is>
      </c>
      <c r="B17" s="10" t="inlineStr">
        <is>
          <t>☑</t>
        </is>
      </c>
      <c r="C17" s="10" t="inlineStr">
        <is>
          <t>WS01</t>
        </is>
      </c>
      <c r="D17" s="11" t="inlineStr">
        <is>
          <t>OP-0014</t>
        </is>
      </c>
      <c r="E17" s="12" t="inlineStr">
        <is>
          <t>Heating</t>
        </is>
      </c>
      <c r="F17" s="13" t="n">
        <v>10</v>
      </c>
      <c r="G17" s="14">
        <f>=SUMIF($C$17:$C$502,C17,$F$17:$F$502)</f>
        <v/>
      </c>
      <c r="H17" s="14">
        <f>=IFERROR($B$14/$B$10,"")</f>
        <v/>
      </c>
      <c r="I17" s="15">
        <f>=IFERROR(G17/H17,"")</f>
        <v/>
      </c>
      <c r="J17" s="16" t="n">
        <v>0.002777777777777778</v>
      </c>
      <c r="K17" s="11" t="inlineStr">
        <is>
          <t>LPD07739</t>
        </is>
      </c>
      <c r="L17" s="12" t="inlineStr">
        <is>
          <t>A. JAMEELA</t>
        </is>
      </c>
    </row>
    <row r="18" ht="18" customHeight="1">
      <c r="A18" s="10" t="inlineStr">
        <is>
          <t>G1</t>
        </is>
      </c>
      <c r="B18" s="10" t="inlineStr">
        <is>
          <t>☐</t>
        </is>
      </c>
      <c r="C18" s="10" t="inlineStr">
        <is>
          <t>WS01</t>
        </is>
      </c>
      <c r="D18" s="11" t="inlineStr">
        <is>
          <t>OP-0015</t>
        </is>
      </c>
      <c r="E18" s="12" t="inlineStr">
        <is>
          <t>board with lining attatching &amp;  1st primer</t>
        </is>
      </c>
      <c r="F18" s="13" t="n">
        <v>25.5</v>
      </c>
      <c r="G18" s="14">
        <f>=SUMIF($C$17:$C$502,C18,$F$17:$F$502)</f>
        <v/>
      </c>
      <c r="H18" s="14">
        <f>=IFERROR($B$14/$B$10,"")</f>
        <v/>
      </c>
      <c r="I18" s="15">
        <f>=IFERROR(G18/H18,"")</f>
        <v/>
      </c>
      <c r="J18" s="16" t="n">
        <v>0.007083333333333333</v>
      </c>
      <c r="K18" s="11" t="inlineStr">
        <is>
          <t>LPD07739</t>
        </is>
      </c>
      <c r="L18" s="17" t="inlineStr">
        <is>
          <t>A. JAMEELA</t>
        </is>
      </c>
    </row>
    <row r="19" ht="18" customHeight="1">
      <c r="A19" s="10" t="inlineStr">
        <is>
          <t>G1</t>
        </is>
      </c>
      <c r="B19" s="10" t="inlineStr">
        <is>
          <t>☐</t>
        </is>
      </c>
      <c r="C19" s="10" t="inlineStr">
        <is>
          <t>WS01</t>
        </is>
      </c>
      <c r="D19" s="11" t="inlineStr">
        <is>
          <t>OP-0016</t>
        </is>
      </c>
      <c r="E19" s="12" t="inlineStr">
        <is>
          <t>die process</t>
        </is>
      </c>
      <c r="F19" s="13" t="n">
        <v>25.5</v>
      </c>
      <c r="G19" s="14">
        <f>=SUMIF($C$17:$C$502,C19,$F$17:$F$502)</f>
        <v/>
      </c>
      <c r="H19" s="14">
        <f>=IFERROR($B$14/$B$10,"")</f>
        <v/>
      </c>
      <c r="I19" s="15">
        <f>=IFERROR(G19/H19,"")</f>
        <v/>
      </c>
      <c r="J19" s="16" t="n">
        <v>0.007083333333333333</v>
      </c>
      <c r="K19" s="11" t="inlineStr">
        <is>
          <t>LPD07739</t>
        </is>
      </c>
      <c r="L19" s="17" t="inlineStr">
        <is>
          <t>A. JAMEELA</t>
        </is>
      </c>
    </row>
    <row r="20" ht="18" customHeight="1">
      <c r="A20" s="10" t="inlineStr">
        <is>
          <t>G1</t>
        </is>
      </c>
      <c r="B20" s="10" t="inlineStr">
        <is>
          <t>☐</t>
        </is>
      </c>
      <c r="C20" s="10" t="inlineStr">
        <is>
          <t>WS02</t>
        </is>
      </c>
      <c r="D20" s="11" t="inlineStr">
        <is>
          <t>OP-0014</t>
        </is>
      </c>
      <c r="E20" s="12" t="inlineStr">
        <is>
          <t>Heating</t>
        </is>
      </c>
      <c r="F20" s="13" t="n">
        <v>10</v>
      </c>
      <c r="G20" s="14">
        <f>=SUMIF($C$17:$C$502,C20,$F$17:$F$502)</f>
        <v/>
      </c>
      <c r="H20" s="14">
        <f>=IFERROR($B$14/$B$10,"")</f>
        <v/>
      </c>
      <c r="I20" s="15">
        <f>=IFERROR(G20/H20,"")</f>
        <v/>
      </c>
      <c r="J20" s="16" t="n">
        <v>0.002777777777777778</v>
      </c>
      <c r="K20" s="11" t="inlineStr">
        <is>
          <t>LPD11454</t>
        </is>
      </c>
      <c r="L20" s="17" t="inlineStr">
        <is>
          <t>USHA</t>
        </is>
      </c>
    </row>
    <row r="21" ht="18" customHeight="1">
      <c r="A21" s="10" t="inlineStr">
        <is>
          <t>G1</t>
        </is>
      </c>
      <c r="B21" s="10" t="inlineStr">
        <is>
          <t>☐</t>
        </is>
      </c>
      <c r="C21" s="10" t="inlineStr">
        <is>
          <t>WS02</t>
        </is>
      </c>
      <c r="D21" s="11" t="inlineStr">
        <is>
          <t>OP-0015</t>
        </is>
      </c>
      <c r="E21" s="12" t="inlineStr">
        <is>
          <t>board with lining attatching &amp;  1st primer</t>
        </is>
      </c>
      <c r="F21" s="13" t="n">
        <v>25.5</v>
      </c>
      <c r="G21" s="14">
        <f>=SUMIF($C$17:$C$502,C21,$F$17:$F$502)</f>
        <v/>
      </c>
      <c r="H21" s="14">
        <f>=IFERROR($B$14/$B$10,"")</f>
        <v/>
      </c>
      <c r="I21" s="15">
        <f>=IFERROR(G21/H21,"")</f>
        <v/>
      </c>
      <c r="J21" s="16" t="n">
        <v>0.007083333333333333</v>
      </c>
      <c r="K21" s="11" t="inlineStr">
        <is>
          <t>LPD11454</t>
        </is>
      </c>
      <c r="L21" s="17" t="inlineStr">
        <is>
          <t>USHA</t>
        </is>
      </c>
    </row>
    <row r="22" ht="18" customHeight="1">
      <c r="A22" s="10" t="inlineStr">
        <is>
          <t>G1</t>
        </is>
      </c>
      <c r="B22" s="10" t="inlineStr">
        <is>
          <t>☐</t>
        </is>
      </c>
      <c r="C22" s="10" t="inlineStr">
        <is>
          <t>WS02</t>
        </is>
      </c>
      <c r="D22" s="11" t="inlineStr">
        <is>
          <t>OP-0016</t>
        </is>
      </c>
      <c r="E22" s="12" t="inlineStr">
        <is>
          <t>die process</t>
        </is>
      </c>
      <c r="F22" s="13" t="n">
        <v>25.5</v>
      </c>
      <c r="G22" s="14">
        <f>=SUMIF($C$17:$C$502,C22,$F$17:$F$502)</f>
        <v/>
      </c>
      <c r="H22" s="14">
        <f>=IFERROR($B$14/$B$10,"")</f>
        <v/>
      </c>
      <c r="I22" s="15">
        <f>=IFERROR(G22/H22,"")</f>
        <v/>
      </c>
      <c r="J22" s="16" t="n">
        <v>0.007083333333333333</v>
      </c>
      <c r="K22" s="11" t="inlineStr">
        <is>
          <t>LPD11454</t>
        </is>
      </c>
      <c r="L22" s="17" t="inlineStr">
        <is>
          <t>USHA</t>
        </is>
      </c>
    </row>
    <row r="23" ht="18" customHeight="1">
      <c r="A23" s="10" t="inlineStr">
        <is>
          <t>G1</t>
        </is>
      </c>
      <c r="B23" s="10" t="inlineStr">
        <is>
          <t>☐</t>
        </is>
      </c>
      <c r="C23" s="10" t="inlineStr">
        <is>
          <t>WS03</t>
        </is>
      </c>
      <c r="D23" s="11" t="inlineStr">
        <is>
          <t>OP-0017</t>
        </is>
      </c>
      <c r="E23" s="12" t="inlineStr">
        <is>
          <t>Pasting on patti (5*1 Nos)</t>
        </is>
      </c>
      <c r="F23" s="13" t="n">
        <v>15</v>
      </c>
      <c r="G23" s="14">
        <f>=SUMIF($C$17:$C$502,C23,$F$17:$F$502)</f>
        <v/>
      </c>
      <c r="H23" s="14">
        <f>=IFERROR($B$14/$B$10,"")</f>
        <v/>
      </c>
      <c r="I23" s="15">
        <f>=IFERROR(G23/H23,"")</f>
        <v/>
      </c>
      <c r="J23" s="16" t="n">
        <v>0.004166666666666667</v>
      </c>
      <c r="K23" s="11" t="inlineStr">
        <is>
          <t>LPD11454</t>
        </is>
      </c>
      <c r="L23" s="17" t="inlineStr">
        <is>
          <t>USHA</t>
        </is>
      </c>
    </row>
    <row r="24" ht="18" customHeight="1">
      <c r="A24" s="10" t="inlineStr">
        <is>
          <t>G1</t>
        </is>
      </c>
      <c r="B24" s="10" t="inlineStr">
        <is>
          <t>☐</t>
        </is>
      </c>
      <c r="C24" s="10" t="inlineStr">
        <is>
          <t>WS03</t>
        </is>
      </c>
      <c r="D24" s="11" t="inlineStr">
        <is>
          <t>OP-0018</t>
        </is>
      </c>
      <c r="E24" s="12" t="inlineStr">
        <is>
          <t>Attaching step patti (4*1 Nos)</t>
        </is>
      </c>
      <c r="F24" s="13" t="n">
        <v>16</v>
      </c>
      <c r="G24" s="14">
        <f>=SUMIF($C$17:$C$502,C24,$F$17:$F$502)</f>
        <v/>
      </c>
      <c r="H24" s="14">
        <f>=IFERROR($B$14/$B$10,"")</f>
        <v/>
      </c>
      <c r="I24" s="15">
        <f>=IFERROR(G24/H24,"")</f>
        <v/>
      </c>
      <c r="J24" s="16" t="n">
        <v>0.004444444444444444</v>
      </c>
      <c r="K24" s="11" t="inlineStr">
        <is>
          <t>LPD11454</t>
        </is>
      </c>
      <c r="L24" s="17" t="inlineStr">
        <is>
          <t>USHA</t>
        </is>
      </c>
    </row>
    <row r="25" ht="18" customHeight="1">
      <c r="A25" s="10" t="inlineStr">
        <is>
          <t>G1</t>
        </is>
      </c>
      <c r="B25" s="10" t="inlineStr">
        <is>
          <t>☐</t>
        </is>
      </c>
      <c r="C25" s="10" t="inlineStr">
        <is>
          <t>WS03</t>
        </is>
      </c>
      <c r="D25" s="11" t="inlineStr">
        <is>
          <t>OP-0019</t>
        </is>
      </c>
      <c r="E25" s="12" t="inlineStr">
        <is>
          <t>Pasting on stamp &amp; pkt  (1-Nos)</t>
        </is>
      </c>
      <c r="F25" s="13" t="n">
        <v>12</v>
      </c>
      <c r="G25" s="14">
        <f>=SUMIF($C$17:$C$502,C25,$F$17:$F$502)</f>
        <v/>
      </c>
      <c r="H25" s="14">
        <f>=IFERROR($B$14/$B$10,"")</f>
        <v/>
      </c>
      <c r="I25" s="15">
        <f>=IFERROR(G25/H25,"")</f>
        <v/>
      </c>
      <c r="J25" s="16" t="n">
        <v>0.003333333333333334</v>
      </c>
      <c r="K25" s="11" t="inlineStr">
        <is>
          <t>LPD11454</t>
        </is>
      </c>
      <c r="L25" s="17" t="inlineStr">
        <is>
          <t>USHA</t>
        </is>
      </c>
    </row>
    <row r="26" ht="18" customHeight="1">
      <c r="A26" s="10" t="inlineStr">
        <is>
          <t>G1</t>
        </is>
      </c>
      <c r="B26" s="10" t="inlineStr">
        <is>
          <t>☐</t>
        </is>
      </c>
      <c r="C26" s="10" t="inlineStr">
        <is>
          <t>WS03</t>
        </is>
      </c>
      <c r="D26" s="11" t="inlineStr">
        <is>
          <t>OP-0020</t>
        </is>
      </c>
      <c r="E26" s="12" t="inlineStr">
        <is>
          <t>Attaching stamp with cc pkt</t>
        </is>
      </c>
      <c r="F26" s="13" t="n">
        <v>8</v>
      </c>
      <c r="G26" s="14">
        <f>=SUMIF($C$17:$C$502,C26,$F$17:$F$502)</f>
        <v/>
      </c>
      <c r="H26" s="14">
        <f>=IFERROR($B$14/$B$10,"")</f>
        <v/>
      </c>
      <c r="I26" s="15">
        <f>=IFERROR(G26/H26,"")</f>
        <v/>
      </c>
      <c r="J26" s="16" t="n">
        <v>0.002222222222222222</v>
      </c>
      <c r="K26" s="11" t="inlineStr">
        <is>
          <t>LPD11454</t>
        </is>
      </c>
      <c r="L26" s="17" t="inlineStr">
        <is>
          <t>USHA</t>
        </is>
      </c>
    </row>
    <row r="27" ht="18" customHeight="1">
      <c r="A27" s="10" t="inlineStr">
        <is>
          <t>G1</t>
        </is>
      </c>
      <c r="B27" s="10" t="inlineStr">
        <is>
          <t>☐</t>
        </is>
      </c>
      <c r="C27" s="10" t="inlineStr">
        <is>
          <t>WS03</t>
        </is>
      </c>
      <c r="D27" s="11" t="inlineStr">
        <is>
          <t>OP-0021</t>
        </is>
      </c>
      <c r="E27" s="12" t="inlineStr">
        <is>
          <t>Pasting on patti (4*1 Nos)</t>
        </is>
      </c>
      <c r="F27" s="13" t="n">
        <v>12</v>
      </c>
      <c r="G27" s="14">
        <f>=SUMIF($C$17:$C$502,C27,$F$17:$F$502)</f>
        <v/>
      </c>
      <c r="H27" s="14">
        <f>=IFERROR($B$14/$B$10,"")</f>
        <v/>
      </c>
      <c r="I27" s="15">
        <f>=IFERROR(G27/H27,"")</f>
        <v/>
      </c>
      <c r="J27" s="16" t="n">
        <v>0.003333333333333334</v>
      </c>
      <c r="K27" s="11" t="inlineStr">
        <is>
          <t>LPD11454</t>
        </is>
      </c>
      <c r="L27" s="17" t="inlineStr">
        <is>
          <t>USHA</t>
        </is>
      </c>
    </row>
    <row r="28" ht="18" customHeight="1">
      <c r="A28" s="10" t="inlineStr">
        <is>
          <t>G1</t>
        </is>
      </c>
      <c r="B28" s="10" t="inlineStr">
        <is>
          <t>☐</t>
        </is>
      </c>
      <c r="C28" s="10" t="inlineStr">
        <is>
          <t>WS03</t>
        </is>
      </c>
      <c r="D28" s="11" t="inlineStr">
        <is>
          <t>OP-0022</t>
        </is>
      </c>
      <c r="E28" s="12" t="inlineStr">
        <is>
          <t>Attaching step patti (3*1 Nos)</t>
        </is>
      </c>
      <c r="F28" s="13" t="n">
        <v>12</v>
      </c>
      <c r="G28" s="14">
        <f>=SUMIF($C$17:$C$502,C28,$F$17:$F$502)</f>
        <v/>
      </c>
      <c r="H28" s="14">
        <f>=IFERROR($B$14/$B$10,"")</f>
        <v/>
      </c>
      <c r="I28" s="15">
        <f>=IFERROR(G28/H28,"")</f>
        <v/>
      </c>
      <c r="J28" s="16" t="n">
        <v>0.003333333333333334</v>
      </c>
      <c r="K28" s="11" t="inlineStr">
        <is>
          <t>LPD11454</t>
        </is>
      </c>
      <c r="L28" s="17" t="inlineStr">
        <is>
          <t>USHA</t>
        </is>
      </c>
    </row>
    <row r="29" ht="18" customHeight="1">
      <c r="A29" s="10" t="inlineStr">
        <is>
          <t>G1</t>
        </is>
      </c>
      <c r="B29" s="10" t="inlineStr">
        <is>
          <t>☐</t>
        </is>
      </c>
      <c r="C29" s="10" t="inlineStr">
        <is>
          <t>WS04</t>
        </is>
      </c>
      <c r="D29" s="11" t="inlineStr">
        <is>
          <t>OP-0023</t>
        </is>
      </c>
      <c r="E29" s="12" t="inlineStr">
        <is>
          <t>Stitching the lining (4*1 Nos)</t>
        </is>
      </c>
      <c r="F29" s="13" t="n">
        <v>20</v>
      </c>
      <c r="G29" s="14">
        <f>=SUMIF($C$17:$C$502,C29,$F$17:$F$502)</f>
        <v/>
      </c>
      <c r="H29" s="14">
        <f>=IFERROR($B$14/$B$10,"")</f>
        <v/>
      </c>
      <c r="I29" s="15">
        <f>=IFERROR(G29/H29,"")</f>
        <v/>
      </c>
      <c r="J29" s="16" t="n">
        <v>0.005555555555555556</v>
      </c>
      <c r="K29" s="11" t="inlineStr">
        <is>
          <t>LPDS95750</t>
        </is>
      </c>
      <c r="L29" s="17" t="inlineStr">
        <is>
          <t>JAYALAKSHMI</t>
        </is>
      </c>
    </row>
    <row r="30" ht="18" customHeight="1">
      <c r="A30" s="10" t="inlineStr">
        <is>
          <t>G1</t>
        </is>
      </c>
      <c r="B30" s="10" t="inlineStr">
        <is>
          <t>☐</t>
        </is>
      </c>
      <c r="C30" s="10" t="inlineStr">
        <is>
          <t>WS04</t>
        </is>
      </c>
      <c r="D30" s="11" t="inlineStr">
        <is>
          <t>OP-0024</t>
        </is>
      </c>
      <c r="E30" s="12" t="inlineStr">
        <is>
          <t>Stitching closing  lining (1*1 Nos)</t>
        </is>
      </c>
      <c r="F30" s="13" t="n">
        <v>12</v>
      </c>
      <c r="G30" s="14">
        <f>=SUMIF($C$17:$C$502,C30,$F$17:$F$502)</f>
        <v/>
      </c>
      <c r="H30" s="14">
        <f>=IFERROR($B$14/$B$10,"")</f>
        <v/>
      </c>
      <c r="I30" s="15">
        <f>=IFERROR(G30/H30,"")</f>
        <v/>
      </c>
      <c r="J30" s="16" t="n">
        <v>0.003333333333333334</v>
      </c>
      <c r="K30" s="11" t="inlineStr">
        <is>
          <t>LPDS95750</t>
        </is>
      </c>
      <c r="L30" s="17" t="inlineStr">
        <is>
          <t>JAYALAKSHMI</t>
        </is>
      </c>
    </row>
    <row r="31" ht="18" customHeight="1">
      <c r="A31" s="10" t="inlineStr">
        <is>
          <t>G1</t>
        </is>
      </c>
      <c r="B31" s="10" t="inlineStr">
        <is>
          <t>☐</t>
        </is>
      </c>
      <c r="C31" s="10" t="inlineStr">
        <is>
          <t>WS04</t>
        </is>
      </c>
      <c r="D31" s="11" t="inlineStr">
        <is>
          <t>OP-0025</t>
        </is>
      </c>
      <c r="E31" s="12" t="inlineStr">
        <is>
          <t>Stitching the lining (3*1 Nos)</t>
        </is>
      </c>
      <c r="F31" s="13" t="n">
        <v>13.5</v>
      </c>
      <c r="G31" s="14">
        <f>=SUMIF($C$17:$C$502,C31,$F$17:$F$502)</f>
        <v/>
      </c>
      <c r="H31" s="14">
        <f>=IFERROR($B$14/$B$10,"")</f>
        <v/>
      </c>
      <c r="I31" s="15">
        <f>=IFERROR(G31/H31,"")</f>
        <v/>
      </c>
      <c r="J31" s="16" t="n">
        <v>0.00375</v>
      </c>
      <c r="K31" s="11" t="inlineStr">
        <is>
          <t>LPDS95750</t>
        </is>
      </c>
      <c r="L31" s="17" t="inlineStr">
        <is>
          <t>JAYALAKSHMI</t>
        </is>
      </c>
    </row>
    <row r="32" ht="18" customHeight="1">
      <c r="A32" s="10" t="inlineStr">
        <is>
          <t>G1</t>
        </is>
      </c>
      <c r="B32" s="10" t="inlineStr">
        <is>
          <t>☐</t>
        </is>
      </c>
      <c r="C32" s="10" t="inlineStr">
        <is>
          <t>WS04</t>
        </is>
      </c>
      <c r="D32" s="11" t="inlineStr">
        <is>
          <t>OP-0026</t>
        </is>
      </c>
      <c r="E32" s="12" t="inlineStr">
        <is>
          <t>Stitching the lining (1*1 Nos)</t>
        </is>
      </c>
      <c r="F32" s="13" t="n">
        <v>5</v>
      </c>
      <c r="G32" s="14">
        <f>=SUMIF($C$17:$C$502,C32,$F$17:$F$502)</f>
        <v/>
      </c>
      <c r="H32" s="14">
        <f>=IFERROR($B$14/$B$10,"")</f>
        <v/>
      </c>
      <c r="I32" s="15">
        <f>=IFERROR(G32/H32,"")</f>
        <v/>
      </c>
      <c r="J32" s="16" t="n">
        <v>0.001388888888888889</v>
      </c>
      <c r="K32" s="11" t="inlineStr">
        <is>
          <t>LPDS95750</t>
        </is>
      </c>
      <c r="L32" s="17" t="inlineStr">
        <is>
          <t>JAYALAKSHMI</t>
        </is>
      </c>
    </row>
    <row r="33" ht="18" customHeight="1">
      <c r="A33" s="10" t="inlineStr">
        <is>
          <t>G1</t>
        </is>
      </c>
      <c r="B33" s="10" t="inlineStr">
        <is>
          <t>☐</t>
        </is>
      </c>
      <c r="C33" s="10" t="inlineStr">
        <is>
          <t>WS05</t>
        </is>
      </c>
      <c r="D33" s="11" t="inlineStr">
        <is>
          <t>OP-0027</t>
        </is>
      </c>
      <c r="E33" s="12" t="inlineStr">
        <is>
          <t>Recutting of cc pkt (1:2) 1-Nos</t>
        </is>
      </c>
      <c r="F33" s="13" t="n">
        <v>8</v>
      </c>
      <c r="G33" s="14">
        <f>=SUMIF($C$17:$C$502,C33,$F$17:$F$502)</f>
        <v/>
      </c>
      <c r="H33" s="14">
        <f>=IFERROR($B$14/$B$10,"")</f>
        <v/>
      </c>
      <c r="I33" s="15">
        <f>=IFERROR(G33/H33,"")</f>
        <v/>
      </c>
      <c r="J33" s="16" t="n">
        <v>0.002222222222222222</v>
      </c>
      <c r="K33" s="11" t="inlineStr">
        <is>
          <t>LPDS95789</t>
        </is>
      </c>
      <c r="L33" s="17" t="inlineStr">
        <is>
          <t>ASLAM</t>
        </is>
      </c>
    </row>
    <row r="34" ht="18" customHeight="1">
      <c r="A34" s="10" t="inlineStr">
        <is>
          <t>G1</t>
        </is>
      </c>
      <c r="B34" s="10" t="inlineStr">
        <is>
          <t>☐</t>
        </is>
      </c>
      <c r="C34" s="10" t="inlineStr">
        <is>
          <t>WS05</t>
        </is>
      </c>
      <c r="D34" s="11" t="inlineStr">
        <is>
          <t>OP-0027</t>
        </is>
      </c>
      <c r="E34" s="12" t="inlineStr">
        <is>
          <t>Recutting of cc pkt (1:2) 1-Nos</t>
        </is>
      </c>
      <c r="F34" s="13" t="n">
        <v>8</v>
      </c>
      <c r="G34" s="14">
        <f>=SUMIF($C$17:$C$502,C34,$F$17:$F$502)</f>
        <v/>
      </c>
      <c r="H34" s="14">
        <f>=IFERROR($B$14/$B$10,"")</f>
        <v/>
      </c>
      <c r="I34" s="15">
        <f>=IFERROR(G34/H34,"")</f>
        <v/>
      </c>
      <c r="J34" s="16" t="n">
        <v>0.002222222222222222</v>
      </c>
      <c r="K34" s="11" t="inlineStr">
        <is>
          <t>LPDS95789</t>
        </is>
      </c>
      <c r="L34" s="17" t="inlineStr">
        <is>
          <t>ASLAM</t>
        </is>
      </c>
    </row>
    <row r="35" ht="18" customHeight="1">
      <c r="A35" s="10" t="inlineStr">
        <is>
          <t>G1</t>
        </is>
      </c>
      <c r="B35" s="10" t="inlineStr">
        <is>
          <t>☐</t>
        </is>
      </c>
      <c r="C35" s="10" t="inlineStr">
        <is>
          <t>WS05</t>
        </is>
      </c>
      <c r="D35" s="11" t="inlineStr">
        <is>
          <t>OP-0028</t>
        </is>
      </c>
      <c r="E35" s="12" t="inlineStr">
        <is>
          <t>Recutting of center stay  (1:2)</t>
        </is>
      </c>
      <c r="F35" s="13" t="n">
        <v>9</v>
      </c>
      <c r="G35" s="14">
        <f>=SUMIF($C$17:$C$502,C35,$F$17:$F$502)</f>
        <v/>
      </c>
      <c r="H35" s="14">
        <f>=IFERROR($B$14/$B$10,"")</f>
        <v/>
      </c>
      <c r="I35" s="15">
        <f>=IFERROR(G35/H35,"")</f>
        <v/>
      </c>
      <c r="J35" s="16" t="n">
        <v>0.0025</v>
      </c>
      <c r="K35" s="11" t="inlineStr">
        <is>
          <t>LPDS95789</t>
        </is>
      </c>
      <c r="L35" s="17" t="inlineStr">
        <is>
          <t>ASLAM</t>
        </is>
      </c>
    </row>
    <row r="36" ht="18" customHeight="1">
      <c r="A36" s="10" t="inlineStr">
        <is>
          <t>G1</t>
        </is>
      </c>
      <c r="B36" s="10" t="inlineStr">
        <is>
          <t>☐</t>
        </is>
      </c>
      <c r="C36" s="10" t="inlineStr">
        <is>
          <t>WS05</t>
        </is>
      </c>
      <c r="D36" s="11" t="inlineStr">
        <is>
          <t>OP-0028</t>
        </is>
      </c>
      <c r="E36" s="12" t="inlineStr">
        <is>
          <t>Recutting of center stay  (1:2)</t>
        </is>
      </c>
      <c r="F36" s="13" t="n">
        <v>9</v>
      </c>
      <c r="G36" s="14">
        <f>=SUMIF($C$17:$C$502,C36,$F$17:$F$502)</f>
        <v/>
      </c>
      <c r="H36" s="14">
        <f>=IFERROR($B$14/$B$10,"")</f>
        <v/>
      </c>
      <c r="I36" s="15">
        <f>=IFERROR(G36/H36,"")</f>
        <v/>
      </c>
      <c r="J36" s="16" t="n">
        <v>0.0025</v>
      </c>
      <c r="K36" s="11" t="inlineStr">
        <is>
          <t>LPDS95789</t>
        </is>
      </c>
      <c r="L36" s="17" t="inlineStr">
        <is>
          <t>ASLAM</t>
        </is>
      </c>
    </row>
    <row r="37" ht="18" customHeight="1">
      <c r="A37" s="10" t="inlineStr">
        <is>
          <t>G1</t>
        </is>
      </c>
      <c r="B37" s="10" t="inlineStr">
        <is>
          <t>☐</t>
        </is>
      </c>
      <c r="C37" s="10" t="inlineStr">
        <is>
          <t>WS06</t>
        </is>
      </c>
      <c r="D37" s="11" t="inlineStr">
        <is>
          <t>OP-0029</t>
        </is>
      </c>
      <c r="E37" s="12" t="inlineStr">
        <is>
          <t>Pasting on lining (1-Nos)</t>
        </is>
      </c>
      <c r="F37" s="13" t="n">
        <v>10</v>
      </c>
      <c r="G37" s="14">
        <f>=SUMIF($C$17:$C$502,C37,$F$17:$F$502)</f>
        <v/>
      </c>
      <c r="H37" s="14">
        <f>=IFERROR($B$14/$B$10,"")</f>
        <v/>
      </c>
      <c r="I37" s="15">
        <f>=IFERROR(G37/H37,"")</f>
        <v/>
      </c>
      <c r="J37" s="16" t="n">
        <v>0.002777777777777778</v>
      </c>
      <c r="K37" s="11" t="inlineStr">
        <is>
          <t>LPD05998</t>
        </is>
      </c>
      <c r="L37" s="17" t="inlineStr">
        <is>
          <t>VENDA</t>
        </is>
      </c>
    </row>
    <row r="38" ht="18" customHeight="1">
      <c r="A38" s="10" t="inlineStr">
        <is>
          <t>G1</t>
        </is>
      </c>
      <c r="B38" s="10" t="inlineStr">
        <is>
          <t>☐</t>
        </is>
      </c>
      <c r="C38" s="10" t="inlineStr">
        <is>
          <t>WS06</t>
        </is>
      </c>
      <c r="D38" s="11" t="inlineStr">
        <is>
          <t>OP-0030</t>
        </is>
      </c>
      <c r="E38" s="12" t="inlineStr">
        <is>
          <t>Attaching with lining closing(1-Nos)</t>
        </is>
      </c>
      <c r="F38" s="13" t="n">
        <v>7</v>
      </c>
      <c r="G38" s="14">
        <f>=SUMIF($C$17:$C$502,C38,$F$17:$F$502)</f>
        <v/>
      </c>
      <c r="H38" s="14">
        <f>=IFERROR($B$14/$B$10,"")</f>
        <v/>
      </c>
      <c r="I38" s="15">
        <f>=IFERROR(G38/H38,"")</f>
        <v/>
      </c>
      <c r="J38" s="16" t="n">
        <v>0.001944444444444444</v>
      </c>
      <c r="K38" s="11" t="inlineStr">
        <is>
          <t>LPD05998</t>
        </is>
      </c>
      <c r="L38" s="17" t="inlineStr">
        <is>
          <t>VENDA</t>
        </is>
      </c>
    </row>
    <row r="39" ht="18" customHeight="1">
      <c r="A39" s="10" t="inlineStr">
        <is>
          <t>G1</t>
        </is>
      </c>
      <c r="B39" s="10" t="inlineStr">
        <is>
          <t>☐</t>
        </is>
      </c>
      <c r="C39" s="10" t="inlineStr">
        <is>
          <t>WS06</t>
        </is>
      </c>
      <c r="D39" s="11" t="inlineStr">
        <is>
          <t>OP-0031</t>
        </is>
      </c>
      <c r="E39" s="12" t="inlineStr">
        <is>
          <t>Pasting cover lining and cc pkt (1-Nos)</t>
        </is>
      </c>
      <c r="F39" s="13" t="n">
        <v>14</v>
      </c>
      <c r="G39" s="14">
        <f>=SUMIF($C$17:$C$502,C39,$F$17:$F$502)</f>
        <v/>
      </c>
      <c r="H39" s="14">
        <f>=IFERROR($B$14/$B$10,"")</f>
        <v/>
      </c>
      <c r="I39" s="15">
        <f>=IFERROR(G39/H39,"")</f>
        <v/>
      </c>
      <c r="J39" s="16" t="n">
        <v>0.003888888888888889</v>
      </c>
      <c r="K39" s="11" t="inlineStr">
        <is>
          <t>LPD05998</t>
        </is>
      </c>
      <c r="L39" s="17" t="inlineStr">
        <is>
          <t>VENDA</t>
        </is>
      </c>
    </row>
    <row r="40" ht="18" customHeight="1">
      <c r="A40" s="10" t="inlineStr">
        <is>
          <t>G1</t>
        </is>
      </c>
      <c r="B40" s="10" t="inlineStr">
        <is>
          <t>☐</t>
        </is>
      </c>
      <c r="C40" s="10" t="inlineStr">
        <is>
          <t>WS06</t>
        </is>
      </c>
      <c r="D40" s="11" t="inlineStr">
        <is>
          <t>OP-0032</t>
        </is>
      </c>
      <c r="E40" s="12" t="inlineStr">
        <is>
          <t>Attaching cover lining and cc pkt (1-Nos)</t>
        </is>
      </c>
      <c r="F40" s="13" t="n">
        <v>10</v>
      </c>
      <c r="G40" s="14">
        <f>=SUMIF($C$17:$C$502,C40,$F$17:$F$502)</f>
        <v/>
      </c>
      <c r="H40" s="14">
        <f>=IFERROR($B$14/$B$10,"")</f>
        <v/>
      </c>
      <c r="I40" s="15">
        <f>=IFERROR(G40/H40,"")</f>
        <v/>
      </c>
      <c r="J40" s="16" t="n">
        <v>0.002777777777777778</v>
      </c>
      <c r="K40" s="11" t="inlineStr">
        <is>
          <t>LPD05998</t>
        </is>
      </c>
      <c r="L40" s="17" t="inlineStr">
        <is>
          <t>VENDA</t>
        </is>
      </c>
    </row>
    <row r="41" ht="18" customHeight="1">
      <c r="A41" s="10" t="inlineStr">
        <is>
          <t>G1</t>
        </is>
      </c>
      <c r="B41" s="10" t="inlineStr">
        <is>
          <t>☐</t>
        </is>
      </c>
      <c r="C41" s="10" t="inlineStr">
        <is>
          <t>WS06</t>
        </is>
      </c>
      <c r="D41" s="11" t="inlineStr">
        <is>
          <t>OP-0033</t>
        </is>
      </c>
      <c r="E41" s="12" t="inlineStr">
        <is>
          <t>Pasting lining</t>
        </is>
      </c>
      <c r="F41" s="13" t="n">
        <v>6</v>
      </c>
      <c r="G41" s="14">
        <f>=SUMIF($C$17:$C$502,C41,$F$17:$F$502)</f>
        <v/>
      </c>
      <c r="H41" s="14">
        <f>=IFERROR($B$14/$B$10,"")</f>
        <v/>
      </c>
      <c r="I41" s="15">
        <f>=IFERROR(G41/H41,"")</f>
        <v/>
      </c>
      <c r="J41" s="16" t="n">
        <v>0.001666666666666667</v>
      </c>
      <c r="K41" s="11" t="inlineStr">
        <is>
          <t>LPD05998</t>
        </is>
      </c>
      <c r="L41" s="17" t="inlineStr">
        <is>
          <t>VENDA</t>
        </is>
      </c>
    </row>
    <row r="42" ht="18" customHeight="1">
      <c r="A42" s="10" t="inlineStr">
        <is>
          <t>G1</t>
        </is>
      </c>
      <c r="B42" s="10" t="inlineStr">
        <is>
          <t>☐</t>
        </is>
      </c>
      <c r="C42" s="10" t="inlineStr">
        <is>
          <t>WS06</t>
        </is>
      </c>
      <c r="D42" s="11" t="inlineStr">
        <is>
          <t>OP-0034</t>
        </is>
      </c>
      <c r="E42" s="12" t="inlineStr">
        <is>
          <t>Lining folding</t>
        </is>
      </c>
      <c r="F42" s="13" t="n">
        <v>6</v>
      </c>
      <c r="G42" s="14">
        <f>=SUMIF($C$17:$C$502,C42,$F$17:$F$502)</f>
        <v/>
      </c>
      <c r="H42" s="14">
        <f>=IFERROR($B$14/$B$10,"")</f>
        <v/>
      </c>
      <c r="I42" s="15">
        <f>=IFERROR(G42/H42,"")</f>
        <v/>
      </c>
      <c r="J42" s="16" t="n">
        <v>0.001666666666666667</v>
      </c>
      <c r="K42" s="11" t="inlineStr">
        <is>
          <t>LPD05998</t>
        </is>
      </c>
      <c r="L42" s="17" t="inlineStr">
        <is>
          <t>VENDA</t>
        </is>
      </c>
    </row>
    <row r="43" ht="18" customHeight="1">
      <c r="A43" s="10" t="inlineStr">
        <is>
          <t>G1</t>
        </is>
      </c>
      <c r="B43" s="10" t="inlineStr">
        <is>
          <t>☐</t>
        </is>
      </c>
      <c r="C43" s="10" t="inlineStr">
        <is>
          <t>WS06</t>
        </is>
      </c>
      <c r="D43" s="11" t="inlineStr">
        <is>
          <t>OP-0035</t>
        </is>
      </c>
      <c r="E43" s="12" t="inlineStr">
        <is>
          <t>Pasting on lining &amp; beeding</t>
        </is>
      </c>
      <c r="F43" s="13" t="n">
        <v>8</v>
      </c>
      <c r="G43" s="14">
        <f>=SUMIF($C$17:$C$502,C43,$F$17:$F$502)</f>
        <v/>
      </c>
      <c r="H43" s="14">
        <f>=IFERROR($B$14/$B$10,"")</f>
        <v/>
      </c>
      <c r="I43" s="15">
        <f>=IFERROR(G43/H43,"")</f>
        <v/>
      </c>
      <c r="J43" s="16" t="n">
        <v>0.002222222222222222</v>
      </c>
      <c r="K43" s="11" t="inlineStr">
        <is>
          <t>LPD05998</t>
        </is>
      </c>
      <c r="L43" s="17" t="inlineStr">
        <is>
          <t>VENDA</t>
        </is>
      </c>
    </row>
    <row r="44" ht="18" customHeight="1">
      <c r="A44" s="10" t="inlineStr">
        <is>
          <t>G1</t>
        </is>
      </c>
      <c r="B44" s="10" t="inlineStr">
        <is>
          <t>☐</t>
        </is>
      </c>
      <c r="C44" s="10" t="inlineStr">
        <is>
          <t>WS06</t>
        </is>
      </c>
      <c r="D44" s="11" t="inlineStr">
        <is>
          <t>OP-0036</t>
        </is>
      </c>
      <c r="E44" s="12" t="inlineStr">
        <is>
          <t>Attaching lining with beeding</t>
        </is>
      </c>
      <c r="F44" s="13" t="n">
        <v>8</v>
      </c>
      <c r="G44" s="14">
        <f>=SUMIF($C$17:$C$502,C44,$F$17:$F$502)</f>
        <v/>
      </c>
      <c r="H44" s="14">
        <f>=IFERROR($B$14/$B$10,"")</f>
        <v/>
      </c>
      <c r="I44" s="15">
        <f>=IFERROR(G44/H44,"")</f>
        <v/>
      </c>
      <c r="J44" s="16" t="n">
        <v>0.002222222222222222</v>
      </c>
      <c r="K44" s="11" t="inlineStr">
        <is>
          <t>LPD05998</t>
        </is>
      </c>
      <c r="L44" s="17" t="inlineStr">
        <is>
          <t>VENDA</t>
        </is>
      </c>
    </row>
    <row r="45" ht="18" customHeight="1">
      <c r="A45" s="10" t="inlineStr">
        <is>
          <t>G1</t>
        </is>
      </c>
      <c r="B45" s="10" t="inlineStr">
        <is>
          <t>☐</t>
        </is>
      </c>
      <c r="C45" s="10" t="inlineStr">
        <is>
          <t>WS07</t>
        </is>
      </c>
      <c r="D45" s="11" t="inlineStr">
        <is>
          <t>OP-0037</t>
        </is>
      </c>
      <c r="E45" s="12" t="inlineStr">
        <is>
          <t>Pasting on patti</t>
        </is>
      </c>
      <c r="F45" s="13" t="n">
        <v>4</v>
      </c>
      <c r="G45" s="14">
        <f>=SUMIF($C$17:$C$502,C45,$F$17:$F$502)</f>
        <v/>
      </c>
      <c r="H45" s="14">
        <f>=IFERROR($B$14/$B$10,"")</f>
        <v/>
      </c>
      <c r="I45" s="15">
        <f>=IFERROR(G45/H45,"")</f>
        <v/>
      </c>
      <c r="J45" s="16" t="n">
        <v>0.001111111111111111</v>
      </c>
      <c r="K45" s="11" t="inlineStr">
        <is>
          <t>LPD11099</t>
        </is>
      </c>
      <c r="L45" s="17" t="inlineStr">
        <is>
          <t>TAMIL ARASI</t>
        </is>
      </c>
    </row>
    <row r="46" ht="18" customHeight="1">
      <c r="A46" s="10" t="inlineStr">
        <is>
          <t>G1</t>
        </is>
      </c>
      <c r="B46" s="10" t="inlineStr">
        <is>
          <t>☐</t>
        </is>
      </c>
      <c r="C46" s="10" t="inlineStr">
        <is>
          <t>WS07</t>
        </is>
      </c>
      <c r="D46" s="11" t="inlineStr">
        <is>
          <t>OP-0038</t>
        </is>
      </c>
      <c r="E46" s="12" t="inlineStr">
        <is>
          <t>Attaching step patti (1*1Nos)</t>
        </is>
      </c>
      <c r="F46" s="13" t="n">
        <v>5</v>
      </c>
      <c r="G46" s="14">
        <f>=SUMIF($C$17:$C$502,C46,$F$17:$F$502)</f>
        <v/>
      </c>
      <c r="H46" s="14">
        <f>=IFERROR($B$14/$B$10,"")</f>
        <v/>
      </c>
      <c r="I46" s="15">
        <f>=IFERROR(G46/H46,"")</f>
        <v/>
      </c>
      <c r="J46" s="16" t="n">
        <v>0.001388888888888889</v>
      </c>
      <c r="K46" s="11" t="inlineStr">
        <is>
          <t>LPD11099</t>
        </is>
      </c>
      <c r="L46" s="17" t="inlineStr">
        <is>
          <t>TAMIL ARASI</t>
        </is>
      </c>
    </row>
    <row r="47" ht="18" customHeight="1">
      <c r="A47" s="10" t="inlineStr">
        <is>
          <t>G1</t>
        </is>
      </c>
      <c r="B47" s="10" t="inlineStr">
        <is>
          <t>☐</t>
        </is>
      </c>
      <c r="C47" s="10" t="inlineStr">
        <is>
          <t>WS07</t>
        </is>
      </c>
      <c r="D47" s="11" t="inlineStr">
        <is>
          <t>OP-0039</t>
        </is>
      </c>
      <c r="E47" s="12" t="inlineStr">
        <is>
          <t>Pasting on window side patti lining</t>
        </is>
      </c>
      <c r="F47" s="13" t="n">
        <v>10</v>
      </c>
      <c r="G47" s="14">
        <f>=SUMIF($C$17:$C$502,C47,$F$17:$F$502)</f>
        <v/>
      </c>
      <c r="H47" s="14">
        <f>=IFERROR($B$14/$B$10,"")</f>
        <v/>
      </c>
      <c r="I47" s="15">
        <f>=IFERROR(G47/H47,"")</f>
        <v/>
      </c>
      <c r="J47" s="16" t="n">
        <v>0.002777777777777778</v>
      </c>
      <c r="K47" s="11" t="inlineStr">
        <is>
          <t>LPD11099</t>
        </is>
      </c>
      <c r="L47" s="17" t="inlineStr">
        <is>
          <t>TAMIL ARASI</t>
        </is>
      </c>
    </row>
    <row r="48" ht="18" customHeight="1">
      <c r="A48" s="10" t="inlineStr">
        <is>
          <t>G1</t>
        </is>
      </c>
      <c r="B48" s="10" t="inlineStr">
        <is>
          <t>☐</t>
        </is>
      </c>
      <c r="C48" s="10" t="inlineStr">
        <is>
          <t>WS07</t>
        </is>
      </c>
      <c r="D48" s="11" t="inlineStr">
        <is>
          <t>OP-0040</t>
        </is>
      </c>
      <c r="E48" s="12" t="inlineStr">
        <is>
          <t>Pasting on cc pkt</t>
        </is>
      </c>
      <c r="F48" s="13" t="n">
        <v>10</v>
      </c>
      <c r="G48" s="14">
        <f>=SUMIF($C$17:$C$502,C48,$F$17:$F$502)</f>
        <v/>
      </c>
      <c r="H48" s="14">
        <f>=IFERROR($B$14/$B$10,"")</f>
        <v/>
      </c>
      <c r="I48" s="15">
        <f>=IFERROR(G48/H48,"")</f>
        <v/>
      </c>
      <c r="J48" s="16" t="n">
        <v>0.002777777777777778</v>
      </c>
      <c r="K48" s="11" t="inlineStr">
        <is>
          <t>LPD11099</t>
        </is>
      </c>
      <c r="L48" s="17" t="inlineStr">
        <is>
          <t>TAMIL ARASI</t>
        </is>
      </c>
    </row>
    <row r="49" ht="18" customHeight="1">
      <c r="A49" s="10" t="inlineStr">
        <is>
          <t>G1</t>
        </is>
      </c>
      <c r="B49" s="10" t="inlineStr">
        <is>
          <t>☐</t>
        </is>
      </c>
      <c r="C49" s="10" t="inlineStr">
        <is>
          <t>WS07</t>
        </is>
      </c>
      <c r="D49" s="11" t="inlineStr">
        <is>
          <t>OP-0041</t>
        </is>
      </c>
      <c r="E49" s="12" t="inlineStr">
        <is>
          <t>Attaching step patti (1Nos)</t>
        </is>
      </c>
      <c r="F49" s="13" t="n">
        <v>10</v>
      </c>
      <c r="G49" s="14">
        <f>=SUMIF($C$17:$C$502,C49,$F$17:$F$502)</f>
        <v/>
      </c>
      <c r="H49" s="14">
        <f>=IFERROR($B$14/$B$10,"")</f>
        <v/>
      </c>
      <c r="I49" s="15">
        <f>=IFERROR(G49/H49,"")</f>
        <v/>
      </c>
      <c r="J49" s="16" t="n">
        <v>0.002777777777777778</v>
      </c>
      <c r="K49" s="11" t="inlineStr">
        <is>
          <t>LPD11099</t>
        </is>
      </c>
      <c r="L49" s="17" t="inlineStr">
        <is>
          <t>TAMIL ARASI</t>
        </is>
      </c>
    </row>
    <row r="50" ht="18" customHeight="1">
      <c r="A50" s="10" t="inlineStr">
        <is>
          <t>G1</t>
        </is>
      </c>
      <c r="B50" s="10" t="inlineStr">
        <is>
          <t>☐</t>
        </is>
      </c>
      <c r="C50" s="10" t="inlineStr">
        <is>
          <t>WS07</t>
        </is>
      </c>
      <c r="D50" s="11" t="inlineStr">
        <is>
          <t>OP-0040</t>
        </is>
      </c>
      <c r="E50" s="12" t="inlineStr">
        <is>
          <t>Pasting on cc pkt</t>
        </is>
      </c>
      <c r="F50" s="13" t="n">
        <v>8</v>
      </c>
      <c r="G50" s="14">
        <f>=SUMIF($C$17:$C$502,C50,$F$17:$F$502)</f>
        <v/>
      </c>
      <c r="H50" s="14">
        <f>=IFERROR($B$14/$B$10,"")</f>
        <v/>
      </c>
      <c r="I50" s="15">
        <f>=IFERROR(G50/H50,"")</f>
        <v/>
      </c>
      <c r="J50" s="16" t="n">
        <v>0.002222222222222222</v>
      </c>
      <c r="K50" s="11" t="inlineStr">
        <is>
          <t>LPD11099</t>
        </is>
      </c>
      <c r="L50" s="17" t="inlineStr">
        <is>
          <t>TAMIL ARASI</t>
        </is>
      </c>
    </row>
    <row r="51" ht="18" customHeight="1">
      <c r="A51" s="10" t="inlineStr">
        <is>
          <t>G1</t>
        </is>
      </c>
      <c r="B51" s="10" t="inlineStr">
        <is>
          <t>☐</t>
        </is>
      </c>
      <c r="C51" s="10" t="inlineStr">
        <is>
          <t>WS07</t>
        </is>
      </c>
      <c r="D51" s="11" t="inlineStr">
        <is>
          <t>OP-0042</t>
        </is>
      </c>
      <c r="E51" s="12" t="inlineStr">
        <is>
          <t>Pasting on window</t>
        </is>
      </c>
      <c r="F51" s="13" t="n">
        <v>8</v>
      </c>
      <c r="G51" s="14">
        <f>=SUMIF($C$17:$C$502,C51,$F$17:$F$502)</f>
        <v/>
      </c>
      <c r="H51" s="14">
        <f>=IFERROR($B$14/$B$10,"")</f>
        <v/>
      </c>
      <c r="I51" s="15">
        <f>=IFERROR(G51/H51,"")</f>
        <v/>
      </c>
      <c r="J51" s="16" t="n">
        <v>0.002222222222222222</v>
      </c>
      <c r="K51" s="11" t="inlineStr">
        <is>
          <t>LPD11099</t>
        </is>
      </c>
      <c r="L51" s="17" t="inlineStr">
        <is>
          <t>TAMIL ARASI</t>
        </is>
      </c>
    </row>
    <row r="52" ht="18" customHeight="1">
      <c r="A52" s="10" t="inlineStr">
        <is>
          <t>G1</t>
        </is>
      </c>
      <c r="B52" s="10" t="inlineStr">
        <is>
          <t>☐</t>
        </is>
      </c>
      <c r="C52" s="10" t="inlineStr">
        <is>
          <t>WS07</t>
        </is>
      </c>
      <c r="D52" s="11" t="inlineStr">
        <is>
          <t>OP-0043</t>
        </is>
      </c>
      <c r="E52" s="12" t="inlineStr">
        <is>
          <t>Attaching window with cc pkt</t>
        </is>
      </c>
      <c r="F52" s="13" t="n">
        <v>10</v>
      </c>
      <c r="G52" s="14">
        <f>=SUMIF($C$17:$C$502,C52,$F$17:$F$502)</f>
        <v/>
      </c>
      <c r="H52" s="14">
        <f>=IFERROR($B$14/$B$10,"")</f>
        <v/>
      </c>
      <c r="I52" s="15">
        <f>=IFERROR(G52/H52,"")</f>
        <v/>
      </c>
      <c r="J52" s="16" t="n">
        <v>0.002777777777777778</v>
      </c>
      <c r="K52" s="11" t="inlineStr">
        <is>
          <t>LPD11099</t>
        </is>
      </c>
      <c r="L52" s="17" t="inlineStr">
        <is>
          <t>TAMIL ARASI</t>
        </is>
      </c>
    </row>
    <row r="53" ht="18" customHeight="1">
      <c r="A53" s="10" t="inlineStr">
        <is>
          <t>G1</t>
        </is>
      </c>
      <c r="B53" s="10" t="inlineStr">
        <is>
          <t>☐</t>
        </is>
      </c>
      <c r="C53" s="10" t="inlineStr">
        <is>
          <t>WS08</t>
        </is>
      </c>
      <c r="D53" s="11" t="inlineStr">
        <is>
          <t>OP-0044</t>
        </is>
      </c>
      <c r="E53" s="12" t="inlineStr">
        <is>
          <t>Stitching the window side</t>
        </is>
      </c>
      <c r="F53" s="13" t="n">
        <v>14</v>
      </c>
      <c r="G53" s="14">
        <f>=SUMIF($C$17:$C$502,C53,$F$17:$F$502)</f>
        <v/>
      </c>
      <c r="H53" s="14">
        <f>=IFERROR($B$14/$B$10,"")</f>
        <v/>
      </c>
      <c r="I53" s="15">
        <f>=IFERROR(G53/H53,"")</f>
        <v/>
      </c>
      <c r="J53" s="16" t="n">
        <v>0.003888888888888889</v>
      </c>
      <c r="K53" s="11" t="inlineStr">
        <is>
          <t>LPD11420</t>
        </is>
      </c>
      <c r="L53" s="17" t="inlineStr">
        <is>
          <t>KALPANA</t>
        </is>
      </c>
    </row>
    <row r="54" ht="18" customHeight="1">
      <c r="A54" s="10" t="inlineStr">
        <is>
          <t>G1</t>
        </is>
      </c>
      <c r="B54" s="10" t="inlineStr">
        <is>
          <t>☐</t>
        </is>
      </c>
      <c r="C54" s="10" t="inlineStr">
        <is>
          <t>WS08</t>
        </is>
      </c>
      <c r="D54" s="11" t="inlineStr">
        <is>
          <t>OP-0045</t>
        </is>
      </c>
      <c r="E54" s="12" t="inlineStr">
        <is>
          <t>Stitching the cc pkt on Sides</t>
        </is>
      </c>
      <c r="F54" s="13" t="n">
        <v>16</v>
      </c>
      <c r="G54" s="14">
        <f>=SUMIF($C$17:$C$502,C54,$F$17:$F$502)</f>
        <v/>
      </c>
      <c r="H54" s="14">
        <f>=IFERROR($B$14/$B$10,"")</f>
        <v/>
      </c>
      <c r="I54" s="15">
        <f>=IFERROR(G54/H54,"")</f>
        <v/>
      </c>
      <c r="J54" s="16" t="n">
        <v>0.004444444444444444</v>
      </c>
      <c r="K54" s="11" t="inlineStr">
        <is>
          <t>LPD11420</t>
        </is>
      </c>
      <c r="L54" s="17" t="inlineStr">
        <is>
          <t>KALPANA</t>
        </is>
      </c>
    </row>
    <row r="55" ht="18" customHeight="1">
      <c r="A55" s="10" t="inlineStr">
        <is>
          <t>G1</t>
        </is>
      </c>
      <c r="B55" s="10" t="inlineStr">
        <is>
          <t>☐</t>
        </is>
      </c>
      <c r="C55" s="10" t="inlineStr">
        <is>
          <t>WS08</t>
        </is>
      </c>
      <c r="D55" s="11" t="inlineStr">
        <is>
          <t>OP-0046</t>
        </is>
      </c>
      <c r="E55" s="12" t="inlineStr">
        <is>
          <t>Stitching cc pkt lining side ( half stitch)</t>
        </is>
      </c>
      <c r="F55" s="13" t="n">
        <v>18</v>
      </c>
      <c r="G55" s="14">
        <f>=SUMIF($C$17:$C$502,C55,$F$17:$F$502)</f>
        <v/>
      </c>
      <c r="H55" s="14">
        <f>=IFERROR($B$14/$B$10,"")</f>
        <v/>
      </c>
      <c r="I55" s="15">
        <f>=IFERROR(G55/H55,"")</f>
        <v/>
      </c>
      <c r="J55" s="16" t="n">
        <v>0.005</v>
      </c>
      <c r="K55" s="11" t="inlineStr">
        <is>
          <t>LPD11420</t>
        </is>
      </c>
      <c r="L55" s="17" t="inlineStr">
        <is>
          <t>KALPANA</t>
        </is>
      </c>
    </row>
    <row r="56" ht="18" customHeight="1">
      <c r="A56" s="10" t="inlineStr">
        <is>
          <t>G1</t>
        </is>
      </c>
      <c r="B56" s="10" t="inlineStr">
        <is>
          <t>☐</t>
        </is>
      </c>
      <c r="C56" s="10" t="inlineStr">
        <is>
          <t>WS08</t>
        </is>
      </c>
      <c r="D56" s="11" t="inlineStr">
        <is>
          <t>OP-0047</t>
        </is>
      </c>
      <c r="E56" s="12" t="inlineStr">
        <is>
          <t>Thread pulling at both sides</t>
        </is>
      </c>
      <c r="F56" s="13" t="n">
        <v>7</v>
      </c>
      <c r="G56" s="14">
        <f>=SUMIF($C$17:$C$502,C56,$F$17:$F$502)</f>
        <v/>
      </c>
      <c r="H56" s="14">
        <f>=IFERROR($B$14/$B$10,"")</f>
        <v/>
      </c>
      <c r="I56" s="15">
        <f>=IFERROR(G56/H56,"")</f>
        <v/>
      </c>
      <c r="J56" s="16" t="n">
        <v>0.001944444444444444</v>
      </c>
      <c r="K56" s="11" t="inlineStr">
        <is>
          <t>LPD11420</t>
        </is>
      </c>
      <c r="L56" s="17" t="inlineStr">
        <is>
          <t>KALPANA</t>
        </is>
      </c>
    </row>
    <row r="57" ht="18" customHeight="1">
      <c r="A57" s="10" t="inlineStr">
        <is>
          <t>G2</t>
        </is>
      </c>
      <c r="B57" s="10" t="inlineStr">
        <is>
          <t>☑</t>
        </is>
      </c>
      <c r="C57" s="10" t="inlineStr">
        <is>
          <t>WS09</t>
        </is>
      </c>
      <c r="D57" s="11" t="inlineStr">
        <is>
          <t>OP-0048</t>
        </is>
      </c>
      <c r="E57" s="12" t="inlineStr">
        <is>
          <t>Stitching window with pkt</t>
        </is>
      </c>
      <c r="F57" s="13" t="n">
        <v>24</v>
      </c>
      <c r="G57" s="14">
        <f>=SUMIF($C$17:$C$502,C57,$F$17:$F$502)</f>
        <v/>
      </c>
      <c r="H57" s="14">
        <f>=IFERROR($B$14/$B$10,"")</f>
        <v/>
      </c>
      <c r="I57" s="15">
        <f>=IFERROR(G57/H57,"")</f>
        <v/>
      </c>
      <c r="J57" s="16" t="n">
        <v>0.006666666666666667</v>
      </c>
      <c r="K57" s="11" t="inlineStr">
        <is>
          <t>LPD12204</t>
        </is>
      </c>
      <c r="L57" s="17" t="inlineStr">
        <is>
          <t>KUMARI</t>
        </is>
      </c>
    </row>
    <row r="58" ht="18" customHeight="1">
      <c r="A58" s="10" t="inlineStr">
        <is>
          <t>G2</t>
        </is>
      </c>
      <c r="B58" s="10" t="inlineStr">
        <is>
          <t>☐</t>
        </is>
      </c>
      <c r="C58" s="10" t="inlineStr">
        <is>
          <t>WS09</t>
        </is>
      </c>
      <c r="D58" s="11" t="inlineStr">
        <is>
          <t>OP-0049</t>
        </is>
      </c>
      <c r="E58" s="12" t="inlineStr">
        <is>
          <t>CC Pkt side stitching ( 2nd half stitch)</t>
        </is>
      </c>
      <c r="F58" s="13" t="n">
        <v>20</v>
      </c>
      <c r="G58" s="14">
        <f>=SUMIF($C$17:$C$502,C58,$F$17:$F$502)</f>
        <v/>
      </c>
      <c r="H58" s="14">
        <f>=IFERROR($B$14/$B$10,"")</f>
        <v/>
      </c>
      <c r="I58" s="15">
        <f>=IFERROR(G58/H58,"")</f>
        <v/>
      </c>
      <c r="J58" s="16" t="n">
        <v>0.005555555555555556</v>
      </c>
      <c r="K58" s="11" t="inlineStr">
        <is>
          <t>LPD12204</t>
        </is>
      </c>
      <c r="L58" s="17" t="inlineStr">
        <is>
          <t>KUMARI</t>
        </is>
      </c>
    </row>
    <row r="59" ht="18" customHeight="1">
      <c r="A59" s="10" t="inlineStr">
        <is>
          <t>G2</t>
        </is>
      </c>
      <c r="B59" s="10" t="inlineStr">
        <is>
          <t>☐</t>
        </is>
      </c>
      <c r="C59" s="10" t="inlineStr">
        <is>
          <t>WS09</t>
        </is>
      </c>
      <c r="D59" s="11" t="inlineStr">
        <is>
          <t>OP-0050</t>
        </is>
      </c>
      <c r="E59" s="12" t="inlineStr">
        <is>
          <t>Decorative Stitching of Anchor Bit</t>
        </is>
      </c>
      <c r="F59" s="13" t="n">
        <v>12</v>
      </c>
      <c r="G59" s="14">
        <f>=SUMIF($C$17:$C$502,C59,$F$17:$F$502)</f>
        <v/>
      </c>
      <c r="H59" s="14">
        <f>=IFERROR($B$14/$B$10,"")</f>
        <v/>
      </c>
      <c r="I59" s="15">
        <f>=IFERROR(G59/H59,"")</f>
        <v/>
      </c>
      <c r="J59" s="16" t="n">
        <v>0.003333333333333334</v>
      </c>
      <c r="K59" s="11" t="inlineStr">
        <is>
          <t>LPD12204</t>
        </is>
      </c>
      <c r="L59" s="17" t="inlineStr">
        <is>
          <t>KUMARI</t>
        </is>
      </c>
    </row>
    <row r="60" ht="18" customHeight="1">
      <c r="A60" s="10" t="inlineStr">
        <is>
          <t>G2</t>
        </is>
      </c>
      <c r="B60" s="10" t="inlineStr">
        <is>
          <t>☐</t>
        </is>
      </c>
      <c r="C60" s="10" t="inlineStr">
        <is>
          <t>WS10</t>
        </is>
      </c>
      <c r="D60" s="11" t="inlineStr">
        <is>
          <t>OP-0051</t>
        </is>
      </c>
      <c r="E60" s="12" t="inlineStr">
        <is>
          <t>Pasting top leather &amp; facing leather</t>
        </is>
      </c>
      <c r="F60" s="13" t="n">
        <v>12</v>
      </c>
      <c r="G60" s="14">
        <f>=SUMIF($C$17:$C$502,C60,$F$17:$F$502)</f>
        <v/>
      </c>
      <c r="H60" s="14">
        <f>=IFERROR($B$14/$B$10,"")</f>
        <v/>
      </c>
      <c r="I60" s="15">
        <f>=IFERROR(G60/H60,"")</f>
        <v/>
      </c>
      <c r="J60" s="16" t="n">
        <v>0.003333333333333334</v>
      </c>
      <c r="K60" s="11" t="inlineStr">
        <is>
          <t>LPDS94748</t>
        </is>
      </c>
      <c r="L60" s="17" t="inlineStr">
        <is>
          <t>JAYA KODI</t>
        </is>
      </c>
    </row>
    <row r="61" ht="18" customHeight="1">
      <c r="A61" s="10" t="inlineStr">
        <is>
          <t>G2</t>
        </is>
      </c>
      <c r="B61" s="10" t="inlineStr">
        <is>
          <t>☐</t>
        </is>
      </c>
      <c r="C61" s="10" t="inlineStr">
        <is>
          <t>WS10</t>
        </is>
      </c>
      <c r="D61" s="11" t="inlineStr">
        <is>
          <t>OP-0052</t>
        </is>
      </c>
      <c r="E61" s="12" t="inlineStr">
        <is>
          <t>Attaching top &amp; facing leather</t>
        </is>
      </c>
      <c r="F61" s="13" t="n">
        <v>28</v>
      </c>
      <c r="G61" s="14">
        <f>=SUMIF($C$17:$C$502,C61,$F$17:$F$502)</f>
        <v/>
      </c>
      <c r="H61" s="14">
        <f>=IFERROR($B$14/$B$10,"")</f>
        <v/>
      </c>
      <c r="I61" s="15">
        <f>=IFERROR(G61/H61,"")</f>
        <v/>
      </c>
      <c r="J61" s="16" t="n">
        <v>0.007777777777777778</v>
      </c>
      <c r="K61" s="11" t="inlineStr">
        <is>
          <t>LPDS94748</t>
        </is>
      </c>
      <c r="L61" s="17" t="inlineStr">
        <is>
          <t>JAYA KODI</t>
        </is>
      </c>
    </row>
    <row r="62" ht="18" customHeight="1">
      <c r="A62" s="10" t="inlineStr">
        <is>
          <t>G1</t>
        </is>
      </c>
      <c r="B62" s="10" t="inlineStr">
        <is>
          <t>☐</t>
        </is>
      </c>
      <c r="C62" s="10" t="inlineStr">
        <is>
          <t>WS11</t>
        </is>
      </c>
      <c r="D62" s="11" t="inlineStr">
        <is>
          <t>OP-0053</t>
        </is>
      </c>
      <c r="E62" s="12" t="inlineStr">
        <is>
          <t>Lamping</t>
        </is>
      </c>
      <c r="F62" s="13" t="n">
        <v>7</v>
      </c>
      <c r="G62" s="14">
        <f>=SUMIF($C$17:$C$502,C62,$F$17:$F$502)</f>
        <v/>
      </c>
      <c r="H62" s="14">
        <f>=IFERROR($B$14/$B$10,"")</f>
        <v/>
      </c>
      <c r="I62" s="15">
        <f>=IFERROR(G62/H62,"")</f>
        <v/>
      </c>
      <c r="J62" s="16" t="n">
        <v>0.001944444444444444</v>
      </c>
      <c r="K62" s="11" t="inlineStr">
        <is>
          <t>LPDS95254</t>
        </is>
      </c>
      <c r="L62" s="17" t="inlineStr">
        <is>
          <t>AMREEN</t>
        </is>
      </c>
    </row>
    <row r="63" ht="18" customHeight="1">
      <c r="A63" s="10" t="inlineStr">
        <is>
          <t>G1</t>
        </is>
      </c>
      <c r="B63" s="10" t="inlineStr">
        <is>
          <t>☐</t>
        </is>
      </c>
      <c r="C63" s="10" t="inlineStr">
        <is>
          <t>WS11</t>
        </is>
      </c>
      <c r="D63" s="11" t="inlineStr">
        <is>
          <t>OP-0053</t>
        </is>
      </c>
      <c r="E63" s="12" t="inlineStr">
        <is>
          <t>Lamping</t>
        </is>
      </c>
      <c r="F63" s="13" t="n">
        <v>7</v>
      </c>
      <c r="G63" s="14">
        <f>=SUMIF($C$17:$C$502,C63,$F$17:$F$502)</f>
        <v/>
      </c>
      <c r="H63" s="14">
        <f>=IFERROR($B$14/$B$10,"")</f>
        <v/>
      </c>
      <c r="I63" s="15">
        <f>=IFERROR(G63/H63,"")</f>
        <v/>
      </c>
      <c r="J63" s="16" t="n">
        <v>0.001944444444444444</v>
      </c>
      <c r="K63" s="11" t="inlineStr">
        <is>
          <t>LPDS95254</t>
        </is>
      </c>
      <c r="L63" s="17" t="inlineStr">
        <is>
          <t>AMREEN</t>
        </is>
      </c>
    </row>
    <row r="64" ht="18" customHeight="1">
      <c r="A64" s="10" t="inlineStr">
        <is>
          <t>G1</t>
        </is>
      </c>
      <c r="B64" s="10" t="inlineStr">
        <is>
          <t>☐</t>
        </is>
      </c>
      <c r="C64" s="10" t="inlineStr">
        <is>
          <t>WS11</t>
        </is>
      </c>
      <c r="D64" s="11" t="inlineStr">
        <is>
          <t>OP-0053</t>
        </is>
      </c>
      <c r="E64" s="12" t="inlineStr">
        <is>
          <t>Lamping</t>
        </is>
      </c>
      <c r="F64" s="13" t="n">
        <v>8</v>
      </c>
      <c r="G64" s="14">
        <f>=SUMIF($C$17:$C$502,C64,$F$17:$F$502)</f>
        <v/>
      </c>
      <c r="H64" s="14">
        <f>=IFERROR($B$14/$B$10,"")</f>
        <v/>
      </c>
      <c r="I64" s="15">
        <f>=IFERROR(G64/H64,"")</f>
        <v/>
      </c>
      <c r="J64" s="16" t="n">
        <v>0.002222222222222222</v>
      </c>
      <c r="K64" s="11" t="inlineStr">
        <is>
          <t>LPDS95254</t>
        </is>
      </c>
      <c r="L64" s="17" t="inlineStr">
        <is>
          <t>AMREEN</t>
        </is>
      </c>
    </row>
    <row r="65" ht="18" customHeight="1">
      <c r="A65" s="10" t="inlineStr">
        <is>
          <t>G1</t>
        </is>
      </c>
      <c r="B65" s="10" t="inlineStr">
        <is>
          <t>☐</t>
        </is>
      </c>
      <c r="C65" s="10" t="inlineStr">
        <is>
          <t>WS11</t>
        </is>
      </c>
      <c r="D65" s="11" t="inlineStr">
        <is>
          <t>OP-0053</t>
        </is>
      </c>
      <c r="E65" s="12" t="inlineStr">
        <is>
          <t>Lamping</t>
        </is>
      </c>
      <c r="F65" s="13" t="n">
        <v>8</v>
      </c>
      <c r="G65" s="14">
        <f>=SUMIF($C$17:$C$502,C65,$F$17:$F$502)</f>
        <v/>
      </c>
      <c r="H65" s="14">
        <f>=IFERROR($B$14/$B$10,"")</f>
        <v/>
      </c>
      <c r="I65" s="15">
        <f>=IFERROR(G65/H65,"")</f>
        <v/>
      </c>
      <c r="J65" s="16" t="n">
        <v>0.002222222222222222</v>
      </c>
      <c r="K65" s="11" t="inlineStr">
        <is>
          <t>LPDS95254</t>
        </is>
      </c>
      <c r="L65" s="17" t="inlineStr">
        <is>
          <t>AMREEN</t>
        </is>
      </c>
    </row>
    <row r="66" ht="18" customHeight="1">
      <c r="A66" s="10" t="inlineStr">
        <is>
          <t>G1</t>
        </is>
      </c>
      <c r="B66" s="10" t="inlineStr">
        <is>
          <t>☐</t>
        </is>
      </c>
      <c r="C66" s="10" t="inlineStr">
        <is>
          <t>WS11</t>
        </is>
      </c>
      <c r="D66" s="11" t="inlineStr">
        <is>
          <t>OP-0054</t>
        </is>
      </c>
      <c r="E66" s="12" t="inlineStr">
        <is>
          <t>Lamping of anchor tab bit</t>
        </is>
      </c>
      <c r="F66" s="13" t="n">
        <v>8</v>
      </c>
      <c r="G66" s="14">
        <f>=SUMIF($C$17:$C$502,C66,$F$17:$F$502)</f>
        <v/>
      </c>
      <c r="H66" s="14">
        <f>=IFERROR($B$14/$B$10,"")</f>
        <v/>
      </c>
      <c r="I66" s="15">
        <f>=IFERROR(G66/H66,"")</f>
        <v/>
      </c>
      <c r="J66" s="16" t="n">
        <v>0.002222222222222222</v>
      </c>
      <c r="K66" s="11" t="inlineStr">
        <is>
          <t>LPDS95254</t>
        </is>
      </c>
      <c r="L66" s="17" t="inlineStr">
        <is>
          <t>AMREEN</t>
        </is>
      </c>
    </row>
    <row r="67" ht="18" customHeight="1">
      <c r="A67" s="10" t="inlineStr">
        <is>
          <t>G1</t>
        </is>
      </c>
      <c r="B67" s="10" t="inlineStr">
        <is>
          <t>☐</t>
        </is>
      </c>
      <c r="C67" s="10" t="inlineStr">
        <is>
          <t>WS11</t>
        </is>
      </c>
      <c r="D67" s="11" t="inlineStr">
        <is>
          <t>OP-0053</t>
        </is>
      </c>
      <c r="E67" s="12" t="inlineStr">
        <is>
          <t>Lamping</t>
        </is>
      </c>
      <c r="F67" s="13" t="n">
        <v>6</v>
      </c>
      <c r="G67" s="14">
        <f>=SUMIF($C$17:$C$502,C67,$F$17:$F$502)</f>
        <v/>
      </c>
      <c r="H67" s="14">
        <f>=IFERROR($B$14/$B$10,"")</f>
        <v/>
      </c>
      <c r="I67" s="15">
        <f>=IFERROR(G67/H67,"")</f>
        <v/>
      </c>
      <c r="J67" s="16" t="n">
        <v>0.001666666666666667</v>
      </c>
      <c r="K67" s="11" t="inlineStr">
        <is>
          <t>LPDS95254</t>
        </is>
      </c>
      <c r="L67" s="17" t="inlineStr">
        <is>
          <t>AMREEN</t>
        </is>
      </c>
    </row>
    <row r="68" ht="18" customHeight="1">
      <c r="A68" s="10" t="inlineStr">
        <is>
          <t>G2</t>
        </is>
      </c>
      <c r="B68" s="10" t="inlineStr">
        <is>
          <t>☐</t>
        </is>
      </c>
      <c r="C68" s="10" t="inlineStr">
        <is>
          <t>WS12</t>
        </is>
      </c>
      <c r="D68" s="11" t="inlineStr">
        <is>
          <t>OP-0055</t>
        </is>
      </c>
      <c r="E68" s="12" t="inlineStr">
        <is>
          <t>Pressing</t>
        </is>
      </c>
      <c r="F68" s="13" t="n">
        <v>8</v>
      </c>
      <c r="G68" s="14">
        <f>=SUMIF($C$17:$C$502,C68,$F$17:$F$502)</f>
        <v/>
      </c>
      <c r="H68" s="14">
        <f>=IFERROR($B$14/$B$10,"")</f>
        <v/>
      </c>
      <c r="I68" s="15">
        <f>=IFERROR(G68/H68,"")</f>
        <v/>
      </c>
      <c r="J68" s="16" t="n">
        <v>0.002222222222222222</v>
      </c>
      <c r="K68" s="11" t="inlineStr">
        <is>
          <t>LPD11272</t>
        </is>
      </c>
      <c r="L68" s="17" t="inlineStr">
        <is>
          <t>IRFAN</t>
        </is>
      </c>
    </row>
    <row r="69" ht="18" customHeight="1">
      <c r="A69" s="10" t="inlineStr">
        <is>
          <t>G2</t>
        </is>
      </c>
      <c r="B69" s="10" t="inlineStr">
        <is>
          <t>☐</t>
        </is>
      </c>
      <c r="C69" s="10" t="inlineStr">
        <is>
          <t>WS12</t>
        </is>
      </c>
      <c r="D69" s="11" t="inlineStr">
        <is>
          <t>OP-0014</t>
        </is>
      </c>
      <c r="E69" s="12" t="inlineStr">
        <is>
          <t>Heating</t>
        </is>
      </c>
      <c r="F69" s="13" t="n">
        <v>11</v>
      </c>
      <c r="G69" s="14">
        <f>=SUMIF($C$17:$C$502,C69,$F$17:$F$502)</f>
        <v/>
      </c>
      <c r="H69" s="14">
        <f>=IFERROR($B$14/$B$10,"")</f>
        <v/>
      </c>
      <c r="I69" s="15">
        <f>=IFERROR(G69/H69,"")</f>
        <v/>
      </c>
      <c r="J69" s="16" t="n">
        <v>0.003055555555555556</v>
      </c>
      <c r="K69" s="11" t="inlineStr">
        <is>
          <t>LPD11272</t>
        </is>
      </c>
      <c r="L69" s="17" t="inlineStr">
        <is>
          <t>IRFAN</t>
        </is>
      </c>
    </row>
    <row r="70" ht="18" customHeight="1">
      <c r="A70" s="10" t="inlineStr">
        <is>
          <t>G2</t>
        </is>
      </c>
      <c r="B70" s="10" t="inlineStr">
        <is>
          <t>☐</t>
        </is>
      </c>
      <c r="C70" s="10" t="inlineStr">
        <is>
          <t>WS12</t>
        </is>
      </c>
      <c r="D70" s="11" t="inlineStr">
        <is>
          <t>OP-0056</t>
        </is>
      </c>
      <c r="E70" s="12" t="inlineStr">
        <is>
          <t>Primer</t>
        </is>
      </c>
      <c r="F70" s="13" t="n">
        <v>14</v>
      </c>
      <c r="G70" s="14">
        <f>=SUMIF($C$17:$C$502,C70,$F$17:$F$502)</f>
        <v/>
      </c>
      <c r="H70" s="14">
        <f>=IFERROR($B$14/$B$10,"")</f>
        <v/>
      </c>
      <c r="I70" s="15">
        <f>=IFERROR(G70/H70,"")</f>
        <v/>
      </c>
      <c r="J70" s="16" t="n">
        <v>0.003888888888888889</v>
      </c>
      <c r="K70" s="11" t="inlineStr">
        <is>
          <t>LPD11272</t>
        </is>
      </c>
      <c r="L70" s="17" t="inlineStr">
        <is>
          <t>IRFAN</t>
        </is>
      </c>
    </row>
    <row r="71" ht="18" customHeight="1">
      <c r="A71" s="10" t="inlineStr">
        <is>
          <t>G2</t>
        </is>
      </c>
      <c r="B71" s="10" t="inlineStr">
        <is>
          <t>☐</t>
        </is>
      </c>
      <c r="C71" s="10" t="inlineStr">
        <is>
          <t>WS12</t>
        </is>
      </c>
      <c r="D71" s="11" t="inlineStr">
        <is>
          <t>OP-0056</t>
        </is>
      </c>
      <c r="E71" s="12" t="inlineStr">
        <is>
          <t>Primer</t>
        </is>
      </c>
      <c r="F71" s="13" t="n">
        <v>14</v>
      </c>
      <c r="G71" s="14">
        <f>=SUMIF($C$17:$C$502,C71,$F$17:$F$502)</f>
        <v/>
      </c>
      <c r="H71" s="14">
        <f>=IFERROR($B$14/$B$10,"")</f>
        <v/>
      </c>
      <c r="I71" s="15">
        <f>=IFERROR(G71/H71,"")</f>
        <v/>
      </c>
      <c r="J71" s="16" t="n">
        <v>0.003888888888888889</v>
      </c>
      <c r="K71" s="11" t="inlineStr">
        <is>
          <t>LPD11272</t>
        </is>
      </c>
      <c r="L71" s="17" t="inlineStr">
        <is>
          <t>IRFAN</t>
        </is>
      </c>
    </row>
    <row r="72" ht="18" customHeight="1">
      <c r="A72" s="10" t="inlineStr">
        <is>
          <t>G2</t>
        </is>
      </c>
      <c r="B72" s="10" t="inlineStr">
        <is>
          <t>☐</t>
        </is>
      </c>
      <c r="C72" s="10" t="inlineStr">
        <is>
          <t>WS12</t>
        </is>
      </c>
      <c r="D72" s="11" t="inlineStr">
        <is>
          <t>OP-0057</t>
        </is>
      </c>
      <c r="E72" s="12" t="inlineStr">
        <is>
          <t>Edge Inking</t>
        </is>
      </c>
      <c r="F72" s="13" t="n">
        <v>14</v>
      </c>
      <c r="G72" s="14">
        <f>=SUMIF($C$17:$C$502,C72,$F$17:$F$502)</f>
        <v/>
      </c>
      <c r="H72" s="14">
        <f>=IFERROR($B$14/$B$10,"")</f>
        <v/>
      </c>
      <c r="I72" s="15">
        <f>=IFERROR(G72/H72,"")</f>
        <v/>
      </c>
      <c r="J72" s="16" t="n">
        <v>0.003888888888888889</v>
      </c>
      <c r="K72" s="11" t="inlineStr">
        <is>
          <t>LPD11272</t>
        </is>
      </c>
      <c r="L72" s="17" t="inlineStr">
        <is>
          <t>IRFAN</t>
        </is>
      </c>
    </row>
    <row r="73" ht="18" customHeight="1">
      <c r="A73" s="10" t="inlineStr">
        <is>
          <t>G1</t>
        </is>
      </c>
      <c r="B73" s="10" t="inlineStr">
        <is>
          <t>☐</t>
        </is>
      </c>
      <c r="C73" s="10" t="inlineStr">
        <is>
          <t>WS13</t>
        </is>
      </c>
      <c r="D73" s="11" t="inlineStr">
        <is>
          <t>OP-0058</t>
        </is>
      </c>
      <c r="E73" s="12" t="inlineStr">
        <is>
          <t>Primer 1</t>
        </is>
      </c>
      <c r="F73" s="13" t="n">
        <v>10</v>
      </c>
      <c r="G73" s="14">
        <f>=SUMIF($C$17:$C$502,C73,$F$17:$F$502)</f>
        <v/>
      </c>
      <c r="H73" s="14">
        <f>=IFERROR($B$14/$B$10,"")</f>
        <v/>
      </c>
      <c r="I73" s="15">
        <f>=IFERROR(G73/H73,"")</f>
        <v/>
      </c>
      <c r="J73" s="16" t="n">
        <v>0.002777777777777778</v>
      </c>
      <c r="K73" s="11" t="inlineStr">
        <is>
          <t>LPD10889</t>
        </is>
      </c>
      <c r="L73" s="17" t="inlineStr">
        <is>
          <t>PUNITHA</t>
        </is>
      </c>
    </row>
    <row r="74" ht="18" customHeight="1">
      <c r="A74" s="10" t="inlineStr">
        <is>
          <t>G1</t>
        </is>
      </c>
      <c r="B74" s="10" t="inlineStr">
        <is>
          <t>☐</t>
        </is>
      </c>
      <c r="C74" s="10" t="inlineStr">
        <is>
          <t>WS14</t>
        </is>
      </c>
      <c r="D74" s="11" t="inlineStr">
        <is>
          <t>OP-0058</t>
        </is>
      </c>
      <c r="E74" s="12" t="inlineStr">
        <is>
          <t>Primer 1</t>
        </is>
      </c>
      <c r="F74" s="13" t="n">
        <v>10</v>
      </c>
      <c r="G74" s="14">
        <f>=SUMIF($C$17:$C$502,C74,$F$17:$F$502)</f>
        <v/>
      </c>
      <c r="H74" s="14">
        <f>=IFERROR($B$14/$B$10,"")</f>
        <v/>
      </c>
      <c r="I74" s="15">
        <f>=IFERROR(G74/H74,"")</f>
        <v/>
      </c>
      <c r="J74" s="16" t="n">
        <v>0.002777777777777778</v>
      </c>
      <c r="K74" s="11" t="inlineStr">
        <is>
          <t>LPD11089</t>
        </is>
      </c>
      <c r="L74" s="17" t="inlineStr">
        <is>
          <t>S. THAJNISA</t>
        </is>
      </c>
    </row>
    <row r="75" ht="18" customHeight="1">
      <c r="A75" s="10" t="inlineStr">
        <is>
          <t>G1</t>
        </is>
      </c>
      <c r="B75" s="10" t="inlineStr">
        <is>
          <t>☐</t>
        </is>
      </c>
      <c r="C75" s="10" t="inlineStr">
        <is>
          <t>WS13</t>
        </is>
      </c>
      <c r="D75" s="11" t="inlineStr">
        <is>
          <t>OP-0059</t>
        </is>
      </c>
      <c r="E75" s="12" t="inlineStr">
        <is>
          <t>Primer 2</t>
        </is>
      </c>
      <c r="F75" s="13" t="n">
        <v>10</v>
      </c>
      <c r="G75" s="14">
        <f>=SUMIF($C$17:$C$502,C75,$F$17:$F$502)</f>
        <v/>
      </c>
      <c r="H75" s="14">
        <f>=IFERROR($B$14/$B$10,"")</f>
        <v/>
      </c>
      <c r="I75" s="15">
        <f>=IFERROR(G75/H75,"")</f>
        <v/>
      </c>
      <c r="J75" s="16" t="n">
        <v>0.002777777777777778</v>
      </c>
      <c r="K75" s="11" t="inlineStr">
        <is>
          <t>LPD10889</t>
        </is>
      </c>
      <c r="L75" s="17" t="inlineStr">
        <is>
          <t>PUNITHA</t>
        </is>
      </c>
    </row>
    <row r="76" ht="18" customHeight="1">
      <c r="A76" s="10" t="inlineStr">
        <is>
          <t>G1</t>
        </is>
      </c>
      <c r="B76" s="10" t="inlineStr">
        <is>
          <t>☐</t>
        </is>
      </c>
      <c r="C76" s="10" t="inlineStr">
        <is>
          <t>WS14</t>
        </is>
      </c>
      <c r="D76" s="11" t="inlineStr">
        <is>
          <t>OP-0059</t>
        </is>
      </c>
      <c r="E76" s="12" t="inlineStr">
        <is>
          <t>Primer 2</t>
        </is>
      </c>
      <c r="F76" s="13" t="n">
        <v>10</v>
      </c>
      <c r="G76" s="14">
        <f>=SUMIF($C$17:$C$502,C76,$F$17:$F$502)</f>
        <v/>
      </c>
      <c r="H76" s="14">
        <f>=IFERROR($B$14/$B$10,"")</f>
        <v/>
      </c>
      <c r="I76" s="15">
        <f>=IFERROR(G76/H76,"")</f>
        <v/>
      </c>
      <c r="J76" s="16" t="n">
        <v>0.002777777777777778</v>
      </c>
      <c r="K76" s="11" t="inlineStr">
        <is>
          <t>LPD11089</t>
        </is>
      </c>
      <c r="L76" s="17" t="inlineStr">
        <is>
          <t>S. THAJNISA</t>
        </is>
      </c>
    </row>
    <row r="77" ht="18" customHeight="1">
      <c r="A77" s="10" t="inlineStr">
        <is>
          <t>G1</t>
        </is>
      </c>
      <c r="B77" s="10" t="inlineStr">
        <is>
          <t>☐</t>
        </is>
      </c>
      <c r="C77" s="10" t="inlineStr">
        <is>
          <t>WS13</t>
        </is>
      </c>
      <c r="D77" s="11" t="inlineStr">
        <is>
          <t>OP-0060</t>
        </is>
      </c>
      <c r="E77" s="12" t="inlineStr">
        <is>
          <t>Primer 3</t>
        </is>
      </c>
      <c r="F77" s="13" t="n">
        <v>10</v>
      </c>
      <c r="G77" s="14">
        <f>=SUMIF($C$17:$C$502,C77,$F$17:$F$502)</f>
        <v/>
      </c>
      <c r="H77" s="14">
        <f>=IFERROR($B$14/$B$10,"")</f>
        <v/>
      </c>
      <c r="I77" s="15">
        <f>=IFERROR(G77/H77,"")</f>
        <v/>
      </c>
      <c r="J77" s="16" t="n">
        <v>0.002777777777777778</v>
      </c>
      <c r="K77" s="11" t="inlineStr">
        <is>
          <t>LPD10889</t>
        </is>
      </c>
      <c r="L77" s="17" t="inlineStr">
        <is>
          <t>PUNITHA</t>
        </is>
      </c>
    </row>
    <row r="78" ht="18" customHeight="1">
      <c r="A78" s="10" t="inlineStr">
        <is>
          <t>G1</t>
        </is>
      </c>
      <c r="B78" s="10" t="inlineStr">
        <is>
          <t>☐</t>
        </is>
      </c>
      <c r="C78" s="10" t="inlineStr">
        <is>
          <t>WS14</t>
        </is>
      </c>
      <c r="D78" s="11" t="inlineStr">
        <is>
          <t>OP-0060</t>
        </is>
      </c>
      <c r="E78" s="12" t="inlineStr">
        <is>
          <t>Primer 3</t>
        </is>
      </c>
      <c r="F78" s="13" t="n">
        <v>10</v>
      </c>
      <c r="G78" s="14">
        <f>=SUMIF($C$17:$C$502,C78,$F$17:$F$502)</f>
        <v/>
      </c>
      <c r="H78" s="14">
        <f>=IFERROR($B$14/$B$10,"")</f>
        <v/>
      </c>
      <c r="I78" s="15">
        <f>=IFERROR(G78/H78,"")</f>
        <v/>
      </c>
      <c r="J78" s="16" t="n">
        <v>0.002777777777777778</v>
      </c>
      <c r="K78" s="11" t="inlineStr">
        <is>
          <t>LPD11089</t>
        </is>
      </c>
      <c r="L78" s="17" t="inlineStr">
        <is>
          <t>S. THAJNISA</t>
        </is>
      </c>
    </row>
    <row r="79" ht="18" customHeight="1">
      <c r="A79" s="10" t="inlineStr">
        <is>
          <t>G1</t>
        </is>
      </c>
      <c r="B79" s="10" t="inlineStr">
        <is>
          <t>☐</t>
        </is>
      </c>
      <c r="C79" s="10" t="inlineStr">
        <is>
          <t>WS13</t>
        </is>
      </c>
      <c r="D79" s="11" t="inlineStr">
        <is>
          <t>OP-0061</t>
        </is>
      </c>
      <c r="E79" s="12" t="inlineStr">
        <is>
          <t>Buffing</t>
        </is>
      </c>
      <c r="F79" s="13" t="n">
        <v>4</v>
      </c>
      <c r="G79" s="14">
        <f>=SUMIF($C$17:$C$502,C79,$F$17:$F$502)</f>
        <v/>
      </c>
      <c r="H79" s="14">
        <f>=IFERROR($B$14/$B$10,"")</f>
        <v/>
      </c>
      <c r="I79" s="15">
        <f>=IFERROR(G79/H79,"")</f>
        <v/>
      </c>
      <c r="J79" s="16" t="n">
        <v>0.001111111111111111</v>
      </c>
      <c r="K79" s="11" t="inlineStr">
        <is>
          <t>LPD10889</t>
        </is>
      </c>
      <c r="L79" s="17" t="inlineStr">
        <is>
          <t>PUNITHA</t>
        </is>
      </c>
    </row>
    <row r="80" ht="18" customHeight="1">
      <c r="A80" s="10" t="inlineStr">
        <is>
          <t>G1</t>
        </is>
      </c>
      <c r="B80" s="10" t="inlineStr">
        <is>
          <t>☐</t>
        </is>
      </c>
      <c r="C80" s="10" t="inlineStr">
        <is>
          <t>WS14</t>
        </is>
      </c>
      <c r="D80" s="11" t="inlineStr">
        <is>
          <t>OP-0061</t>
        </is>
      </c>
      <c r="E80" s="12" t="inlineStr">
        <is>
          <t>Buffing</t>
        </is>
      </c>
      <c r="F80" s="13" t="n">
        <v>4</v>
      </c>
      <c r="G80" s="14">
        <f>=SUMIF($C$17:$C$502,C80,$F$17:$F$502)</f>
        <v/>
      </c>
      <c r="H80" s="14">
        <f>=IFERROR($B$14/$B$10,"")</f>
        <v/>
      </c>
      <c r="I80" s="15">
        <f>=IFERROR(G80/H80,"")</f>
        <v/>
      </c>
      <c r="J80" s="16" t="n">
        <v>0.001111111111111111</v>
      </c>
      <c r="K80" s="11" t="inlineStr">
        <is>
          <t>LPD11089</t>
        </is>
      </c>
      <c r="L80" s="17" t="inlineStr">
        <is>
          <t>S. THAJNISA</t>
        </is>
      </c>
    </row>
    <row r="81" ht="18" customHeight="1">
      <c r="A81" s="10" t="inlineStr">
        <is>
          <t>G1</t>
        </is>
      </c>
      <c r="B81" s="10" t="inlineStr">
        <is>
          <t>☐</t>
        </is>
      </c>
      <c r="C81" s="10" t="inlineStr">
        <is>
          <t>WS13</t>
        </is>
      </c>
      <c r="D81" s="11" t="inlineStr">
        <is>
          <t>OP-0057</t>
        </is>
      </c>
      <c r="E81" s="12" t="inlineStr">
        <is>
          <t>Edge Inking</t>
        </is>
      </c>
      <c r="F81" s="13" t="n">
        <v>10</v>
      </c>
      <c r="G81" s="14">
        <f>=SUMIF($C$17:$C$502,C81,$F$17:$F$502)</f>
        <v/>
      </c>
      <c r="H81" s="14">
        <f>=IFERROR($B$14/$B$10,"")</f>
        <v/>
      </c>
      <c r="I81" s="15">
        <f>=IFERROR(G81/H81,"")</f>
        <v/>
      </c>
      <c r="J81" s="16" t="n">
        <v>0.002777777777777778</v>
      </c>
      <c r="K81" s="11" t="inlineStr">
        <is>
          <t>LPD10889</t>
        </is>
      </c>
      <c r="L81" s="17" t="inlineStr">
        <is>
          <t>PUNITHA</t>
        </is>
      </c>
    </row>
    <row r="82" ht="18" customHeight="1">
      <c r="A82" s="10" t="inlineStr">
        <is>
          <t>G1</t>
        </is>
      </c>
      <c r="B82" s="10" t="inlineStr">
        <is>
          <t>☐</t>
        </is>
      </c>
      <c r="C82" s="10" t="inlineStr">
        <is>
          <t>WS14</t>
        </is>
      </c>
      <c r="D82" s="11" t="inlineStr">
        <is>
          <t>OP-0057</t>
        </is>
      </c>
      <c r="E82" s="12" t="inlineStr">
        <is>
          <t>Edge Inking</t>
        </is>
      </c>
      <c r="F82" s="13" t="n">
        <v>10</v>
      </c>
      <c r="G82" s="14">
        <f>=SUMIF($C$17:$C$502,C82,$F$17:$F$502)</f>
        <v/>
      </c>
      <c r="H82" s="14">
        <f>=IFERROR($B$14/$B$10,"")</f>
        <v/>
      </c>
      <c r="I82" s="15">
        <f>=IFERROR(G82/H82,"")</f>
        <v/>
      </c>
      <c r="J82" s="16" t="n">
        <v>0.002777777777777778</v>
      </c>
      <c r="K82" s="11" t="inlineStr">
        <is>
          <t>LPD11089</t>
        </is>
      </c>
      <c r="L82" s="17" t="inlineStr">
        <is>
          <t>S. THAJNISA</t>
        </is>
      </c>
    </row>
    <row r="83" ht="18" customHeight="1">
      <c r="A83" s="10" t="inlineStr">
        <is>
          <t>G1</t>
        </is>
      </c>
      <c r="B83" s="10" t="inlineStr">
        <is>
          <t>☐</t>
        </is>
      </c>
      <c r="C83" s="10" t="inlineStr">
        <is>
          <t>WS13</t>
        </is>
      </c>
      <c r="D83" s="11" t="inlineStr">
        <is>
          <t>OP-0058</t>
        </is>
      </c>
      <c r="E83" s="12" t="inlineStr">
        <is>
          <t>Primer 1</t>
        </is>
      </c>
      <c r="F83" s="13" t="n">
        <v>10</v>
      </c>
      <c r="G83" s="14">
        <f>=SUMIF($C$17:$C$502,C83,$F$17:$F$502)</f>
        <v/>
      </c>
      <c r="H83" s="14">
        <f>=IFERROR($B$14/$B$10,"")</f>
        <v/>
      </c>
      <c r="I83" s="15">
        <f>=IFERROR(G83/H83,"")</f>
        <v/>
      </c>
      <c r="J83" s="16" t="n">
        <v>0.002777777777777778</v>
      </c>
      <c r="K83" s="11" t="inlineStr">
        <is>
          <t>LPD10889</t>
        </is>
      </c>
      <c r="L83" s="17" t="inlineStr">
        <is>
          <t>PUNITHA</t>
        </is>
      </c>
    </row>
    <row r="84" ht="18" customHeight="1">
      <c r="A84" s="10" t="inlineStr">
        <is>
          <t>G1</t>
        </is>
      </c>
      <c r="B84" s="10" t="inlineStr">
        <is>
          <t>☐</t>
        </is>
      </c>
      <c r="C84" s="10" t="inlineStr">
        <is>
          <t>WS14</t>
        </is>
      </c>
      <c r="D84" s="11" t="inlineStr">
        <is>
          <t>OP-0058</t>
        </is>
      </c>
      <c r="E84" s="12" t="inlineStr">
        <is>
          <t>Primer 1</t>
        </is>
      </c>
      <c r="F84" s="13" t="n">
        <v>10</v>
      </c>
      <c r="G84" s="14">
        <f>=SUMIF($C$17:$C$502,C84,$F$17:$F$502)</f>
        <v/>
      </c>
      <c r="H84" s="14">
        <f>=IFERROR($B$14/$B$10,"")</f>
        <v/>
      </c>
      <c r="I84" s="15">
        <f>=IFERROR(G84/H84,"")</f>
        <v/>
      </c>
      <c r="J84" s="16" t="n">
        <v>0.002777777777777778</v>
      </c>
      <c r="K84" s="11" t="inlineStr">
        <is>
          <t>LPD11089</t>
        </is>
      </c>
      <c r="L84" s="17" t="inlineStr">
        <is>
          <t>S. THAJNISA</t>
        </is>
      </c>
    </row>
    <row r="85" ht="18" customHeight="1">
      <c r="A85" s="10" t="inlineStr">
        <is>
          <t>G1</t>
        </is>
      </c>
      <c r="B85" s="10" t="inlineStr">
        <is>
          <t>☐</t>
        </is>
      </c>
      <c r="C85" s="10" t="inlineStr">
        <is>
          <t>WS13</t>
        </is>
      </c>
      <c r="D85" s="11" t="inlineStr">
        <is>
          <t>OP-0059</t>
        </is>
      </c>
      <c r="E85" s="12" t="inlineStr">
        <is>
          <t>Primer 2</t>
        </is>
      </c>
      <c r="F85" s="13" t="n">
        <v>10</v>
      </c>
      <c r="G85" s="14">
        <f>=SUMIF($C$17:$C$502,C85,$F$17:$F$502)</f>
        <v/>
      </c>
      <c r="H85" s="14">
        <f>=IFERROR($B$14/$B$10,"")</f>
        <v/>
      </c>
      <c r="I85" s="15">
        <f>=IFERROR(G85/H85,"")</f>
        <v/>
      </c>
      <c r="J85" s="16" t="n">
        <v>0.002777777777777778</v>
      </c>
      <c r="K85" s="11" t="inlineStr">
        <is>
          <t>LPD10889</t>
        </is>
      </c>
      <c r="L85" s="17" t="inlineStr">
        <is>
          <t>PUNITHA</t>
        </is>
      </c>
    </row>
    <row r="86" ht="18" customHeight="1">
      <c r="A86" s="10" t="inlineStr">
        <is>
          <t>G1</t>
        </is>
      </c>
      <c r="B86" s="10" t="inlineStr">
        <is>
          <t>☐</t>
        </is>
      </c>
      <c r="C86" s="10" t="inlineStr">
        <is>
          <t>WS14</t>
        </is>
      </c>
      <c r="D86" s="11" t="inlineStr">
        <is>
          <t>OP-0059</t>
        </is>
      </c>
      <c r="E86" s="12" t="inlineStr">
        <is>
          <t>Primer 2</t>
        </is>
      </c>
      <c r="F86" s="13" t="n">
        <v>10</v>
      </c>
      <c r="G86" s="14">
        <f>=SUMIF($C$17:$C$502,C86,$F$17:$F$502)</f>
        <v/>
      </c>
      <c r="H86" s="14">
        <f>=IFERROR($B$14/$B$10,"")</f>
        <v/>
      </c>
      <c r="I86" s="15">
        <f>=IFERROR(G86/H86,"")</f>
        <v/>
      </c>
      <c r="J86" s="16" t="n">
        <v>0.002777777777777778</v>
      </c>
      <c r="K86" s="11" t="inlineStr">
        <is>
          <t>LPD11089</t>
        </is>
      </c>
      <c r="L86" s="17" t="inlineStr">
        <is>
          <t>S. THAJNISA</t>
        </is>
      </c>
    </row>
    <row r="87" ht="18" customHeight="1">
      <c r="A87" s="10" t="inlineStr">
        <is>
          <t>G1</t>
        </is>
      </c>
      <c r="B87" s="10" t="inlineStr">
        <is>
          <t>☐</t>
        </is>
      </c>
      <c r="C87" s="10" t="inlineStr">
        <is>
          <t>WS13</t>
        </is>
      </c>
      <c r="D87" s="11" t="inlineStr">
        <is>
          <t>OP-0060</t>
        </is>
      </c>
      <c r="E87" s="12" t="inlineStr">
        <is>
          <t>Primer 3</t>
        </is>
      </c>
      <c r="F87" s="13" t="n">
        <v>10</v>
      </c>
      <c r="G87" s="14">
        <f>=SUMIF($C$17:$C$502,C87,$F$17:$F$502)</f>
        <v/>
      </c>
      <c r="H87" s="14">
        <f>=IFERROR($B$14/$B$10,"")</f>
        <v/>
      </c>
      <c r="I87" s="15">
        <f>=IFERROR(G87/H87,"")</f>
        <v/>
      </c>
      <c r="J87" s="16" t="n">
        <v>0.002777777777777778</v>
      </c>
      <c r="K87" s="11" t="inlineStr">
        <is>
          <t>LPD10889</t>
        </is>
      </c>
      <c r="L87" s="17" t="inlineStr">
        <is>
          <t>PUNITHA</t>
        </is>
      </c>
    </row>
    <row r="88" ht="18" customHeight="1">
      <c r="A88" s="10" t="inlineStr">
        <is>
          <t>G1</t>
        </is>
      </c>
      <c r="B88" s="10" t="inlineStr">
        <is>
          <t>☐</t>
        </is>
      </c>
      <c r="C88" s="10" t="inlineStr">
        <is>
          <t>WS14</t>
        </is>
      </c>
      <c r="D88" s="11" t="inlineStr">
        <is>
          <t>OP-0060</t>
        </is>
      </c>
      <c r="E88" s="12" t="inlineStr">
        <is>
          <t>Primer 3</t>
        </is>
      </c>
      <c r="F88" s="13" t="n">
        <v>10</v>
      </c>
      <c r="G88" s="14">
        <f>=SUMIF($C$17:$C$502,C88,$F$17:$F$502)</f>
        <v/>
      </c>
      <c r="H88" s="14">
        <f>=IFERROR($B$14/$B$10,"")</f>
        <v/>
      </c>
      <c r="I88" s="15">
        <f>=IFERROR(G88/H88,"")</f>
        <v/>
      </c>
      <c r="J88" s="16" t="n">
        <v>0.002777777777777778</v>
      </c>
      <c r="K88" s="11" t="inlineStr">
        <is>
          <t>LPD11089</t>
        </is>
      </c>
      <c r="L88" s="17" t="inlineStr">
        <is>
          <t>S. THAJNISA</t>
        </is>
      </c>
    </row>
    <row r="89" ht="18" customHeight="1">
      <c r="A89" s="10" t="inlineStr">
        <is>
          <t>G1</t>
        </is>
      </c>
      <c r="B89" s="10" t="inlineStr">
        <is>
          <t>☐</t>
        </is>
      </c>
      <c r="C89" s="10" t="inlineStr">
        <is>
          <t>WS13</t>
        </is>
      </c>
      <c r="D89" s="11" t="inlineStr">
        <is>
          <t>OP-0061</t>
        </is>
      </c>
      <c r="E89" s="12" t="inlineStr">
        <is>
          <t>Buffing</t>
        </is>
      </c>
      <c r="F89" s="13" t="n">
        <v>4</v>
      </c>
      <c r="G89" s="14">
        <f>=SUMIF($C$17:$C$502,C89,$F$17:$F$502)</f>
        <v/>
      </c>
      <c r="H89" s="14">
        <f>=IFERROR($B$14/$B$10,"")</f>
        <v/>
      </c>
      <c r="I89" s="15">
        <f>=IFERROR(G89/H89,"")</f>
        <v/>
      </c>
      <c r="J89" s="16" t="n">
        <v>0.001111111111111111</v>
      </c>
      <c r="K89" s="11" t="inlineStr">
        <is>
          <t>LPD10889</t>
        </is>
      </c>
      <c r="L89" s="17" t="inlineStr">
        <is>
          <t>PUNITHA</t>
        </is>
      </c>
    </row>
    <row r="90" ht="18" customHeight="1">
      <c r="A90" s="10" t="inlineStr">
        <is>
          <t>G1</t>
        </is>
      </c>
      <c r="B90" s="10" t="inlineStr">
        <is>
          <t>☐</t>
        </is>
      </c>
      <c r="C90" s="10" t="inlineStr">
        <is>
          <t>WS14</t>
        </is>
      </c>
      <c r="D90" s="11" t="inlineStr">
        <is>
          <t>OP-0061</t>
        </is>
      </c>
      <c r="E90" s="12" t="inlineStr">
        <is>
          <t>Buffing</t>
        </is>
      </c>
      <c r="F90" s="13" t="n">
        <v>4</v>
      </c>
      <c r="G90" s="14">
        <f>=SUMIF($C$17:$C$502,C90,$F$17:$F$502)</f>
        <v/>
      </c>
      <c r="H90" s="14">
        <f>=IFERROR($B$14/$B$10,"")</f>
        <v/>
      </c>
      <c r="I90" s="15">
        <f>=IFERROR(G90/H90,"")</f>
        <v/>
      </c>
      <c r="J90" s="16" t="n">
        <v>0.001111111111111111</v>
      </c>
      <c r="K90" s="11" t="inlineStr">
        <is>
          <t>LPD11089</t>
        </is>
      </c>
      <c r="L90" s="17" t="inlineStr">
        <is>
          <t>S. THAJNISA</t>
        </is>
      </c>
    </row>
    <row r="91" ht="18" customHeight="1">
      <c r="A91" s="10" t="inlineStr">
        <is>
          <t>G1</t>
        </is>
      </c>
      <c r="B91" s="10" t="inlineStr">
        <is>
          <t>☐</t>
        </is>
      </c>
      <c r="C91" s="10" t="inlineStr">
        <is>
          <t>WS13</t>
        </is>
      </c>
      <c r="D91" s="11" t="inlineStr">
        <is>
          <t>OP-0057</t>
        </is>
      </c>
      <c r="E91" s="12" t="inlineStr">
        <is>
          <t>Edge Inking</t>
        </is>
      </c>
      <c r="F91" s="13" t="n">
        <v>10</v>
      </c>
      <c r="G91" s="14">
        <f>=SUMIF($C$17:$C$502,C91,$F$17:$F$502)</f>
        <v/>
      </c>
      <c r="H91" s="14">
        <f>=IFERROR($B$14/$B$10,"")</f>
        <v/>
      </c>
      <c r="I91" s="15">
        <f>=IFERROR(G91/H91,"")</f>
        <v/>
      </c>
      <c r="J91" s="16" t="n">
        <v>0.002777777777777778</v>
      </c>
      <c r="K91" s="11" t="inlineStr">
        <is>
          <t>LPD10889</t>
        </is>
      </c>
      <c r="L91" s="17" t="inlineStr">
        <is>
          <t>PUNITHA</t>
        </is>
      </c>
    </row>
    <row r="92" ht="18" customHeight="1">
      <c r="A92" s="10" t="inlineStr">
        <is>
          <t>G1</t>
        </is>
      </c>
      <c r="B92" s="10" t="inlineStr">
        <is>
          <t>☐</t>
        </is>
      </c>
      <c r="C92" s="10" t="inlineStr">
        <is>
          <t>WS14</t>
        </is>
      </c>
      <c r="D92" s="11" t="inlineStr">
        <is>
          <t>OP-0057</t>
        </is>
      </c>
      <c r="E92" s="12" t="inlineStr">
        <is>
          <t>Edge Inking</t>
        </is>
      </c>
      <c r="F92" s="13" t="n">
        <v>10</v>
      </c>
      <c r="G92" s="14">
        <f>=SUMIF($C$17:$C$502,C92,$F$17:$F$502)</f>
        <v/>
      </c>
      <c r="H92" s="14">
        <f>=IFERROR($B$14/$B$10,"")</f>
        <v/>
      </c>
      <c r="I92" s="15">
        <f>=IFERROR(G92/H92,"")</f>
        <v/>
      </c>
      <c r="J92" s="16" t="n">
        <v>0.002777777777777778</v>
      </c>
      <c r="K92" s="11" t="inlineStr">
        <is>
          <t>LPD11089</t>
        </is>
      </c>
      <c r="L92" s="17" t="inlineStr">
        <is>
          <t>S. THAJNISA</t>
        </is>
      </c>
    </row>
    <row r="93" ht="18" customHeight="1">
      <c r="A93" s="10" t="inlineStr">
        <is>
          <t>G1</t>
        </is>
      </c>
      <c r="B93" s="10" t="inlineStr">
        <is>
          <t>☐</t>
        </is>
      </c>
      <c r="C93" s="10" t="inlineStr">
        <is>
          <t>WS13</t>
        </is>
      </c>
      <c r="D93" s="11" t="inlineStr">
        <is>
          <t>OP-0058</t>
        </is>
      </c>
      <c r="E93" s="12" t="inlineStr">
        <is>
          <t>Primer 1</t>
        </is>
      </c>
      <c r="F93" s="13" t="n">
        <v>6</v>
      </c>
      <c r="G93" s="14">
        <f>=SUMIF($C$17:$C$502,C93,$F$17:$F$502)</f>
        <v/>
      </c>
      <c r="H93" s="14">
        <f>=IFERROR($B$14/$B$10,"")</f>
        <v/>
      </c>
      <c r="I93" s="15">
        <f>=IFERROR(G93/H93,"")</f>
        <v/>
      </c>
      <c r="J93" s="16" t="n">
        <v>0.001666666666666667</v>
      </c>
      <c r="K93" s="11" t="inlineStr">
        <is>
          <t>LPD10889</t>
        </is>
      </c>
      <c r="L93" s="17" t="inlineStr">
        <is>
          <t>PUNITHA</t>
        </is>
      </c>
    </row>
    <row r="94" ht="18" customHeight="1">
      <c r="A94" s="10" t="inlineStr">
        <is>
          <t>G1</t>
        </is>
      </c>
      <c r="B94" s="10" t="inlineStr">
        <is>
          <t>☐</t>
        </is>
      </c>
      <c r="C94" s="10" t="inlineStr">
        <is>
          <t>WS14</t>
        </is>
      </c>
      <c r="D94" s="11" t="inlineStr">
        <is>
          <t>OP-0058</t>
        </is>
      </c>
      <c r="E94" s="12" t="inlineStr">
        <is>
          <t>Primer 1</t>
        </is>
      </c>
      <c r="F94" s="13" t="n">
        <v>6</v>
      </c>
      <c r="G94" s="14">
        <f>=SUMIF($C$17:$C$502,C94,$F$17:$F$502)</f>
        <v/>
      </c>
      <c r="H94" s="14">
        <f>=IFERROR($B$14/$B$10,"")</f>
        <v/>
      </c>
      <c r="I94" s="15">
        <f>=IFERROR(G94/H94,"")</f>
        <v/>
      </c>
      <c r="J94" s="16" t="n">
        <v>0.001666666666666667</v>
      </c>
      <c r="K94" s="11" t="inlineStr">
        <is>
          <t>LPD11089</t>
        </is>
      </c>
      <c r="L94" s="17" t="inlineStr">
        <is>
          <t>S. THAJNISA</t>
        </is>
      </c>
    </row>
    <row r="95" ht="18" customHeight="1">
      <c r="A95" s="10" t="inlineStr">
        <is>
          <t>G1</t>
        </is>
      </c>
      <c r="B95" s="10" t="inlineStr">
        <is>
          <t>☐</t>
        </is>
      </c>
      <c r="C95" s="10" t="inlineStr">
        <is>
          <t>WS13</t>
        </is>
      </c>
      <c r="D95" s="11" t="inlineStr">
        <is>
          <t>OP-0059</t>
        </is>
      </c>
      <c r="E95" s="12" t="inlineStr">
        <is>
          <t>Primer 2</t>
        </is>
      </c>
      <c r="F95" s="13" t="n">
        <v>6</v>
      </c>
      <c r="G95" s="14">
        <f>=SUMIF($C$17:$C$502,C95,$F$17:$F$502)</f>
        <v/>
      </c>
      <c r="H95" s="14">
        <f>=IFERROR($B$14/$B$10,"")</f>
        <v/>
      </c>
      <c r="I95" s="15">
        <f>=IFERROR(G95/H95,"")</f>
        <v/>
      </c>
      <c r="J95" s="16" t="n">
        <v>0.001666666666666667</v>
      </c>
      <c r="K95" s="11" t="inlineStr">
        <is>
          <t>LPD10889</t>
        </is>
      </c>
      <c r="L95" s="17" t="inlineStr">
        <is>
          <t>PUNITHA</t>
        </is>
      </c>
    </row>
    <row r="96" ht="18" customHeight="1">
      <c r="A96" s="10" t="inlineStr">
        <is>
          <t>G1</t>
        </is>
      </c>
      <c r="B96" s="10" t="inlineStr">
        <is>
          <t>☐</t>
        </is>
      </c>
      <c r="C96" s="10" t="inlineStr">
        <is>
          <t>WS14</t>
        </is>
      </c>
      <c r="D96" s="11" t="inlineStr">
        <is>
          <t>OP-0059</t>
        </is>
      </c>
      <c r="E96" s="12" t="inlineStr">
        <is>
          <t>Primer 2</t>
        </is>
      </c>
      <c r="F96" s="13" t="n">
        <v>6</v>
      </c>
      <c r="G96" s="14">
        <f>=SUMIF($C$17:$C$502,C96,$F$17:$F$502)</f>
        <v/>
      </c>
      <c r="H96" s="14">
        <f>=IFERROR($B$14/$B$10,"")</f>
        <v/>
      </c>
      <c r="I96" s="15">
        <f>=IFERROR(G96/H96,"")</f>
        <v/>
      </c>
      <c r="J96" s="16" t="n">
        <v>0.001666666666666667</v>
      </c>
      <c r="K96" s="11" t="inlineStr">
        <is>
          <t>LPD11089</t>
        </is>
      </c>
      <c r="L96" s="17" t="inlineStr">
        <is>
          <t>S. THAJNISA</t>
        </is>
      </c>
    </row>
    <row r="97" ht="18" customHeight="1">
      <c r="A97" s="10" t="inlineStr">
        <is>
          <t>G1</t>
        </is>
      </c>
      <c r="B97" s="10" t="inlineStr">
        <is>
          <t>☐</t>
        </is>
      </c>
      <c r="C97" s="10" t="inlineStr">
        <is>
          <t>WS13</t>
        </is>
      </c>
      <c r="D97" s="11" t="inlineStr">
        <is>
          <t>OP-0060</t>
        </is>
      </c>
      <c r="E97" s="12" t="inlineStr">
        <is>
          <t>Primer 3</t>
        </is>
      </c>
      <c r="F97" s="13" t="n">
        <v>6</v>
      </c>
      <c r="G97" s="14">
        <f>=SUMIF($C$17:$C$502,C97,$F$17:$F$502)</f>
        <v/>
      </c>
      <c r="H97" s="14">
        <f>=IFERROR($B$14/$B$10,"")</f>
        <v/>
      </c>
      <c r="I97" s="15">
        <f>=IFERROR(G97/H97,"")</f>
        <v/>
      </c>
      <c r="J97" s="16" t="n">
        <v>0.001666666666666667</v>
      </c>
      <c r="K97" s="11" t="inlineStr">
        <is>
          <t>LPD10889</t>
        </is>
      </c>
      <c r="L97" s="17" t="inlineStr">
        <is>
          <t>PUNITHA</t>
        </is>
      </c>
    </row>
    <row r="98" ht="18" customHeight="1">
      <c r="A98" s="10" t="inlineStr">
        <is>
          <t>G1</t>
        </is>
      </c>
      <c r="B98" s="10" t="inlineStr">
        <is>
          <t>☐</t>
        </is>
      </c>
      <c r="C98" s="10" t="inlineStr">
        <is>
          <t>WS14</t>
        </is>
      </c>
      <c r="D98" s="11" t="inlineStr">
        <is>
          <t>OP-0060</t>
        </is>
      </c>
      <c r="E98" s="12" t="inlineStr">
        <is>
          <t>Primer 3</t>
        </is>
      </c>
      <c r="F98" s="13" t="n">
        <v>6</v>
      </c>
      <c r="G98" s="14">
        <f>=SUMIF($C$17:$C$502,C98,$F$17:$F$502)</f>
        <v/>
      </c>
      <c r="H98" s="14">
        <f>=IFERROR($B$14/$B$10,"")</f>
        <v/>
      </c>
      <c r="I98" s="15">
        <f>=IFERROR(G98/H98,"")</f>
        <v/>
      </c>
      <c r="J98" s="16" t="n">
        <v>0.001666666666666667</v>
      </c>
      <c r="K98" s="11" t="inlineStr">
        <is>
          <t>LPD11089</t>
        </is>
      </c>
      <c r="L98" s="17" t="inlineStr">
        <is>
          <t>S. THAJNISA</t>
        </is>
      </c>
    </row>
    <row r="99" ht="18" customHeight="1">
      <c r="A99" s="10" t="inlineStr">
        <is>
          <t>G1</t>
        </is>
      </c>
      <c r="B99" s="10" t="inlineStr">
        <is>
          <t>☐</t>
        </is>
      </c>
      <c r="C99" s="10" t="inlineStr">
        <is>
          <t>WS13</t>
        </is>
      </c>
      <c r="D99" s="11" t="inlineStr">
        <is>
          <t>OP-0061</t>
        </is>
      </c>
      <c r="E99" s="12" t="inlineStr">
        <is>
          <t>Buffing</t>
        </is>
      </c>
      <c r="F99" s="13" t="n">
        <v>4</v>
      </c>
      <c r="G99" s="14">
        <f>=SUMIF($C$17:$C$502,C99,$F$17:$F$502)</f>
        <v/>
      </c>
      <c r="H99" s="14">
        <f>=IFERROR($B$14/$B$10,"")</f>
        <v/>
      </c>
      <c r="I99" s="15">
        <f>=IFERROR(G99/H99,"")</f>
        <v/>
      </c>
      <c r="J99" s="16" t="n">
        <v>0.001111111111111111</v>
      </c>
      <c r="K99" s="11" t="inlineStr">
        <is>
          <t>LPD10889</t>
        </is>
      </c>
      <c r="L99" s="17" t="inlineStr">
        <is>
          <t>PUNITHA</t>
        </is>
      </c>
    </row>
    <row r="100" ht="18" customHeight="1">
      <c r="A100" s="10" t="inlineStr">
        <is>
          <t>G1</t>
        </is>
      </c>
      <c r="B100" s="10" t="inlineStr">
        <is>
          <t>☐</t>
        </is>
      </c>
      <c r="C100" s="10" t="inlineStr">
        <is>
          <t>WS14</t>
        </is>
      </c>
      <c r="D100" s="11" t="inlineStr">
        <is>
          <t>OP-0061</t>
        </is>
      </c>
      <c r="E100" s="12" t="inlineStr">
        <is>
          <t>Buffing</t>
        </is>
      </c>
      <c r="F100" s="13" t="n">
        <v>4</v>
      </c>
      <c r="G100" s="14">
        <f>=SUMIF($C$17:$C$502,C100,$F$17:$F$502)</f>
        <v/>
      </c>
      <c r="H100" s="14">
        <f>=IFERROR($B$14/$B$10,"")</f>
        <v/>
      </c>
      <c r="I100" s="15">
        <f>=IFERROR(G100/H100,"")</f>
        <v/>
      </c>
      <c r="J100" s="16" t="n">
        <v>0.001111111111111111</v>
      </c>
      <c r="K100" s="11" t="inlineStr">
        <is>
          <t>LPD11089</t>
        </is>
      </c>
      <c r="L100" s="17" t="inlineStr">
        <is>
          <t>S. THAJNISA</t>
        </is>
      </c>
    </row>
    <row r="101" ht="18" customHeight="1">
      <c r="A101" s="10" t="inlineStr">
        <is>
          <t>G1</t>
        </is>
      </c>
      <c r="B101" s="10" t="inlineStr">
        <is>
          <t>☐</t>
        </is>
      </c>
      <c r="C101" s="10" t="inlineStr">
        <is>
          <t>WS13</t>
        </is>
      </c>
      <c r="D101" s="11" t="inlineStr">
        <is>
          <t>OP-0057</t>
        </is>
      </c>
      <c r="E101" s="12" t="inlineStr">
        <is>
          <t>Edge Inking</t>
        </is>
      </c>
      <c r="F101" s="13" t="n">
        <v>6</v>
      </c>
      <c r="G101" s="14">
        <f>=SUMIF($C$17:$C$502,C101,$F$17:$F$502)</f>
        <v/>
      </c>
      <c r="H101" s="14">
        <f>=IFERROR($B$14/$B$10,"")</f>
        <v/>
      </c>
      <c r="I101" s="15">
        <f>=IFERROR(G101/H101,"")</f>
        <v/>
      </c>
      <c r="J101" s="16" t="n">
        <v>0.001666666666666667</v>
      </c>
      <c r="K101" s="11" t="inlineStr">
        <is>
          <t>LPD10889</t>
        </is>
      </c>
      <c r="L101" s="17" t="inlineStr">
        <is>
          <t>PUNITHA</t>
        </is>
      </c>
    </row>
    <row r="102" ht="18" customHeight="1">
      <c r="A102" s="10" t="inlineStr">
        <is>
          <t>G1</t>
        </is>
      </c>
      <c r="B102" s="10" t="inlineStr">
        <is>
          <t>☐</t>
        </is>
      </c>
      <c r="C102" s="10" t="inlineStr">
        <is>
          <t>WS14</t>
        </is>
      </c>
      <c r="D102" s="11" t="inlineStr">
        <is>
          <t>OP-0057</t>
        </is>
      </c>
      <c r="E102" s="12" t="inlineStr">
        <is>
          <t>Edge Inking</t>
        </is>
      </c>
      <c r="F102" s="13" t="n">
        <v>6</v>
      </c>
      <c r="G102" s="14">
        <f>=SUMIF($C$17:$C$502,C102,$F$17:$F$502)</f>
        <v/>
      </c>
      <c r="H102" s="14">
        <f>=IFERROR($B$14/$B$10,"")</f>
        <v/>
      </c>
      <c r="I102" s="15">
        <f>=IFERROR(G102/H102,"")</f>
        <v/>
      </c>
      <c r="J102" s="16" t="n">
        <v>0.001666666666666667</v>
      </c>
      <c r="K102" s="11" t="inlineStr">
        <is>
          <t>LPD11089</t>
        </is>
      </c>
      <c r="L102" s="17" t="inlineStr">
        <is>
          <t>S. THAJNISA</t>
        </is>
      </c>
    </row>
    <row r="103" ht="18" customHeight="1">
      <c r="A103" s="10" t="inlineStr">
        <is>
          <t>G3</t>
        </is>
      </c>
      <c r="B103" s="10" t="inlineStr">
        <is>
          <t>☑</t>
        </is>
      </c>
      <c r="C103" s="10" t="inlineStr">
        <is>
          <t>WS15</t>
        </is>
      </c>
      <c r="D103" s="11" t="inlineStr">
        <is>
          <t>OP-0062</t>
        </is>
      </c>
      <c r="E103" s="12" t="inlineStr">
        <is>
          <t>Recutting facing Leather (1:5)</t>
        </is>
      </c>
      <c r="F103" s="13" t="n">
        <v>3</v>
      </c>
      <c r="G103" s="14">
        <f>=SUMIF($C$17:$C$502,C103,$F$17:$F$502)</f>
        <v/>
      </c>
      <c r="H103" s="14">
        <f>=IFERROR($B$14/$B$10,"")</f>
        <v/>
      </c>
      <c r="I103" s="15">
        <f>=IFERROR(G103/H103,"")</f>
        <v/>
      </c>
      <c r="J103" s="16" t="n">
        <v>0.0008333333333333334</v>
      </c>
      <c r="K103" s="11" t="inlineStr">
        <is>
          <t>LPD07687</t>
        </is>
      </c>
      <c r="L103" s="17" t="inlineStr">
        <is>
          <t>MUBARAK</t>
        </is>
      </c>
    </row>
    <row r="104" ht="18" customHeight="1">
      <c r="A104" s="10" t="inlineStr">
        <is>
          <t>G3</t>
        </is>
      </c>
      <c r="B104" s="10" t="inlineStr">
        <is>
          <t>☐</t>
        </is>
      </c>
      <c r="C104" s="10" t="inlineStr">
        <is>
          <t>WS15</t>
        </is>
      </c>
      <c r="D104" s="11" t="inlineStr">
        <is>
          <t>OP-0063</t>
        </is>
      </c>
      <c r="E104" s="12" t="inlineStr">
        <is>
          <t>Recutting Top Leather (1:5)</t>
        </is>
      </c>
      <c r="F104" s="13" t="n">
        <v>3</v>
      </c>
      <c r="G104" s="14">
        <f>=SUMIF($C$17:$C$502,C104,$F$17:$F$502)</f>
        <v/>
      </c>
      <c r="H104" s="14">
        <f>=IFERROR($B$14/$B$10,"")</f>
        <v/>
      </c>
      <c r="I104" s="15">
        <f>=IFERROR(G104/H104,"")</f>
        <v/>
      </c>
      <c r="J104" s="16" t="n">
        <v>0.0008333333333333334</v>
      </c>
      <c r="K104" s="11" t="inlineStr">
        <is>
          <t>LPD07687</t>
        </is>
      </c>
      <c r="L104" s="17" t="inlineStr">
        <is>
          <t>MUBARAK</t>
        </is>
      </c>
    </row>
    <row r="105" ht="18" customHeight="1">
      <c r="A105" s="10" t="inlineStr">
        <is>
          <t>G3</t>
        </is>
      </c>
      <c r="B105" s="10" t="inlineStr">
        <is>
          <t>☐</t>
        </is>
      </c>
      <c r="C105" s="10" t="inlineStr">
        <is>
          <t>WS15</t>
        </is>
      </c>
      <c r="D105" s="11" t="inlineStr">
        <is>
          <t>OP-0064</t>
        </is>
      </c>
      <c r="E105" s="12" t="inlineStr">
        <is>
          <t>Recutting Top</t>
        </is>
      </c>
      <c r="F105" s="13" t="n">
        <v>14</v>
      </c>
      <c r="G105" s="14">
        <f>=SUMIF($C$17:$C$502,C105,$F$17:$F$502)</f>
        <v/>
      </c>
      <c r="H105" s="14">
        <f>=IFERROR($B$14/$B$10,"")</f>
        <v/>
      </c>
      <c r="I105" s="15">
        <f>=IFERROR(G105/H105,"")</f>
        <v/>
      </c>
      <c r="J105" s="16" t="n">
        <v>0.003888888888888889</v>
      </c>
      <c r="K105" s="11" t="inlineStr">
        <is>
          <t>LPD07687</t>
        </is>
      </c>
      <c r="L105" s="17" t="inlineStr">
        <is>
          <t>MUBARAK</t>
        </is>
      </c>
    </row>
    <row r="106" ht="18" customHeight="1">
      <c r="A106" s="10" t="inlineStr">
        <is>
          <t>G3</t>
        </is>
      </c>
      <c r="B106" s="10" t="inlineStr">
        <is>
          <t>☐</t>
        </is>
      </c>
      <c r="C106" s="10" t="inlineStr">
        <is>
          <t>WS15</t>
        </is>
      </c>
      <c r="D106" s="11" t="inlineStr">
        <is>
          <t>OP-0065</t>
        </is>
      </c>
      <c r="E106" s="12" t="inlineStr">
        <is>
          <t>Recutting zip collar PU</t>
        </is>
      </c>
      <c r="F106" s="13" t="n">
        <v>15</v>
      </c>
      <c r="G106" s="14">
        <f>=SUMIF($C$17:$C$502,C106,$F$17:$F$502)</f>
        <v/>
      </c>
      <c r="H106" s="14">
        <f>=IFERROR($B$14/$B$10,"")</f>
        <v/>
      </c>
      <c r="I106" s="15">
        <f>=IFERROR(G106/H106,"")</f>
        <v/>
      </c>
      <c r="J106" s="16" t="n">
        <v>0.004166666666666667</v>
      </c>
      <c r="K106" s="11" t="inlineStr">
        <is>
          <t>LPD07687</t>
        </is>
      </c>
      <c r="L106" s="17" t="inlineStr">
        <is>
          <t>MUBARAK</t>
        </is>
      </c>
    </row>
    <row r="107" ht="18" customHeight="1">
      <c r="A107" s="10" t="inlineStr">
        <is>
          <t>G3</t>
        </is>
      </c>
      <c r="B107" s="10" t="inlineStr">
        <is>
          <t>☐</t>
        </is>
      </c>
      <c r="C107" s="10" t="inlineStr">
        <is>
          <t>WS15</t>
        </is>
      </c>
      <c r="D107" s="11" t="inlineStr">
        <is>
          <t>OP-0028</t>
        </is>
      </c>
      <c r="E107" s="12" t="inlineStr">
        <is>
          <t>Recutting of center stay  (1:2)</t>
        </is>
      </c>
      <c r="F107" s="13" t="n">
        <v>7.5</v>
      </c>
      <c r="G107" s="14">
        <f>=SUMIF($C$17:$C$502,C107,$F$17:$F$502)</f>
        <v/>
      </c>
      <c r="H107" s="14">
        <f>=IFERROR($B$14/$B$10,"")</f>
        <v/>
      </c>
      <c r="I107" s="15">
        <f>=IFERROR(G107/H107,"")</f>
        <v/>
      </c>
      <c r="J107" s="16" t="n">
        <v>0.002083333333333333</v>
      </c>
      <c r="K107" s="11" t="inlineStr">
        <is>
          <t>LPD07687</t>
        </is>
      </c>
      <c r="L107" s="17" t="inlineStr">
        <is>
          <t>MUBARAK</t>
        </is>
      </c>
    </row>
    <row r="108" ht="18" customHeight="1">
      <c r="A108" s="10" t="inlineStr">
        <is>
          <t>G3</t>
        </is>
      </c>
      <c r="B108" s="10" t="inlineStr">
        <is>
          <t>☐</t>
        </is>
      </c>
      <c r="C108" s="10" t="inlineStr">
        <is>
          <t>WS15</t>
        </is>
      </c>
      <c r="D108" s="11" t="inlineStr">
        <is>
          <t>OP-0028</t>
        </is>
      </c>
      <c r="E108" s="12" t="inlineStr">
        <is>
          <t>Recutting of center stay  (1:2)</t>
        </is>
      </c>
      <c r="F108" s="13" t="n">
        <v>8</v>
      </c>
      <c r="G108" s="14">
        <f>=SUMIF($C$17:$C$502,C108,$F$17:$F$502)</f>
        <v/>
      </c>
      <c r="H108" s="14">
        <f>=IFERROR($B$14/$B$10,"")</f>
        <v/>
      </c>
      <c r="I108" s="15">
        <f>=IFERROR(G108/H108,"")</f>
        <v/>
      </c>
      <c r="J108" s="16" t="n">
        <v>0.002222222222222222</v>
      </c>
      <c r="K108" s="11" t="inlineStr">
        <is>
          <t>LPD07687</t>
        </is>
      </c>
      <c r="L108" s="17" t="inlineStr">
        <is>
          <t>MUBARAK</t>
        </is>
      </c>
    </row>
    <row r="109" ht="18" customHeight="1">
      <c r="A109" s="10" t="inlineStr">
        <is>
          <t>G1</t>
        </is>
      </c>
      <c r="B109" s="10" t="inlineStr">
        <is>
          <t>☑</t>
        </is>
      </c>
      <c r="C109" s="10" t="inlineStr">
        <is>
          <t>WS16</t>
        </is>
      </c>
      <c r="D109" s="11" t="inlineStr">
        <is>
          <t>OP-0066</t>
        </is>
      </c>
      <c r="E109" s="12" t="inlineStr">
        <is>
          <t>Foil Embossing on cc pkt</t>
        </is>
      </c>
      <c r="F109" s="13" t="n">
        <v>28</v>
      </c>
      <c r="G109" s="14">
        <f>=SUMIF($C$17:$C$502,C109,$F$17:$F$502)</f>
        <v/>
      </c>
      <c r="H109" s="14">
        <f>=IFERROR($B$14/$B$10,"")</f>
        <v/>
      </c>
      <c r="I109" s="15">
        <f>=IFERROR(G109/H109,"")</f>
        <v/>
      </c>
      <c r="J109" s="16" t="n">
        <v>0.007777777777777778</v>
      </c>
      <c r="K109" s="11" t="inlineStr">
        <is>
          <t>LPD10907</t>
        </is>
      </c>
      <c r="L109" s="17" t="inlineStr">
        <is>
          <t>RASOOL</t>
        </is>
      </c>
    </row>
    <row r="110" ht="18" customHeight="1">
      <c r="A110" s="10" t="inlineStr">
        <is>
          <t>G1</t>
        </is>
      </c>
      <c r="B110" s="10" t="inlineStr">
        <is>
          <t>☐</t>
        </is>
      </c>
      <c r="C110" s="10" t="inlineStr">
        <is>
          <t>WS16</t>
        </is>
      </c>
      <c r="D110" s="11" t="inlineStr">
        <is>
          <t>OP-0067</t>
        </is>
      </c>
      <c r="E110" s="12" t="inlineStr">
        <is>
          <t>inserting &amp; Pressing snap male button  (1-Nos)</t>
        </is>
      </c>
      <c r="F110" s="13" t="n">
        <v>18</v>
      </c>
      <c r="G110" s="14">
        <f>=SUMIF($C$17:$C$502,C110,$F$17:$F$502)</f>
        <v/>
      </c>
      <c r="H110" s="14">
        <f>=IFERROR($B$14/$B$10,"")</f>
        <v/>
      </c>
      <c r="I110" s="15">
        <f>=IFERROR(G110/H110,"")</f>
        <v/>
      </c>
      <c r="J110" s="16" t="n">
        <v>0.005</v>
      </c>
      <c r="K110" s="11" t="inlineStr">
        <is>
          <t>LPD10907</t>
        </is>
      </c>
      <c r="L110" s="17" t="inlineStr">
        <is>
          <t>RASOOL</t>
        </is>
      </c>
    </row>
    <row r="111" ht="18" customHeight="1">
      <c r="A111" s="10" t="inlineStr">
        <is>
          <t>G1</t>
        </is>
      </c>
      <c r="B111" s="10" t="inlineStr">
        <is>
          <t>☐</t>
        </is>
      </c>
      <c r="C111" s="10" t="inlineStr">
        <is>
          <t>WS16</t>
        </is>
      </c>
      <c r="D111" s="11" t="inlineStr">
        <is>
          <t>OP-0068</t>
        </is>
      </c>
      <c r="E111" s="12" t="inlineStr">
        <is>
          <t>Revitting Female button on Top</t>
        </is>
      </c>
      <c r="F111" s="13" t="n">
        <v>18</v>
      </c>
      <c r="G111" s="14">
        <f>=SUMIF($C$17:$C$502,C111,$F$17:$F$502)</f>
        <v/>
      </c>
      <c r="H111" s="14">
        <f>=IFERROR($B$14/$B$10,"")</f>
        <v/>
      </c>
      <c r="I111" s="15">
        <f>=IFERROR(G111/H111,"")</f>
        <v/>
      </c>
      <c r="J111" s="16" t="n">
        <v>0.005</v>
      </c>
      <c r="K111" s="11" t="inlineStr">
        <is>
          <t>LPD10907</t>
        </is>
      </c>
      <c r="L111" s="17" t="inlineStr">
        <is>
          <t>RASOOL</t>
        </is>
      </c>
    </row>
    <row r="112" ht="18" customHeight="1">
      <c r="A112" s="10" t="inlineStr">
        <is>
          <t>G1</t>
        </is>
      </c>
      <c r="B112" s="10" t="inlineStr">
        <is>
          <t>☐</t>
        </is>
      </c>
      <c r="C112" s="10" t="inlineStr">
        <is>
          <t>WS16</t>
        </is>
      </c>
      <c r="D112" s="11" t="inlineStr">
        <is>
          <t>OP-0069</t>
        </is>
      </c>
      <c r="E112" s="12" t="inlineStr">
        <is>
          <t>Grinding  Logo on Top</t>
        </is>
      </c>
      <c r="F112" s="13" t="n">
        <v>16</v>
      </c>
      <c r="G112" s="14">
        <f>=SUMIF($C$17:$C$502,C112,$F$17:$F$502)</f>
        <v/>
      </c>
      <c r="H112" s="14">
        <f>=IFERROR($B$14/$B$10,"")</f>
        <v/>
      </c>
      <c r="I112" s="15">
        <f>=IFERROR(G112/H112,"")</f>
        <v/>
      </c>
      <c r="J112" s="16" t="n">
        <v>0.004444444444444444</v>
      </c>
      <c r="K112" s="11" t="inlineStr">
        <is>
          <t>LPD10907</t>
        </is>
      </c>
      <c r="L112" s="17" t="inlineStr">
        <is>
          <t>RASOOL</t>
        </is>
      </c>
    </row>
    <row r="113" ht="18" customHeight="1">
      <c r="A113" s="10" t="inlineStr">
        <is>
          <t>G3</t>
        </is>
      </c>
      <c r="B113" s="10" t="inlineStr">
        <is>
          <t>☑</t>
        </is>
      </c>
      <c r="C113" s="10" t="inlineStr">
        <is>
          <t>WS17</t>
        </is>
      </c>
      <c r="D113" s="11" t="inlineStr">
        <is>
          <t>OP-0070</t>
        </is>
      </c>
      <c r="E113" s="12" t="inlineStr">
        <is>
          <t>Pressing logo on Top</t>
        </is>
      </c>
      <c r="F113" s="13" t="n">
        <v>68</v>
      </c>
      <c r="G113" s="14">
        <f>=SUMIF($C$17:$C$502,C113,$F$17:$F$502)</f>
        <v/>
      </c>
      <c r="H113" s="14">
        <f>=IFERROR($B$14/$B$10,"")</f>
        <v/>
      </c>
      <c r="I113" s="15">
        <f>=IFERROR(G113/H113,"")</f>
        <v/>
      </c>
      <c r="J113" s="16" t="n">
        <v>0.01888888888888889</v>
      </c>
      <c r="K113" s="11" t="inlineStr">
        <is>
          <t>LPD09926</t>
        </is>
      </c>
      <c r="L113" s="17" t="inlineStr">
        <is>
          <t>AKBAR</t>
        </is>
      </c>
    </row>
    <row r="114" ht="18" customHeight="1">
      <c r="A114" s="10" t="inlineStr">
        <is>
          <t>G3</t>
        </is>
      </c>
      <c r="B114" s="10" t="inlineStr">
        <is>
          <t>☐</t>
        </is>
      </c>
      <c r="C114" s="10" t="inlineStr">
        <is>
          <t>WS17</t>
        </is>
      </c>
      <c r="D114" s="11" t="inlineStr">
        <is>
          <t>OP-0071</t>
        </is>
      </c>
      <c r="E114" s="12" t="inlineStr">
        <is>
          <t>Attaching Self adhesive logo cover kimlon</t>
        </is>
      </c>
      <c r="F114" s="13" t="n">
        <v>12</v>
      </c>
      <c r="G114" s="14">
        <f>=SUMIF($C$17:$C$502,C114,$F$17:$F$502)</f>
        <v/>
      </c>
      <c r="H114" s="14">
        <f>=IFERROR($B$14/$B$10,"")</f>
        <v/>
      </c>
      <c r="I114" s="15">
        <f>=IFERROR(G114/H114,"")</f>
        <v/>
      </c>
      <c r="J114" s="16" t="n">
        <v>0.003333333333333334</v>
      </c>
      <c r="K114" s="11" t="inlineStr">
        <is>
          <t>LPD09926</t>
        </is>
      </c>
      <c r="L114" s="17" t="inlineStr">
        <is>
          <t>AKBAR</t>
        </is>
      </c>
    </row>
    <row r="115" ht="18" customHeight="1">
      <c r="A115" s="10" t="inlineStr">
        <is>
          <t>G3</t>
        </is>
      </c>
      <c r="B115" s="10" t="inlineStr">
        <is>
          <t>☐</t>
        </is>
      </c>
      <c r="C115" s="10" t="inlineStr">
        <is>
          <t>WS18</t>
        </is>
      </c>
      <c r="D115" s="11" t="inlineStr">
        <is>
          <t>OP-0072</t>
        </is>
      </c>
      <c r="E115" s="12" t="inlineStr">
        <is>
          <t>Pasting on top</t>
        </is>
      </c>
      <c r="F115" s="13" t="n">
        <v>14</v>
      </c>
      <c r="G115" s="14">
        <f>=SUMIF($C$17:$C$502,C115,$F$17:$F$502)</f>
        <v/>
      </c>
      <c r="H115" s="14">
        <f>=IFERROR($B$14/$B$10,"")</f>
        <v/>
      </c>
      <c r="I115" s="15">
        <f>=IFERROR(G115/H115,"")</f>
        <v/>
      </c>
      <c r="J115" s="16" t="n">
        <v>0.003888888888888889</v>
      </c>
      <c r="K115" s="11" t="inlineStr">
        <is>
          <t>LPD07960</t>
        </is>
      </c>
      <c r="L115" s="17" t="inlineStr">
        <is>
          <t>F. ZAINATHBEE</t>
        </is>
      </c>
    </row>
    <row r="116" ht="18" customHeight="1">
      <c r="A116" s="10" t="inlineStr">
        <is>
          <t>G3</t>
        </is>
      </c>
      <c r="B116" s="10" t="inlineStr">
        <is>
          <t>☐</t>
        </is>
      </c>
      <c r="C116" s="10" t="inlineStr">
        <is>
          <t>WS19</t>
        </is>
      </c>
      <c r="D116" s="11" t="inlineStr">
        <is>
          <t>OP-0072</t>
        </is>
      </c>
      <c r="E116" s="12" t="inlineStr">
        <is>
          <t>Pasting on top</t>
        </is>
      </c>
      <c r="F116" s="13" t="n">
        <v>14</v>
      </c>
      <c r="G116" s="14">
        <f>=SUMIF($C$17:$C$502,C116,$F$17:$F$502)</f>
        <v/>
      </c>
      <c r="H116" s="14">
        <f>=IFERROR($B$14/$B$10,"")</f>
        <v/>
      </c>
      <c r="I116" s="15">
        <f>=IFERROR(G116/H116,"")</f>
        <v/>
      </c>
      <c r="J116" s="16" t="n">
        <v>0.003888888888888889</v>
      </c>
      <c r="K116" s="11" t="inlineStr">
        <is>
          <t>LPD10526</t>
        </is>
      </c>
      <c r="L116" s="17" t="inlineStr">
        <is>
          <t>SHAKEERA</t>
        </is>
      </c>
    </row>
    <row r="117" ht="18" customHeight="1">
      <c r="A117" s="10" t="inlineStr">
        <is>
          <t>G3</t>
        </is>
      </c>
      <c r="B117" s="10" t="inlineStr">
        <is>
          <t>☐</t>
        </is>
      </c>
      <c r="C117" s="10" t="inlineStr">
        <is>
          <t>WS18</t>
        </is>
      </c>
      <c r="D117" s="11" t="inlineStr">
        <is>
          <t>OP-0073</t>
        </is>
      </c>
      <c r="E117" s="12" t="inlineStr">
        <is>
          <t>Pasting on nonwoven(L/R)</t>
        </is>
      </c>
      <c r="F117" s="13" t="n">
        <v>14</v>
      </c>
      <c r="G117" s="14">
        <f>=SUMIF($C$17:$C$502,C117,$F$17:$F$502)</f>
        <v/>
      </c>
      <c r="H117" s="14">
        <f>=IFERROR($B$14/$B$10,"")</f>
        <v/>
      </c>
      <c r="I117" s="15">
        <f>=IFERROR(G117/H117,"")</f>
        <v/>
      </c>
      <c r="J117" s="16" t="n">
        <v>0.003888888888888889</v>
      </c>
      <c r="K117" s="11" t="inlineStr">
        <is>
          <t>LPD07960</t>
        </is>
      </c>
      <c r="L117" s="17" t="inlineStr">
        <is>
          <t>F. ZAINATHBEE</t>
        </is>
      </c>
    </row>
    <row r="118" ht="18" customHeight="1">
      <c r="A118" s="10" t="inlineStr">
        <is>
          <t>G3</t>
        </is>
      </c>
      <c r="B118" s="10" t="inlineStr">
        <is>
          <t>☐</t>
        </is>
      </c>
      <c r="C118" s="10" t="inlineStr">
        <is>
          <t>WS19</t>
        </is>
      </c>
      <c r="D118" s="11" t="inlineStr">
        <is>
          <t>OP-0073</t>
        </is>
      </c>
      <c r="E118" s="12" t="inlineStr">
        <is>
          <t>Pasting on nonwoven(L/R)</t>
        </is>
      </c>
      <c r="F118" s="13" t="n">
        <v>14</v>
      </c>
      <c r="G118" s="14">
        <f>=SUMIF($C$17:$C$502,C118,$F$17:$F$502)</f>
        <v/>
      </c>
      <c r="H118" s="14">
        <f>=IFERROR($B$14/$B$10,"")</f>
        <v/>
      </c>
      <c r="I118" s="15">
        <f>=IFERROR(G118/H118,"")</f>
        <v/>
      </c>
      <c r="J118" s="16" t="n">
        <v>0.003888888888888889</v>
      </c>
      <c r="K118" s="11" t="inlineStr">
        <is>
          <t>LPD10526</t>
        </is>
      </c>
      <c r="L118" s="17" t="inlineStr">
        <is>
          <t>SHAKEERA</t>
        </is>
      </c>
    </row>
    <row r="119" ht="18" customHeight="1">
      <c r="A119" s="10" t="inlineStr">
        <is>
          <t>G3</t>
        </is>
      </c>
      <c r="B119" s="10" t="inlineStr">
        <is>
          <t>☐</t>
        </is>
      </c>
      <c r="C119" s="10" t="inlineStr">
        <is>
          <t>WS18</t>
        </is>
      </c>
      <c r="D119" s="11" t="inlineStr">
        <is>
          <t>OP-0074</t>
        </is>
      </c>
      <c r="E119" s="12" t="inlineStr">
        <is>
          <t>Pasting &amp; Attaching mica (2) over top</t>
        </is>
      </c>
      <c r="F119" s="13" t="n">
        <v>16</v>
      </c>
      <c r="G119" s="14">
        <f>=SUMIF($C$17:$C$502,C119,$F$17:$F$502)</f>
        <v/>
      </c>
      <c r="H119" s="14">
        <f>=IFERROR($B$14/$B$10,"")</f>
        <v/>
      </c>
      <c r="I119" s="15">
        <f>=IFERROR(G119/H119,"")</f>
        <v/>
      </c>
      <c r="J119" s="16" t="n">
        <v>0.004444444444444444</v>
      </c>
      <c r="K119" s="11" t="inlineStr">
        <is>
          <t>LPD07960</t>
        </is>
      </c>
      <c r="L119" s="17" t="inlineStr">
        <is>
          <t>F. ZAINATHBEE</t>
        </is>
      </c>
    </row>
    <row r="120" ht="18" customHeight="1">
      <c r="A120" s="10" t="inlineStr">
        <is>
          <t>G3</t>
        </is>
      </c>
      <c r="B120" s="10" t="inlineStr">
        <is>
          <t>☐</t>
        </is>
      </c>
      <c r="C120" s="10" t="inlineStr">
        <is>
          <t>WS19</t>
        </is>
      </c>
      <c r="D120" s="11" t="inlineStr">
        <is>
          <t>OP-0074</t>
        </is>
      </c>
      <c r="E120" s="12" t="inlineStr">
        <is>
          <t>Pasting &amp; Attaching mica (2) over top</t>
        </is>
      </c>
      <c r="F120" s="13" t="n">
        <v>16</v>
      </c>
      <c r="G120" s="14">
        <f>=SUMIF($C$17:$C$502,C120,$F$17:$F$502)</f>
        <v/>
      </c>
      <c r="H120" s="14">
        <f>=IFERROR($B$14/$B$10,"")</f>
        <v/>
      </c>
      <c r="I120" s="15">
        <f>=IFERROR(G120/H120,"")</f>
        <v/>
      </c>
      <c r="J120" s="16" t="n">
        <v>0.004444444444444444</v>
      </c>
      <c r="K120" s="11" t="inlineStr">
        <is>
          <t>LPD10526</t>
        </is>
      </c>
      <c r="L120" s="17" t="inlineStr">
        <is>
          <t>SHAKEERA</t>
        </is>
      </c>
    </row>
    <row r="121" ht="18" customHeight="1">
      <c r="A121" s="10" t="inlineStr">
        <is>
          <t>G3</t>
        </is>
      </c>
      <c r="B121" s="10" t="inlineStr">
        <is>
          <t>☐</t>
        </is>
      </c>
      <c r="C121" s="10" t="inlineStr">
        <is>
          <t>WS18</t>
        </is>
      </c>
      <c r="D121" s="11" t="inlineStr">
        <is>
          <t>OP-0075</t>
        </is>
      </c>
      <c r="E121" s="12" t="inlineStr">
        <is>
          <t>Pasting on top &amp; kimlon</t>
        </is>
      </c>
      <c r="F121" s="13" t="n">
        <v>16</v>
      </c>
      <c r="G121" s="14">
        <f>=SUMIF($C$17:$C$502,C121,$F$17:$F$502)</f>
        <v/>
      </c>
      <c r="H121" s="14">
        <f>=IFERROR($B$14/$B$10,"")</f>
        <v/>
      </c>
      <c r="I121" s="15">
        <f>=IFERROR(G121/H121,"")</f>
        <v/>
      </c>
      <c r="J121" s="16" t="n">
        <v>0.004444444444444444</v>
      </c>
      <c r="K121" s="11" t="inlineStr">
        <is>
          <t>LPD07960</t>
        </is>
      </c>
      <c r="L121" s="17" t="inlineStr">
        <is>
          <t>F. ZAINATHBEE</t>
        </is>
      </c>
    </row>
    <row r="122" ht="18" customHeight="1">
      <c r="A122" s="10" t="inlineStr">
        <is>
          <t>G3</t>
        </is>
      </c>
      <c r="B122" s="10" t="inlineStr">
        <is>
          <t>☐</t>
        </is>
      </c>
      <c r="C122" s="10" t="inlineStr">
        <is>
          <t>WS19</t>
        </is>
      </c>
      <c r="D122" s="11" t="inlineStr">
        <is>
          <t>OP-0075</t>
        </is>
      </c>
      <c r="E122" s="12" t="inlineStr">
        <is>
          <t>Pasting on top &amp; kimlon</t>
        </is>
      </c>
      <c r="F122" s="13" t="n">
        <v>16</v>
      </c>
      <c r="G122" s="14">
        <f>=SUMIF($C$17:$C$502,C122,$F$17:$F$502)</f>
        <v/>
      </c>
      <c r="H122" s="14">
        <f>=IFERROR($B$14/$B$10,"")</f>
        <v/>
      </c>
      <c r="I122" s="15">
        <f>=IFERROR(G122/H122,"")</f>
        <v/>
      </c>
      <c r="J122" s="16" t="n">
        <v>0.004444444444444444</v>
      </c>
      <c r="K122" s="11" t="inlineStr">
        <is>
          <t>LPD10526</t>
        </is>
      </c>
      <c r="L122" s="17" t="inlineStr">
        <is>
          <t>SHAKEERA</t>
        </is>
      </c>
    </row>
    <row r="123" ht="18" customHeight="1">
      <c r="A123" s="10" t="inlineStr">
        <is>
          <t>G3</t>
        </is>
      </c>
      <c r="B123" s="10" t="inlineStr">
        <is>
          <t>☐</t>
        </is>
      </c>
      <c r="C123" s="10" t="inlineStr">
        <is>
          <t>WS18</t>
        </is>
      </c>
      <c r="D123" s="11" t="inlineStr">
        <is>
          <t>OP-0076</t>
        </is>
      </c>
      <c r="E123" s="12" t="inlineStr">
        <is>
          <t>Pasting on Top  &amp; center nonwoven(1)</t>
        </is>
      </c>
      <c r="F123" s="13" t="n">
        <v>12</v>
      </c>
      <c r="G123" s="14">
        <f>=SUMIF($C$17:$C$502,C123,$F$17:$F$502)</f>
        <v/>
      </c>
      <c r="H123" s="14">
        <f>=IFERROR($B$14/$B$10,"")</f>
        <v/>
      </c>
      <c r="I123" s="15">
        <f>=IFERROR(G123/H123,"")</f>
        <v/>
      </c>
      <c r="J123" s="16" t="n">
        <v>0.003333333333333334</v>
      </c>
      <c r="K123" s="11" t="inlineStr">
        <is>
          <t>LPD07960</t>
        </is>
      </c>
      <c r="L123" s="17" t="inlineStr">
        <is>
          <t>F. ZAINATHBEE</t>
        </is>
      </c>
    </row>
    <row r="124" ht="18" customHeight="1">
      <c r="A124" s="10" t="inlineStr">
        <is>
          <t>G3</t>
        </is>
      </c>
      <c r="B124" s="10" t="inlineStr">
        <is>
          <t>☐</t>
        </is>
      </c>
      <c r="C124" s="10" t="inlineStr">
        <is>
          <t>WS19</t>
        </is>
      </c>
      <c r="D124" s="11" t="inlineStr">
        <is>
          <t>OP-0076</t>
        </is>
      </c>
      <c r="E124" s="12" t="inlineStr">
        <is>
          <t>Pasting on Top  &amp; center nonwoven(1)</t>
        </is>
      </c>
      <c r="F124" s="13" t="n">
        <v>12</v>
      </c>
      <c r="G124" s="14">
        <f>=SUMIF($C$17:$C$502,C124,$F$17:$F$502)</f>
        <v/>
      </c>
      <c r="H124" s="14">
        <f>=IFERROR($B$14/$B$10,"")</f>
        <v/>
      </c>
      <c r="I124" s="15">
        <f>=IFERROR(G124/H124,"")</f>
        <v/>
      </c>
      <c r="J124" s="16" t="n">
        <v>0.003333333333333334</v>
      </c>
      <c r="K124" s="11" t="inlineStr">
        <is>
          <t>LPD10526</t>
        </is>
      </c>
      <c r="L124" s="17" t="inlineStr">
        <is>
          <t>SHAKEERA</t>
        </is>
      </c>
    </row>
    <row r="125" ht="18" customHeight="1">
      <c r="A125" s="10" t="inlineStr">
        <is>
          <t>G3</t>
        </is>
      </c>
      <c r="B125" s="10" t="inlineStr">
        <is>
          <t>☐</t>
        </is>
      </c>
      <c r="C125" s="10" t="inlineStr">
        <is>
          <t>WS18</t>
        </is>
      </c>
      <c r="D125" s="11" t="inlineStr">
        <is>
          <t>OP-0077</t>
        </is>
      </c>
      <c r="E125" s="12" t="inlineStr">
        <is>
          <t>Pasting on Top &amp; moon bit</t>
        </is>
      </c>
      <c r="F125" s="13" t="n">
        <v>6</v>
      </c>
      <c r="G125" s="14">
        <f>=SUMIF($C$17:$C$502,C125,$F$17:$F$502)</f>
        <v/>
      </c>
      <c r="H125" s="14">
        <f>=IFERROR($B$14/$B$10,"")</f>
        <v/>
      </c>
      <c r="I125" s="15">
        <f>=IFERROR(G125/H125,"")</f>
        <v/>
      </c>
      <c r="J125" s="16" t="n">
        <v>0.001666666666666667</v>
      </c>
      <c r="K125" s="11" t="inlineStr">
        <is>
          <t>LPD07960</t>
        </is>
      </c>
      <c r="L125" s="17" t="inlineStr">
        <is>
          <t>F. ZAINATHBEE</t>
        </is>
      </c>
    </row>
    <row r="126" ht="18" customHeight="1">
      <c r="A126" s="10" t="inlineStr">
        <is>
          <t>G3</t>
        </is>
      </c>
      <c r="B126" s="10" t="inlineStr">
        <is>
          <t>☐</t>
        </is>
      </c>
      <c r="C126" s="10" t="inlineStr">
        <is>
          <t>WS19</t>
        </is>
      </c>
      <c r="D126" s="11" t="inlineStr">
        <is>
          <t>OP-0077</t>
        </is>
      </c>
      <c r="E126" s="12" t="inlineStr">
        <is>
          <t>Pasting on Top &amp; moon bit</t>
        </is>
      </c>
      <c r="F126" s="13" t="n">
        <v>6</v>
      </c>
      <c r="G126" s="14">
        <f>=SUMIF($C$17:$C$502,C126,$F$17:$F$502)</f>
        <v/>
      </c>
      <c r="H126" s="14">
        <f>=IFERROR($B$14/$B$10,"")</f>
        <v/>
      </c>
      <c r="I126" s="15">
        <f>=IFERROR(G126/H126,"")</f>
        <v/>
      </c>
      <c r="J126" s="16" t="n">
        <v>0.001666666666666667</v>
      </c>
      <c r="K126" s="11" t="inlineStr">
        <is>
          <t>LPD10526</t>
        </is>
      </c>
      <c r="L126" s="17" t="inlineStr">
        <is>
          <t>SHAKEERA</t>
        </is>
      </c>
    </row>
    <row r="127" ht="18" customHeight="1">
      <c r="A127" s="10" t="inlineStr">
        <is>
          <t>G3</t>
        </is>
      </c>
      <c r="B127" s="10" t="inlineStr">
        <is>
          <t>☐</t>
        </is>
      </c>
      <c r="C127" s="10" t="inlineStr">
        <is>
          <t>WS18</t>
        </is>
      </c>
      <c r="D127" s="11" t="inlineStr">
        <is>
          <t>OP-0078</t>
        </is>
      </c>
      <c r="E127" s="12" t="inlineStr">
        <is>
          <t>Attaching kimlon over top</t>
        </is>
      </c>
      <c r="F127" s="13" t="n">
        <v>16</v>
      </c>
      <c r="G127" s="14">
        <f>=SUMIF($C$17:$C$502,C127,$F$17:$F$502)</f>
        <v/>
      </c>
      <c r="H127" s="14">
        <f>=IFERROR($B$14/$B$10,"")</f>
        <v/>
      </c>
      <c r="I127" s="15">
        <f>=IFERROR(G127/H127,"")</f>
        <v/>
      </c>
      <c r="J127" s="16" t="n">
        <v>0.004444444444444444</v>
      </c>
      <c r="K127" s="11" t="inlineStr">
        <is>
          <t>LPD07960</t>
        </is>
      </c>
      <c r="L127" s="17" t="inlineStr">
        <is>
          <t>F. ZAINATHBEE</t>
        </is>
      </c>
    </row>
    <row r="128" ht="18" customHeight="1">
      <c r="A128" s="10" t="inlineStr">
        <is>
          <t>G3</t>
        </is>
      </c>
      <c r="B128" s="10" t="inlineStr">
        <is>
          <t>☐</t>
        </is>
      </c>
      <c r="C128" s="10" t="inlineStr">
        <is>
          <t>WS19</t>
        </is>
      </c>
      <c r="D128" s="11" t="inlineStr">
        <is>
          <t>OP-0078</t>
        </is>
      </c>
      <c r="E128" s="12" t="inlineStr">
        <is>
          <t>Attaching kimlon over top</t>
        </is>
      </c>
      <c r="F128" s="13" t="n">
        <v>16</v>
      </c>
      <c r="G128" s="14">
        <f>=SUMIF($C$17:$C$502,C128,$F$17:$F$502)</f>
        <v/>
      </c>
      <c r="H128" s="14">
        <f>=IFERROR($B$14/$B$10,"")</f>
        <v/>
      </c>
      <c r="I128" s="15">
        <f>=IFERROR(G128/H128,"")</f>
        <v/>
      </c>
      <c r="J128" s="16" t="n">
        <v>0.004444444444444444</v>
      </c>
      <c r="K128" s="11" t="inlineStr">
        <is>
          <t>LPD10526</t>
        </is>
      </c>
      <c r="L128" s="17" t="inlineStr">
        <is>
          <t>SHAKEERA</t>
        </is>
      </c>
    </row>
    <row r="129" ht="18" customHeight="1">
      <c r="A129" s="10" t="inlineStr">
        <is>
          <t>G3</t>
        </is>
      </c>
      <c r="B129" s="10" t="inlineStr">
        <is>
          <t>☐</t>
        </is>
      </c>
      <c r="C129" s="10" t="inlineStr">
        <is>
          <t>WS18</t>
        </is>
      </c>
      <c r="D129" s="11" t="inlineStr">
        <is>
          <t>OP-0079</t>
        </is>
      </c>
      <c r="E129" s="12" t="inlineStr">
        <is>
          <t>Attaching nonwoven with top</t>
        </is>
      </c>
      <c r="F129" s="13" t="n">
        <v>20</v>
      </c>
      <c r="G129" s="14">
        <f>=SUMIF($C$17:$C$502,C129,$F$17:$F$502)</f>
        <v/>
      </c>
      <c r="H129" s="14">
        <f>=IFERROR($B$14/$B$10,"")</f>
        <v/>
      </c>
      <c r="I129" s="15">
        <f>=IFERROR(G129/H129,"")</f>
        <v/>
      </c>
      <c r="J129" s="16" t="n">
        <v>0.005555555555555556</v>
      </c>
      <c r="K129" s="11" t="inlineStr">
        <is>
          <t>LPD07960</t>
        </is>
      </c>
      <c r="L129" s="17" t="inlineStr">
        <is>
          <t>F. ZAINATHBEE</t>
        </is>
      </c>
    </row>
    <row r="130" ht="18" customHeight="1">
      <c r="A130" s="10" t="inlineStr">
        <is>
          <t>G3</t>
        </is>
      </c>
      <c r="B130" s="10" t="inlineStr">
        <is>
          <t>☐</t>
        </is>
      </c>
      <c r="C130" s="10" t="inlineStr">
        <is>
          <t>WS19</t>
        </is>
      </c>
      <c r="D130" s="11" t="inlineStr">
        <is>
          <t>OP-0079</t>
        </is>
      </c>
      <c r="E130" s="12" t="inlineStr">
        <is>
          <t>Attaching nonwoven with top</t>
        </is>
      </c>
      <c r="F130" s="13" t="n">
        <v>20</v>
      </c>
      <c r="G130" s="14">
        <f>=SUMIF($C$17:$C$502,C130,$F$17:$F$502)</f>
        <v/>
      </c>
      <c r="H130" s="14">
        <f>=IFERROR($B$14/$B$10,"")</f>
        <v/>
      </c>
      <c r="I130" s="15">
        <f>=IFERROR(G130/H130,"")</f>
        <v/>
      </c>
      <c r="J130" s="16" t="n">
        <v>0.005555555555555556</v>
      </c>
      <c r="K130" s="11" t="inlineStr">
        <is>
          <t>LPD10526</t>
        </is>
      </c>
      <c r="L130" s="17" t="inlineStr">
        <is>
          <t>SHAKEERA</t>
        </is>
      </c>
    </row>
    <row r="131" ht="18" customHeight="1">
      <c r="A131" s="10" t="inlineStr">
        <is>
          <t>G3</t>
        </is>
      </c>
      <c r="B131" s="10" t="inlineStr">
        <is>
          <t>☐</t>
        </is>
      </c>
      <c r="C131" s="10" t="inlineStr">
        <is>
          <t>WS18</t>
        </is>
      </c>
      <c r="D131" s="11" t="inlineStr">
        <is>
          <t>OP-0080</t>
        </is>
      </c>
      <c r="E131" s="12" t="inlineStr">
        <is>
          <t>Attaching center nonwoven with top</t>
        </is>
      </c>
      <c r="F131" s="13" t="n">
        <v>10</v>
      </c>
      <c r="G131" s="14">
        <f>=SUMIF($C$17:$C$502,C131,$F$17:$F$502)</f>
        <v/>
      </c>
      <c r="H131" s="14">
        <f>=IFERROR($B$14/$B$10,"")</f>
        <v/>
      </c>
      <c r="I131" s="15">
        <f>=IFERROR(G131/H131,"")</f>
        <v/>
      </c>
      <c r="J131" s="16" t="n">
        <v>0.002777777777777778</v>
      </c>
      <c r="K131" s="11" t="inlineStr">
        <is>
          <t>LPD07960</t>
        </is>
      </c>
      <c r="L131" s="17" t="inlineStr">
        <is>
          <t>F. ZAINATHBEE</t>
        </is>
      </c>
    </row>
    <row r="132" ht="18" customHeight="1">
      <c r="A132" s="10" t="inlineStr">
        <is>
          <t>G3</t>
        </is>
      </c>
      <c r="B132" s="10" t="inlineStr">
        <is>
          <t>☐</t>
        </is>
      </c>
      <c r="C132" s="10" t="inlineStr">
        <is>
          <t>WS19</t>
        </is>
      </c>
      <c r="D132" s="11" t="inlineStr">
        <is>
          <t>OP-0080</t>
        </is>
      </c>
      <c r="E132" s="12" t="inlineStr">
        <is>
          <t>Attaching center nonwoven with top</t>
        </is>
      </c>
      <c r="F132" s="13" t="n">
        <v>10</v>
      </c>
      <c r="G132" s="14">
        <f>=SUMIF($C$17:$C$502,C132,$F$17:$F$502)</f>
        <v/>
      </c>
      <c r="H132" s="14">
        <f>=IFERROR($B$14/$B$10,"")</f>
        <v/>
      </c>
      <c r="I132" s="15">
        <f>=IFERROR(G132/H132,"")</f>
        <v/>
      </c>
      <c r="J132" s="16" t="n">
        <v>0.002777777777777778</v>
      </c>
      <c r="K132" s="11" t="inlineStr">
        <is>
          <t>LPD10526</t>
        </is>
      </c>
      <c r="L132" s="17" t="inlineStr">
        <is>
          <t>SHAKEERA</t>
        </is>
      </c>
    </row>
    <row r="133" ht="18" customHeight="1">
      <c r="A133" s="10" t="inlineStr">
        <is>
          <t>G3</t>
        </is>
      </c>
      <c r="B133" s="10" t="inlineStr">
        <is>
          <t>☐</t>
        </is>
      </c>
      <c r="C133" s="10" t="inlineStr">
        <is>
          <t>WS18</t>
        </is>
      </c>
      <c r="D133" s="11" t="inlineStr">
        <is>
          <t>OP-0081</t>
        </is>
      </c>
      <c r="E133" s="12" t="inlineStr">
        <is>
          <t>Attaching moon bit</t>
        </is>
      </c>
      <c r="F133" s="13" t="n">
        <v>10</v>
      </c>
      <c r="G133" s="14">
        <f>=SUMIF($C$17:$C$502,C133,$F$17:$F$502)</f>
        <v/>
      </c>
      <c r="H133" s="14">
        <f>=IFERROR($B$14/$B$10,"")</f>
        <v/>
      </c>
      <c r="I133" s="15">
        <f>=IFERROR(G133/H133,"")</f>
        <v/>
      </c>
      <c r="J133" s="16" t="n">
        <v>0.002777777777777778</v>
      </c>
      <c r="K133" s="11" t="inlineStr">
        <is>
          <t>LPD07960</t>
        </is>
      </c>
      <c r="L133" s="17" t="inlineStr">
        <is>
          <t>F. ZAINATHBEE</t>
        </is>
      </c>
    </row>
    <row r="134" ht="18" customHeight="1">
      <c r="A134" s="10" t="inlineStr">
        <is>
          <t>G3</t>
        </is>
      </c>
      <c r="B134" s="10" t="inlineStr">
        <is>
          <t>☐</t>
        </is>
      </c>
      <c r="C134" s="10" t="inlineStr">
        <is>
          <t>WS19</t>
        </is>
      </c>
      <c r="D134" s="11" t="inlineStr">
        <is>
          <t>OP-0081</t>
        </is>
      </c>
      <c r="E134" s="12" t="inlineStr">
        <is>
          <t>Attaching moon bit</t>
        </is>
      </c>
      <c r="F134" s="13" t="n">
        <v>10</v>
      </c>
      <c r="G134" s="14">
        <f>=SUMIF($C$17:$C$502,C134,$F$17:$F$502)</f>
        <v/>
      </c>
      <c r="H134" s="14">
        <f>=IFERROR($B$14/$B$10,"")</f>
        <v/>
      </c>
      <c r="I134" s="15">
        <f>=IFERROR(G134/H134,"")</f>
        <v/>
      </c>
      <c r="J134" s="16" t="n">
        <v>0.002777777777777778</v>
      </c>
      <c r="K134" s="11" t="inlineStr">
        <is>
          <t>LPD10526</t>
        </is>
      </c>
      <c r="L134" s="17" t="inlineStr">
        <is>
          <t>SHAKEERA</t>
        </is>
      </c>
    </row>
    <row r="135" ht="18" customHeight="1">
      <c r="A135" s="10" t="inlineStr">
        <is>
          <t>G4</t>
        </is>
      </c>
      <c r="B135" s="10" t="inlineStr">
        <is>
          <t>☐</t>
        </is>
      </c>
      <c r="C135" s="10" t="inlineStr">
        <is>
          <t>WS20</t>
        </is>
      </c>
      <c r="D135" s="11" t="inlineStr">
        <is>
          <t>OP-0082</t>
        </is>
      </c>
      <c r="E135" s="12" t="inlineStr">
        <is>
          <t>Stitching center stay</t>
        </is>
      </c>
      <c r="F135" s="13" t="n">
        <v>12</v>
      </c>
      <c r="G135" s="14">
        <f>=SUMIF($C$17:$C$502,C135,$F$17:$F$502)</f>
        <v/>
      </c>
      <c r="H135" s="14">
        <f>=IFERROR($B$14/$B$10,"")</f>
        <v/>
      </c>
      <c r="I135" s="15">
        <f>=IFERROR(G135/H135,"")</f>
        <v/>
      </c>
      <c r="J135" s="16" t="n">
        <v>0.003333333333333334</v>
      </c>
      <c r="K135" s="11" t="inlineStr">
        <is>
          <t>LPD09853</t>
        </is>
      </c>
      <c r="L135" s="17" t="inlineStr">
        <is>
          <t>SUBAN</t>
        </is>
      </c>
    </row>
    <row r="136" ht="18" customHeight="1">
      <c r="A136" s="10" t="inlineStr">
        <is>
          <t>G4</t>
        </is>
      </c>
      <c r="B136" s="10" t="inlineStr">
        <is>
          <t>☐</t>
        </is>
      </c>
      <c r="C136" s="10" t="inlineStr">
        <is>
          <t>WS20</t>
        </is>
      </c>
      <c r="D136" s="11" t="inlineStr">
        <is>
          <t>OP-0082</t>
        </is>
      </c>
      <c r="E136" s="12" t="inlineStr">
        <is>
          <t>Stitching center stay</t>
        </is>
      </c>
      <c r="F136" s="13" t="n">
        <v>20</v>
      </c>
      <c r="G136" s="14">
        <f>=SUMIF($C$17:$C$502,C136,$F$17:$F$502)</f>
        <v/>
      </c>
      <c r="H136" s="14">
        <f>=IFERROR($B$14/$B$10,"")</f>
        <v/>
      </c>
      <c r="I136" s="15">
        <f>=IFERROR(G136/H136,"")</f>
        <v/>
      </c>
      <c r="J136" s="16" t="n">
        <v>0.005555555555555556</v>
      </c>
      <c r="K136" s="11" t="inlineStr">
        <is>
          <t>LPD09853</t>
        </is>
      </c>
      <c r="L136" s="17" t="inlineStr">
        <is>
          <t>SUBAN</t>
        </is>
      </c>
    </row>
    <row r="137" ht="18" customHeight="1">
      <c r="A137" s="10" t="inlineStr">
        <is>
          <t>G4</t>
        </is>
      </c>
      <c r="B137" s="10" t="inlineStr">
        <is>
          <t>☐</t>
        </is>
      </c>
      <c r="C137" s="10" t="inlineStr">
        <is>
          <t>WS22</t>
        </is>
      </c>
      <c r="D137" s="11" t="inlineStr">
        <is>
          <t>OP-0083</t>
        </is>
      </c>
      <c r="E137" s="12" t="inlineStr">
        <is>
          <t>Stitching  left &amp; right gusset on Top Sides</t>
        </is>
      </c>
      <c r="F137" s="13" t="n">
        <v>20</v>
      </c>
      <c r="G137" s="14">
        <f>=SUMIF($C$17:$C$502,C137,$F$17:$F$502)</f>
        <v/>
      </c>
      <c r="H137" s="14">
        <f>=IFERROR($B$14/$B$10,"")</f>
        <v/>
      </c>
      <c r="I137" s="15">
        <f>=IFERROR(G137/H137,"")</f>
        <v/>
      </c>
      <c r="J137" s="16" t="n">
        <v>0.005555555555555556</v>
      </c>
      <c r="K137" s="11" t="inlineStr">
        <is>
          <t>LPD11453</t>
        </is>
      </c>
      <c r="L137" s="17" t="inlineStr">
        <is>
          <t>MUNNI</t>
        </is>
      </c>
    </row>
    <row r="138" ht="18" customHeight="1">
      <c r="A138" s="10" t="inlineStr">
        <is>
          <t>G4</t>
        </is>
      </c>
      <c r="B138" s="10" t="inlineStr">
        <is>
          <t>☐</t>
        </is>
      </c>
      <c r="C138" s="10" t="inlineStr">
        <is>
          <t>WS22</t>
        </is>
      </c>
      <c r="D138" s="11" t="inlineStr">
        <is>
          <t>OP-0084</t>
        </is>
      </c>
      <c r="E138" s="12" t="inlineStr">
        <is>
          <t>Stitching  left  gusset  pu &amp; lining on bottom Sides</t>
        </is>
      </c>
      <c r="F138" s="13" t="n">
        <v>20</v>
      </c>
      <c r="G138" s="14">
        <f>=SUMIF($C$17:$C$502,C138,$F$17:$F$502)</f>
        <v/>
      </c>
      <c r="H138" s="14">
        <f>=IFERROR($B$14/$B$10,"")</f>
        <v/>
      </c>
      <c r="I138" s="15">
        <f>=IFERROR(G138/H138,"")</f>
        <v/>
      </c>
      <c r="J138" s="16" t="n">
        <v>0.005555555555555556</v>
      </c>
      <c r="K138" s="11" t="inlineStr">
        <is>
          <t>LPD11453</t>
        </is>
      </c>
      <c r="L138" s="17" t="inlineStr">
        <is>
          <t>MUNNI</t>
        </is>
      </c>
    </row>
    <row r="139" ht="18" customHeight="1">
      <c r="A139" s="10" t="inlineStr">
        <is>
          <t>G4</t>
        </is>
      </c>
      <c r="B139" s="10" t="inlineStr">
        <is>
          <t>☐</t>
        </is>
      </c>
      <c r="C139" s="10" t="inlineStr">
        <is>
          <t>WS22</t>
        </is>
      </c>
      <c r="D139" s="11" t="inlineStr">
        <is>
          <t>OP-0085</t>
        </is>
      </c>
      <c r="E139" s="12" t="inlineStr">
        <is>
          <t>Stitching zipper with lining</t>
        </is>
      </c>
      <c r="F139" s="13" t="n">
        <v>12</v>
      </c>
      <c r="G139" s="14">
        <f>=SUMIF($C$17:$C$502,C139,$F$17:$F$502)</f>
        <v/>
      </c>
      <c r="H139" s="14">
        <f>=IFERROR($B$14/$B$10,"")</f>
        <v/>
      </c>
      <c r="I139" s="15">
        <f>=IFERROR(G139/H139,"")</f>
        <v/>
      </c>
      <c r="J139" s="16" t="n">
        <v>0.003333333333333334</v>
      </c>
      <c r="K139" s="11" t="inlineStr">
        <is>
          <t>LPD11453</t>
        </is>
      </c>
      <c r="L139" s="17" t="inlineStr">
        <is>
          <t>MUNNI</t>
        </is>
      </c>
    </row>
    <row r="140" ht="18" customHeight="1">
      <c r="A140" s="10" t="inlineStr">
        <is>
          <t>G4</t>
        </is>
      </c>
      <c r="B140" s="10" t="inlineStr">
        <is>
          <t>☐</t>
        </is>
      </c>
      <c r="C140" s="10" t="inlineStr">
        <is>
          <t>WS23</t>
        </is>
      </c>
      <c r="D140" s="11" t="inlineStr">
        <is>
          <t>OP-0086</t>
        </is>
      </c>
      <c r="E140" s="12" t="inlineStr">
        <is>
          <t>Top moon bit stitching</t>
        </is>
      </c>
      <c r="F140" s="13" t="n">
        <v>12</v>
      </c>
      <c r="G140" s="14">
        <f>=SUMIF($C$17:$C$502,C140,$F$17:$F$502)</f>
        <v/>
      </c>
      <c r="H140" s="14">
        <f>=IFERROR($B$14/$B$10,"")</f>
        <v/>
      </c>
      <c r="I140" s="15">
        <f>=IFERROR(G140/H140,"")</f>
        <v/>
      </c>
      <c r="J140" s="16" t="n">
        <v>0.003333333333333334</v>
      </c>
      <c r="K140" s="11" t="inlineStr">
        <is>
          <t>LPDS95282</t>
        </is>
      </c>
      <c r="L140" s="17" t="inlineStr">
        <is>
          <t>ASEENA</t>
        </is>
      </c>
    </row>
    <row r="141" ht="18" customHeight="1">
      <c r="A141" s="10" t="inlineStr">
        <is>
          <t>G4</t>
        </is>
      </c>
      <c r="B141" s="10" t="inlineStr">
        <is>
          <t>☐</t>
        </is>
      </c>
      <c r="C141" s="10" t="inlineStr">
        <is>
          <t>WS23</t>
        </is>
      </c>
      <c r="D141" s="11" t="inlineStr">
        <is>
          <t>OP-0087</t>
        </is>
      </c>
      <c r="E141" s="12" t="inlineStr">
        <is>
          <t>Stitching top side of cc pkt   &amp;  bottom centerstay</t>
        </is>
      </c>
      <c r="F141" s="13" t="n">
        <v>36</v>
      </c>
      <c r="G141" s="14">
        <f>=SUMIF($C$17:$C$502,C141,$F$17:$F$502)</f>
        <v/>
      </c>
      <c r="H141" s="14">
        <f>=IFERROR($B$14/$B$10,"")</f>
        <v/>
      </c>
      <c r="I141" s="15">
        <f>=IFERROR(G141/H141,"")</f>
        <v/>
      </c>
      <c r="J141" s="16" t="n">
        <v>0.01</v>
      </c>
      <c r="K141" s="11" t="inlineStr">
        <is>
          <t>LPDS95282</t>
        </is>
      </c>
      <c r="L141" s="17" t="inlineStr">
        <is>
          <t>ASEENA</t>
        </is>
      </c>
    </row>
    <row r="142" ht="18" customHeight="1">
      <c r="A142" s="10" t="inlineStr">
        <is>
          <t>G4</t>
        </is>
      </c>
      <c r="B142" s="10" t="inlineStr">
        <is>
          <t>☐</t>
        </is>
      </c>
      <c r="C142" s="10" t="inlineStr">
        <is>
          <t>WS23</t>
        </is>
      </c>
      <c r="D142" s="11" t="inlineStr">
        <is>
          <t>OP-0088</t>
        </is>
      </c>
      <c r="E142" s="12" t="inlineStr">
        <is>
          <t>Stitching shell pkt left side</t>
        </is>
      </c>
      <c r="F142" s="13" t="n">
        <v>28</v>
      </c>
      <c r="G142" s="14">
        <f>=SUMIF($C$17:$C$502,C142,$F$17:$F$502)</f>
        <v/>
      </c>
      <c r="H142" s="14">
        <f>=IFERROR($B$14/$B$10,"")</f>
        <v/>
      </c>
      <c r="I142" s="15">
        <f>=IFERROR(G142/H142,"")</f>
        <v/>
      </c>
      <c r="J142" s="16" t="n">
        <v>0.007777777777777778</v>
      </c>
      <c r="K142" s="11" t="inlineStr">
        <is>
          <t>LPDS95282</t>
        </is>
      </c>
      <c r="L142" s="17" t="inlineStr">
        <is>
          <t>ASEENA</t>
        </is>
      </c>
    </row>
    <row r="143" ht="18" customHeight="1">
      <c r="A143" s="10" t="inlineStr">
        <is>
          <t>G4</t>
        </is>
      </c>
      <c r="B143" s="10" t="inlineStr">
        <is>
          <t>☐</t>
        </is>
      </c>
      <c r="C143" s="10" t="inlineStr">
        <is>
          <t>WS24</t>
        </is>
      </c>
      <c r="D143" s="11" t="inlineStr">
        <is>
          <t>OP-0089</t>
        </is>
      </c>
      <c r="E143" s="12" t="inlineStr">
        <is>
          <t>Direct stitching zip collar  &amp; tab bit in AMS</t>
        </is>
      </c>
      <c r="F143" s="13" t="n">
        <v>42</v>
      </c>
      <c r="G143" s="14">
        <f>=SUMIF($C$17:$C$502,C143,$F$17:$F$502)</f>
        <v/>
      </c>
      <c r="H143" s="14">
        <f>=IFERROR($B$14/$B$10,"")</f>
        <v/>
      </c>
      <c r="I143" s="15">
        <f>=IFERROR(G143/H143,"")</f>
        <v/>
      </c>
      <c r="J143" s="16" t="n">
        <v>0.01166666666666667</v>
      </c>
      <c r="K143" s="11" t="inlineStr">
        <is>
          <t>LPD10530</t>
        </is>
      </c>
      <c r="L143" s="17" t="inlineStr">
        <is>
          <t>ABADUDIN</t>
        </is>
      </c>
    </row>
    <row r="144" ht="18" customHeight="1">
      <c r="A144" s="10" t="inlineStr">
        <is>
          <t>G5</t>
        </is>
      </c>
      <c r="B144" s="10" t="inlineStr">
        <is>
          <t>☑</t>
        </is>
      </c>
      <c r="C144" s="10" t="inlineStr">
        <is>
          <t>WS25</t>
        </is>
      </c>
      <c r="D144" s="11" t="inlineStr">
        <is>
          <t>OP-0090</t>
        </is>
      </c>
      <c r="E144" s="12" t="inlineStr">
        <is>
          <t>Pasting on lining &amp; kimlon</t>
        </is>
      </c>
      <c r="F144" s="13" t="n">
        <v>14</v>
      </c>
      <c r="G144" s="14">
        <f>=SUMIF($C$17:$C$502,C144,$F$17:$F$502)</f>
        <v/>
      </c>
      <c r="H144" s="14">
        <f>=IFERROR($B$14/$B$10,"")</f>
        <v/>
      </c>
      <c r="I144" s="15">
        <f>=IFERROR(G144/H144,"")</f>
        <v/>
      </c>
      <c r="J144" s="16" t="n">
        <v>0.003888888888888889</v>
      </c>
      <c r="K144" s="11" t="inlineStr">
        <is>
          <t>LPD01611</t>
        </is>
      </c>
      <c r="L144" s="17" t="inlineStr">
        <is>
          <t>SARASWATHI</t>
        </is>
      </c>
    </row>
    <row r="145" ht="18" customHeight="1">
      <c r="A145" s="10" t="inlineStr">
        <is>
          <t>G5</t>
        </is>
      </c>
      <c r="B145" s="10" t="inlineStr">
        <is>
          <t>☐</t>
        </is>
      </c>
      <c r="C145" s="10" t="inlineStr">
        <is>
          <t>WS25</t>
        </is>
      </c>
      <c r="D145" s="11" t="inlineStr">
        <is>
          <t>OP-0091</t>
        </is>
      </c>
      <c r="E145" s="12" t="inlineStr">
        <is>
          <t>Attaching lining with kimlon</t>
        </is>
      </c>
      <c r="F145" s="13" t="n">
        <v>16</v>
      </c>
      <c r="G145" s="14">
        <f>=SUMIF($C$17:$C$502,C145,$F$17:$F$502)</f>
        <v/>
      </c>
      <c r="H145" s="14">
        <f>=IFERROR($B$14/$B$10,"")</f>
        <v/>
      </c>
      <c r="I145" s="15">
        <f>=IFERROR(G145/H145,"")</f>
        <v/>
      </c>
      <c r="J145" s="16" t="n">
        <v>0.004444444444444444</v>
      </c>
      <c r="K145" s="11" t="inlineStr">
        <is>
          <t>LPD01611</t>
        </is>
      </c>
      <c r="L145" s="17" t="inlineStr">
        <is>
          <t>SARASWATHI</t>
        </is>
      </c>
    </row>
    <row r="146" ht="18" customHeight="1">
      <c r="A146" s="10" t="inlineStr">
        <is>
          <t>G5</t>
        </is>
      </c>
      <c r="B146" s="10" t="inlineStr">
        <is>
          <t>☐</t>
        </is>
      </c>
      <c r="C146" s="10" t="inlineStr">
        <is>
          <t>WS25</t>
        </is>
      </c>
      <c r="D146" s="11" t="inlineStr">
        <is>
          <t>OP-0092</t>
        </is>
      </c>
      <c r="E146" s="12" t="inlineStr">
        <is>
          <t>Lining folding &amp; cornering</t>
        </is>
      </c>
      <c r="F146" s="13" t="n">
        <v>28</v>
      </c>
      <c r="G146" s="14">
        <f>=SUMIF($C$17:$C$502,C146,$F$17:$F$502)</f>
        <v/>
      </c>
      <c r="H146" s="14">
        <f>=IFERROR($B$14/$B$10,"")</f>
        <v/>
      </c>
      <c r="I146" s="15">
        <f>=IFERROR(G146/H146,"")</f>
        <v/>
      </c>
      <c r="J146" s="16" t="n">
        <v>0.007777777777777778</v>
      </c>
      <c r="K146" s="11" t="inlineStr">
        <is>
          <t>LPD01611</t>
        </is>
      </c>
      <c r="L146" s="17" t="inlineStr">
        <is>
          <t>SARASWATHI</t>
        </is>
      </c>
    </row>
    <row r="147" ht="18" customHeight="1">
      <c r="A147" s="10" t="inlineStr">
        <is>
          <t>G5</t>
        </is>
      </c>
      <c r="B147" s="10" t="inlineStr">
        <is>
          <t>☐</t>
        </is>
      </c>
      <c r="C147" s="10" t="inlineStr">
        <is>
          <t>WS26</t>
        </is>
      </c>
      <c r="D147" s="11" t="inlineStr">
        <is>
          <t>OP-0093</t>
        </is>
      </c>
      <c r="E147" s="12" t="inlineStr">
        <is>
          <t>Pasting on Left  Gusset 2 Side</t>
        </is>
      </c>
      <c r="F147" s="13" t="n">
        <v>12</v>
      </c>
      <c r="G147" s="14">
        <f>=SUMIF($C$17:$C$502,C147,$F$17:$F$502)</f>
        <v/>
      </c>
      <c r="H147" s="14">
        <f>=IFERROR($B$14/$B$10,"")</f>
        <v/>
      </c>
      <c r="I147" s="15">
        <f>=IFERROR(G147/H147,"")</f>
        <v/>
      </c>
      <c r="J147" s="16" t="n">
        <v>0.003333333333333334</v>
      </c>
      <c r="K147" s="11" t="inlineStr">
        <is>
          <t>LPD12097</t>
        </is>
      </c>
      <c r="L147" s="17" t="inlineStr">
        <is>
          <t>R STELLA</t>
        </is>
      </c>
    </row>
    <row r="148" ht="18" customHeight="1">
      <c r="A148" s="10" t="inlineStr">
        <is>
          <t>G5</t>
        </is>
      </c>
      <c r="B148" s="10" t="inlineStr">
        <is>
          <t>☐</t>
        </is>
      </c>
      <c r="C148" s="10" t="inlineStr">
        <is>
          <t>WS26</t>
        </is>
      </c>
      <c r="D148" s="11" t="inlineStr">
        <is>
          <t>OP-0094</t>
        </is>
      </c>
      <c r="E148" s="12" t="inlineStr">
        <is>
          <t>Pasting over Zip Lining</t>
        </is>
      </c>
      <c r="F148" s="13" t="n">
        <v>12</v>
      </c>
      <c r="G148" s="14">
        <f>=SUMIF($C$17:$C$502,C148,$F$17:$F$502)</f>
        <v/>
      </c>
      <c r="H148" s="14">
        <f>=IFERROR($B$14/$B$10,"")</f>
        <v/>
      </c>
      <c r="I148" s="15">
        <f>=IFERROR(G148/H148,"")</f>
        <v/>
      </c>
      <c r="J148" s="16" t="n">
        <v>0.003333333333333334</v>
      </c>
      <c r="K148" s="11" t="inlineStr">
        <is>
          <t>LPD12097</t>
        </is>
      </c>
      <c r="L148" s="17" t="inlineStr">
        <is>
          <t>R STELLA</t>
        </is>
      </c>
    </row>
    <row r="149" ht="18" customHeight="1">
      <c r="A149" s="10" t="inlineStr">
        <is>
          <t>G5</t>
        </is>
      </c>
      <c r="B149" s="10" t="inlineStr">
        <is>
          <t>☐</t>
        </is>
      </c>
      <c r="C149" s="10" t="inlineStr">
        <is>
          <t>WS26</t>
        </is>
      </c>
      <c r="D149" s="11" t="inlineStr">
        <is>
          <t>OP-0095</t>
        </is>
      </c>
      <c r="E149" s="12" t="inlineStr">
        <is>
          <t>Attaching Left Gusset 2 Side  With zipper Lining</t>
        </is>
      </c>
      <c r="F149" s="13" t="n">
        <v>14</v>
      </c>
      <c r="G149" s="14">
        <f>=SUMIF($C$17:$C$502,C149,$F$17:$F$502)</f>
        <v/>
      </c>
      <c r="H149" s="14">
        <f>=IFERROR($B$14/$B$10,"")</f>
        <v/>
      </c>
      <c r="I149" s="15">
        <f>=IFERROR(G149/H149,"")</f>
        <v/>
      </c>
      <c r="J149" s="16" t="n">
        <v>0.003888888888888889</v>
      </c>
      <c r="K149" s="11" t="inlineStr">
        <is>
          <t>LPD12097</t>
        </is>
      </c>
      <c r="L149" s="17" t="inlineStr">
        <is>
          <t>R STELLA</t>
        </is>
      </c>
    </row>
    <row r="150" ht="18" customHeight="1">
      <c r="A150" s="10" t="inlineStr">
        <is>
          <t>G5</t>
        </is>
      </c>
      <c r="B150" s="10" t="inlineStr">
        <is>
          <t>☐</t>
        </is>
      </c>
      <c r="C150" s="10" t="inlineStr">
        <is>
          <t>WS27</t>
        </is>
      </c>
      <c r="D150" s="11" t="inlineStr">
        <is>
          <t>OP-0096</t>
        </is>
      </c>
      <c r="E150" s="12" t="inlineStr">
        <is>
          <t>Pasting on zip collar</t>
        </is>
      </c>
      <c r="F150" s="13" t="n">
        <v>18</v>
      </c>
      <c r="G150" s="14">
        <f>=SUMIF($C$17:$C$502,C150,$F$17:$F$502)</f>
        <v/>
      </c>
      <c r="H150" s="14">
        <f>=IFERROR($B$14/$B$10,"")</f>
        <v/>
      </c>
      <c r="I150" s="15">
        <f>=IFERROR(G150/H150,"")</f>
        <v/>
      </c>
      <c r="J150" s="16" t="n">
        <v>0.005</v>
      </c>
      <c r="K150" s="11" t="inlineStr">
        <is>
          <t>LPD11314</t>
        </is>
      </c>
      <c r="L150" s="17" t="inlineStr">
        <is>
          <t>MD ILYAS</t>
        </is>
      </c>
    </row>
    <row r="151" ht="18" customHeight="1">
      <c r="A151" s="10" t="inlineStr">
        <is>
          <t>G5</t>
        </is>
      </c>
      <c r="B151" s="10" t="inlineStr">
        <is>
          <t>☐</t>
        </is>
      </c>
      <c r="C151" s="10" t="inlineStr">
        <is>
          <t>WS27</t>
        </is>
      </c>
      <c r="D151" s="11" t="inlineStr">
        <is>
          <t>OP-0097</t>
        </is>
      </c>
      <c r="E151" s="12" t="inlineStr">
        <is>
          <t>Pasting on shell</t>
        </is>
      </c>
      <c r="F151" s="13" t="n">
        <v>18</v>
      </c>
      <c r="G151" s="14">
        <f>=SUMIF($C$17:$C$502,C151,$F$17:$F$502)</f>
        <v/>
      </c>
      <c r="H151" s="14">
        <f>=IFERROR($B$14/$B$10,"")</f>
        <v/>
      </c>
      <c r="I151" s="15">
        <f>=IFERROR(G151/H151,"")</f>
        <v/>
      </c>
      <c r="J151" s="16" t="n">
        <v>0.005</v>
      </c>
      <c r="K151" s="11" t="inlineStr">
        <is>
          <t>LPD11314</t>
        </is>
      </c>
      <c r="L151" s="17" t="inlineStr">
        <is>
          <t>MD ILYAS</t>
        </is>
      </c>
    </row>
    <row r="152" ht="18" customHeight="1">
      <c r="A152" s="10" t="inlineStr">
        <is>
          <t>G5</t>
        </is>
      </c>
      <c r="B152" s="10" t="inlineStr">
        <is>
          <t>☐</t>
        </is>
      </c>
      <c r="C152" s="10" t="inlineStr">
        <is>
          <t>WS27</t>
        </is>
      </c>
      <c r="D152" s="11" t="inlineStr">
        <is>
          <t>OP-0096</t>
        </is>
      </c>
      <c r="E152" s="12" t="inlineStr">
        <is>
          <t>Pasting on zip collar</t>
        </is>
      </c>
      <c r="F152" s="13" t="n">
        <v>18</v>
      </c>
      <c r="G152" s="14">
        <f>=SUMIF($C$17:$C$502,C152,$F$17:$F$502)</f>
        <v/>
      </c>
      <c r="H152" s="14">
        <f>=IFERROR($B$14/$B$10,"")</f>
        <v/>
      </c>
      <c r="I152" s="15">
        <f>=IFERROR(G152/H152,"")</f>
        <v/>
      </c>
      <c r="J152" s="16" t="n">
        <v>0.005</v>
      </c>
      <c r="K152" s="11" t="inlineStr">
        <is>
          <t>LPD11314</t>
        </is>
      </c>
      <c r="L152" s="17" t="inlineStr">
        <is>
          <t>MD ILYAS</t>
        </is>
      </c>
    </row>
    <row r="153" ht="18" customHeight="1">
      <c r="A153" s="10" t="inlineStr">
        <is>
          <t>G5</t>
        </is>
      </c>
      <c r="B153" s="10" t="inlineStr">
        <is>
          <t>☐</t>
        </is>
      </c>
      <c r="C153" s="10" t="inlineStr">
        <is>
          <t>WS27</t>
        </is>
      </c>
      <c r="D153" s="11" t="inlineStr">
        <is>
          <t>OP-0097</t>
        </is>
      </c>
      <c r="E153" s="12" t="inlineStr">
        <is>
          <t>Pasting on shell</t>
        </is>
      </c>
      <c r="F153" s="13" t="n">
        <v>18</v>
      </c>
      <c r="G153" s="14">
        <f>=SUMIF($C$17:$C$502,C153,$F$17:$F$502)</f>
        <v/>
      </c>
      <c r="H153" s="14">
        <f>=IFERROR($B$14/$B$10,"")</f>
        <v/>
      </c>
      <c r="I153" s="15">
        <f>=IFERROR(G153/H153,"")</f>
        <v/>
      </c>
      <c r="J153" s="16" t="n">
        <v>0.005</v>
      </c>
      <c r="K153" s="11" t="inlineStr">
        <is>
          <t>LPD11314</t>
        </is>
      </c>
      <c r="L153" s="17" t="inlineStr">
        <is>
          <t>MD ILYAS</t>
        </is>
      </c>
    </row>
    <row r="154" ht="18" customHeight="1">
      <c r="A154" s="10" t="inlineStr">
        <is>
          <t>G5</t>
        </is>
      </c>
      <c r="B154" s="10" t="inlineStr">
        <is>
          <t>☐</t>
        </is>
      </c>
      <c r="C154" s="10" t="inlineStr">
        <is>
          <t>WS28</t>
        </is>
      </c>
      <c r="D154" s="11" t="inlineStr">
        <is>
          <t>OP-0098</t>
        </is>
      </c>
      <c r="E154" s="12" t="inlineStr">
        <is>
          <t>Attaching Shell &amp;  zip collar</t>
        </is>
      </c>
      <c r="F154" s="13" t="n">
        <v>60</v>
      </c>
      <c r="G154" s="14">
        <f>=SUMIF($C$17:$C$502,C154,$F$17:$F$502)</f>
        <v/>
      </c>
      <c r="H154" s="14">
        <f>=IFERROR($B$14/$B$10,"")</f>
        <v/>
      </c>
      <c r="I154" s="15">
        <f>=IFERROR(G154/H154,"")</f>
        <v/>
      </c>
      <c r="J154" s="16" t="n">
        <v>0.01666666666666667</v>
      </c>
      <c r="K154" s="11" t="inlineStr">
        <is>
          <t>LPD11709</t>
        </is>
      </c>
      <c r="L154" s="17" t="inlineStr">
        <is>
          <t>SHANKARI</t>
        </is>
      </c>
    </row>
    <row r="155" ht="18" customHeight="1">
      <c r="A155" s="10" t="inlineStr">
        <is>
          <t>G5</t>
        </is>
      </c>
      <c r="B155" s="10" t="inlineStr">
        <is>
          <t>☐</t>
        </is>
      </c>
      <c r="C155" s="10" t="inlineStr">
        <is>
          <t>WS30</t>
        </is>
      </c>
      <c r="D155" s="11" t="inlineStr">
        <is>
          <t>OP-0098</t>
        </is>
      </c>
      <c r="E155" s="12" t="inlineStr">
        <is>
          <t>Attaching Shell &amp;  zip collar</t>
        </is>
      </c>
      <c r="F155" s="13" t="n">
        <v>60</v>
      </c>
      <c r="G155" s="14">
        <f>=SUMIF($C$17:$C$502,C155,$F$17:$F$502)</f>
        <v/>
      </c>
      <c r="H155" s="14">
        <f>=IFERROR($B$14/$B$10,"")</f>
        <v/>
      </c>
      <c r="I155" s="15">
        <f>=IFERROR(G155/H155,"")</f>
        <v/>
      </c>
      <c r="J155" s="16" t="n">
        <v>0.01666666666666667</v>
      </c>
      <c r="K155" s="11" t="inlineStr">
        <is>
          <t>LPD12061</t>
        </is>
      </c>
      <c r="L155" s="17" t="inlineStr">
        <is>
          <t>BAKIBULLA MOLLA</t>
        </is>
      </c>
    </row>
    <row r="156" ht="18" customHeight="1">
      <c r="A156" s="10" t="inlineStr">
        <is>
          <t>G5</t>
        </is>
      </c>
      <c r="B156" s="10" t="inlineStr">
        <is>
          <t>☐</t>
        </is>
      </c>
      <c r="C156" s="10" t="inlineStr">
        <is>
          <t>WS31</t>
        </is>
      </c>
      <c r="D156" s="11" t="inlineStr">
        <is>
          <t>OP-0099</t>
        </is>
      </c>
      <c r="E156" s="12" t="inlineStr">
        <is>
          <t>Pasting on Right  Gusset 2- Side</t>
        </is>
      </c>
      <c r="F156" s="13" t="n">
        <v>12</v>
      </c>
      <c r="G156" s="14">
        <f>=SUMIF($C$17:$C$502,C156,$F$17:$F$502)</f>
        <v/>
      </c>
      <c r="H156" s="14">
        <f>=IFERROR($B$14/$B$10,"")</f>
        <v/>
      </c>
      <c r="I156" s="15">
        <f>=IFERROR(G156/H156,"")</f>
        <v/>
      </c>
      <c r="J156" s="16" t="n">
        <v>0.003333333333333334</v>
      </c>
      <c r="K156" s="11" t="inlineStr">
        <is>
          <t>LPDS95712</t>
        </is>
      </c>
      <c r="L156" s="17" t="inlineStr">
        <is>
          <t>SOWMIYA</t>
        </is>
      </c>
    </row>
    <row r="157" ht="18" customHeight="1">
      <c r="A157" s="10" t="inlineStr">
        <is>
          <t>G5</t>
        </is>
      </c>
      <c r="B157" s="10" t="inlineStr">
        <is>
          <t>☐</t>
        </is>
      </c>
      <c r="C157" s="10" t="inlineStr">
        <is>
          <t>WS31</t>
        </is>
      </c>
      <c r="D157" s="11" t="inlineStr">
        <is>
          <t>OP-0100</t>
        </is>
      </c>
      <c r="E157" s="12" t="inlineStr">
        <is>
          <t>Pasting over  shell</t>
        </is>
      </c>
      <c r="F157" s="13" t="n">
        <v>12</v>
      </c>
      <c r="G157" s="14">
        <f>=SUMIF($C$17:$C$502,C157,$F$17:$F$502)</f>
        <v/>
      </c>
      <c r="H157" s="14">
        <f>=IFERROR($B$14/$B$10,"")</f>
        <v/>
      </c>
      <c r="I157" s="15">
        <f>=IFERROR(G157/H157,"")</f>
        <v/>
      </c>
      <c r="J157" s="16" t="n">
        <v>0.003333333333333334</v>
      </c>
      <c r="K157" s="11" t="inlineStr">
        <is>
          <t>LPDS95712</t>
        </is>
      </c>
      <c r="L157" s="17" t="inlineStr">
        <is>
          <t>SOWMIYA</t>
        </is>
      </c>
    </row>
    <row r="158" ht="18" customHeight="1">
      <c r="A158" s="10" t="inlineStr">
        <is>
          <t>G5</t>
        </is>
      </c>
      <c r="B158" s="10" t="inlineStr">
        <is>
          <t>☐</t>
        </is>
      </c>
      <c r="C158" s="10" t="inlineStr">
        <is>
          <t>WS31</t>
        </is>
      </c>
      <c r="D158" s="11" t="inlineStr">
        <is>
          <t>OP-0101</t>
        </is>
      </c>
      <c r="E158" s="12" t="inlineStr">
        <is>
          <t>Attaching  Right  Gusset 2-Side  With shell</t>
        </is>
      </c>
      <c r="F158" s="13" t="n">
        <v>24</v>
      </c>
      <c r="G158" s="14">
        <f>=SUMIF($C$17:$C$502,C158,$F$17:$F$502)</f>
        <v/>
      </c>
      <c r="H158" s="14">
        <f>=IFERROR($B$14/$B$10,"")</f>
        <v/>
      </c>
      <c r="I158" s="15">
        <f>=IFERROR(G158/H158,"")</f>
        <v/>
      </c>
      <c r="J158" s="16" t="n">
        <v>0.006666666666666667</v>
      </c>
      <c r="K158" s="11" t="inlineStr">
        <is>
          <t>LPDS95712</t>
        </is>
      </c>
      <c r="L158" s="17" t="inlineStr">
        <is>
          <t>SOWMIYA</t>
        </is>
      </c>
    </row>
    <row r="159" ht="18" customHeight="1">
      <c r="A159" s="10" t="inlineStr">
        <is>
          <t>G5</t>
        </is>
      </c>
      <c r="B159" s="10" t="inlineStr">
        <is>
          <t>☐</t>
        </is>
      </c>
      <c r="C159" s="10" t="inlineStr">
        <is>
          <t>WS31</t>
        </is>
      </c>
      <c r="D159" s="11" t="inlineStr">
        <is>
          <t>OP-0102</t>
        </is>
      </c>
      <c r="E159" s="12" t="inlineStr">
        <is>
          <t>Pasting on zipper collar support kimlon bit  &amp;  zip collar back</t>
        </is>
      </c>
      <c r="F159" s="13" t="n">
        <v>8</v>
      </c>
      <c r="G159" s="14">
        <f>=SUMIF($C$17:$C$502,C159,$F$17:$F$502)</f>
        <v/>
      </c>
      <c r="H159" s="14">
        <f>=IFERROR($B$14/$B$10,"")</f>
        <v/>
      </c>
      <c r="I159" s="15">
        <f>=IFERROR(G159/H159,"")</f>
        <v/>
      </c>
      <c r="J159" s="16" t="n">
        <v>0.002222222222222222</v>
      </c>
      <c r="K159" s="11" t="inlineStr">
        <is>
          <t>LPDS95712</t>
        </is>
      </c>
      <c r="L159" s="17" t="inlineStr">
        <is>
          <t>SOWMIYA</t>
        </is>
      </c>
    </row>
    <row r="160" ht="18" customHeight="1">
      <c r="A160" s="10" t="inlineStr">
        <is>
          <t>G5</t>
        </is>
      </c>
      <c r="B160" s="10" t="inlineStr">
        <is>
          <t>☐</t>
        </is>
      </c>
      <c r="C160" s="10" t="inlineStr">
        <is>
          <t>WS31</t>
        </is>
      </c>
      <c r="D160" s="11" t="inlineStr">
        <is>
          <t>OP-0103</t>
        </is>
      </c>
      <c r="E160" s="12" t="inlineStr">
        <is>
          <t>Attaching zipper collar support kimlon bit over zip collar back</t>
        </is>
      </c>
      <c r="F160" s="13" t="n">
        <v>10</v>
      </c>
      <c r="G160" s="14">
        <f>=SUMIF($C$17:$C$502,C160,$F$17:$F$502)</f>
        <v/>
      </c>
      <c r="H160" s="14">
        <f>=IFERROR($B$14/$B$10,"")</f>
        <v/>
      </c>
      <c r="I160" s="15">
        <f>=IFERROR(G160/H160,"")</f>
        <v/>
      </c>
      <c r="J160" s="16" t="n">
        <v>0.002777777777777778</v>
      </c>
      <c r="K160" s="11" t="inlineStr">
        <is>
          <t>LPDS95712</t>
        </is>
      </c>
      <c r="L160" s="17" t="inlineStr">
        <is>
          <t>SOWMIYA</t>
        </is>
      </c>
    </row>
    <row r="161" ht="18" customHeight="1">
      <c r="A161" s="10" t="inlineStr">
        <is>
          <t>G5</t>
        </is>
      </c>
      <c r="B161" s="10" t="inlineStr">
        <is>
          <t>☐</t>
        </is>
      </c>
      <c r="C161" s="10" t="inlineStr">
        <is>
          <t>WS32</t>
        </is>
      </c>
      <c r="D161" s="11" t="inlineStr">
        <is>
          <t>OP-0104</t>
        </is>
      </c>
      <c r="E161" s="12" t="inlineStr">
        <is>
          <t>Pasting on kimlon (2nos)</t>
        </is>
      </c>
      <c r="F161" s="13" t="n">
        <v>12</v>
      </c>
      <c r="G161" s="14">
        <f>=SUMIF($C$17:$C$502,C161,$F$17:$F$502)</f>
        <v/>
      </c>
      <c r="H161" s="14">
        <f>=IFERROR($B$14/$B$10,"")</f>
        <v/>
      </c>
      <c r="I161" s="15">
        <f>=IFERROR(G161/H161,"")</f>
        <v/>
      </c>
      <c r="J161" s="16" t="n">
        <v>0.003333333333333334</v>
      </c>
      <c r="K161" s="11" t="inlineStr">
        <is>
          <t>LPD10969</t>
        </is>
      </c>
      <c r="L161" s="17" t="inlineStr">
        <is>
          <t>SAMEENA</t>
        </is>
      </c>
    </row>
    <row r="162" ht="18" customHeight="1">
      <c r="A162" s="10" t="inlineStr">
        <is>
          <t>G5</t>
        </is>
      </c>
      <c r="B162" s="10" t="inlineStr">
        <is>
          <t>☐</t>
        </is>
      </c>
      <c r="C162" s="10" t="inlineStr">
        <is>
          <t>WS32</t>
        </is>
      </c>
      <c r="D162" s="11" t="inlineStr">
        <is>
          <t>OP-0105</t>
        </is>
      </c>
      <c r="E162" s="12" t="inlineStr">
        <is>
          <t>Pasting over Cc pkt lining</t>
        </is>
      </c>
      <c r="F162" s="13" t="n">
        <v>12</v>
      </c>
      <c r="G162" s="14">
        <f>=SUMIF($C$17:$C$502,C162,$F$17:$F$502)</f>
        <v/>
      </c>
      <c r="H162" s="14">
        <f>=IFERROR($B$14/$B$10,"")</f>
        <v/>
      </c>
      <c r="I162" s="15">
        <f>=IFERROR(G162/H162,"")</f>
        <v/>
      </c>
      <c r="J162" s="16" t="n">
        <v>0.003333333333333334</v>
      </c>
      <c r="K162" s="11" t="inlineStr">
        <is>
          <t>LPD10969</t>
        </is>
      </c>
      <c r="L162" s="17" t="inlineStr">
        <is>
          <t>SAMEENA</t>
        </is>
      </c>
    </row>
    <row r="163" ht="18" customHeight="1">
      <c r="A163" s="10" t="inlineStr">
        <is>
          <t>G5</t>
        </is>
      </c>
      <c r="B163" s="10" t="inlineStr">
        <is>
          <t>☐</t>
        </is>
      </c>
      <c r="C163" s="10" t="inlineStr">
        <is>
          <t>WS32</t>
        </is>
      </c>
      <c r="D163" s="11" t="inlineStr">
        <is>
          <t>OP-0106</t>
        </is>
      </c>
      <c r="E163" s="12" t="inlineStr">
        <is>
          <t>Attaching kimlon over cc pkt lining</t>
        </is>
      </c>
      <c r="F163" s="13" t="n">
        <v>16</v>
      </c>
      <c r="G163" s="14">
        <f>=SUMIF($C$17:$C$502,C163,$F$17:$F$502)</f>
        <v/>
      </c>
      <c r="H163" s="14">
        <f>=IFERROR($B$14/$B$10,"")</f>
        <v/>
      </c>
      <c r="I163" s="15">
        <f>=IFERROR(G163/H163,"")</f>
        <v/>
      </c>
      <c r="J163" s="16" t="n">
        <v>0.004444444444444444</v>
      </c>
      <c r="K163" s="11" t="inlineStr">
        <is>
          <t>LPD10969</t>
        </is>
      </c>
      <c r="L163" s="17" t="inlineStr">
        <is>
          <t>SAMEENA</t>
        </is>
      </c>
    </row>
    <row r="164" ht="18" customHeight="1">
      <c r="A164" s="10" t="inlineStr">
        <is>
          <t>G5</t>
        </is>
      </c>
      <c r="B164" s="10" t="inlineStr">
        <is>
          <t>☐</t>
        </is>
      </c>
      <c r="C164" s="10" t="inlineStr">
        <is>
          <t>WS32</t>
        </is>
      </c>
      <c r="D164" s="11" t="inlineStr">
        <is>
          <t>OP-0107</t>
        </is>
      </c>
      <c r="E164" s="12" t="inlineStr">
        <is>
          <t>Pasting over Cc pkt</t>
        </is>
      </c>
      <c r="F164" s="13" t="n">
        <v>12</v>
      </c>
      <c r="G164" s="14">
        <f>=SUMIF($C$17:$C$502,C164,$F$17:$F$502)</f>
        <v/>
      </c>
      <c r="H164" s="14">
        <f>=IFERROR($B$14/$B$10,"")</f>
        <v/>
      </c>
      <c r="I164" s="15">
        <f>=IFERROR(G164/H164,"")</f>
        <v/>
      </c>
      <c r="J164" s="16" t="n">
        <v>0.003333333333333334</v>
      </c>
      <c r="K164" s="11" t="inlineStr">
        <is>
          <t>LPD10969</t>
        </is>
      </c>
      <c r="L164" s="17" t="inlineStr">
        <is>
          <t>SAMEENA</t>
        </is>
      </c>
    </row>
    <row r="165" ht="18" customHeight="1">
      <c r="A165" s="10" t="inlineStr">
        <is>
          <t>G5</t>
        </is>
      </c>
      <c r="B165" s="10" t="inlineStr">
        <is>
          <t>☐</t>
        </is>
      </c>
      <c r="C165" s="10" t="inlineStr">
        <is>
          <t>WS32</t>
        </is>
      </c>
      <c r="D165" s="11" t="inlineStr">
        <is>
          <t>OP-0108</t>
        </is>
      </c>
      <c r="E165" s="12" t="inlineStr">
        <is>
          <t>Pasting over Center stay</t>
        </is>
      </c>
      <c r="F165" s="13" t="n">
        <v>12</v>
      </c>
      <c r="G165" s="14">
        <f>=SUMIF($C$17:$C$502,C165,$F$17:$F$502)</f>
        <v/>
      </c>
      <c r="H165" s="14">
        <f>=IFERROR($B$14/$B$10,"")</f>
        <v/>
      </c>
      <c r="I165" s="15">
        <f>=IFERROR(G165/H165,"")</f>
        <v/>
      </c>
      <c r="J165" s="16" t="n">
        <v>0.003333333333333334</v>
      </c>
      <c r="K165" s="11" t="inlineStr">
        <is>
          <t>LPD10969</t>
        </is>
      </c>
      <c r="L165" s="17" t="inlineStr">
        <is>
          <t>SAMEENA</t>
        </is>
      </c>
    </row>
    <row r="166" ht="18" customHeight="1">
      <c r="A166" s="10" t="inlineStr">
        <is>
          <t>G5</t>
        </is>
      </c>
      <c r="B166" s="10" t="inlineStr">
        <is>
          <t>☐</t>
        </is>
      </c>
      <c r="C166" s="10" t="inlineStr">
        <is>
          <t>WS32</t>
        </is>
      </c>
      <c r="D166" s="11" t="inlineStr">
        <is>
          <t>OP-0109</t>
        </is>
      </c>
      <c r="E166" s="12" t="inlineStr">
        <is>
          <t>Attaching center stay over cc pkt</t>
        </is>
      </c>
      <c r="F166" s="13" t="n">
        <v>14</v>
      </c>
      <c r="G166" s="14">
        <f>=SUMIF($C$17:$C$502,C166,$F$17:$F$502)</f>
        <v/>
      </c>
      <c r="H166" s="14">
        <f>=IFERROR($B$14/$B$10,"")</f>
        <v/>
      </c>
      <c r="I166" s="15">
        <f>=IFERROR(G166/H166,"")</f>
        <v/>
      </c>
      <c r="J166" s="16" t="n">
        <v>0.003888888888888889</v>
      </c>
      <c r="K166" s="11" t="inlineStr">
        <is>
          <t>LPD10969</t>
        </is>
      </c>
      <c r="L166" s="17" t="inlineStr">
        <is>
          <t>SAMEENA</t>
        </is>
      </c>
    </row>
    <row r="167" ht="18" customHeight="1">
      <c r="A167" s="10" t="inlineStr">
        <is>
          <t>G5</t>
        </is>
      </c>
      <c r="B167" s="10" t="inlineStr">
        <is>
          <t>☐</t>
        </is>
      </c>
      <c r="C167" s="10" t="inlineStr">
        <is>
          <t>WS33</t>
        </is>
      </c>
      <c r="D167" s="11" t="inlineStr">
        <is>
          <t>OP-0110</t>
        </is>
      </c>
      <c r="E167" s="12" t="inlineStr">
        <is>
          <t>Pasting over window pkt</t>
        </is>
      </c>
      <c r="F167" s="13" t="n">
        <v>12</v>
      </c>
      <c r="G167" s="14">
        <f>=SUMIF($C$17:$C$502,C167,$F$17:$F$502)</f>
        <v/>
      </c>
      <c r="H167" s="14">
        <f>=IFERROR($B$14/$B$10,"")</f>
        <v/>
      </c>
      <c r="I167" s="15">
        <f>=IFERROR(G167/H167,"")</f>
        <v/>
      </c>
      <c r="J167" s="16" t="n">
        <v>0.003333333333333334</v>
      </c>
      <c r="K167" s="11" t="inlineStr">
        <is>
          <t>LPD10171</t>
        </is>
      </c>
      <c r="L167" s="17" t="inlineStr">
        <is>
          <t>RAJESWARI</t>
        </is>
      </c>
    </row>
    <row r="168" ht="18" customHeight="1">
      <c r="A168" s="10" t="inlineStr">
        <is>
          <t>G5</t>
        </is>
      </c>
      <c r="B168" s="10" t="inlineStr">
        <is>
          <t>☐</t>
        </is>
      </c>
      <c r="C168" s="10" t="inlineStr">
        <is>
          <t>WS33</t>
        </is>
      </c>
      <c r="D168" s="11" t="inlineStr">
        <is>
          <t>OP-0108</t>
        </is>
      </c>
      <c r="E168" s="12" t="inlineStr">
        <is>
          <t>Pasting over Center stay</t>
        </is>
      </c>
      <c r="F168" s="13" t="n">
        <v>12</v>
      </c>
      <c r="G168" s="14">
        <f>=SUMIF($C$17:$C$502,C168,$F$17:$F$502)</f>
        <v/>
      </c>
      <c r="H168" s="14">
        <f>=IFERROR($B$14/$B$10,"")</f>
        <v/>
      </c>
      <c r="I168" s="15">
        <f>=IFERROR(G168/H168,"")</f>
        <v/>
      </c>
      <c r="J168" s="16" t="n">
        <v>0.003333333333333334</v>
      </c>
      <c r="K168" s="11" t="inlineStr">
        <is>
          <t>LPD10171</t>
        </is>
      </c>
      <c r="L168" s="17" t="inlineStr">
        <is>
          <t>RAJESWARI</t>
        </is>
      </c>
    </row>
    <row r="169" ht="18" customHeight="1">
      <c r="A169" s="10" t="inlineStr">
        <is>
          <t>G5</t>
        </is>
      </c>
      <c r="B169" s="10" t="inlineStr">
        <is>
          <t>☐</t>
        </is>
      </c>
      <c r="C169" s="10" t="inlineStr">
        <is>
          <t>WS33</t>
        </is>
      </c>
      <c r="D169" s="11" t="inlineStr">
        <is>
          <t>OP-0111</t>
        </is>
      </c>
      <c r="E169" s="12" t="inlineStr">
        <is>
          <t>Attaching center stay over window pkt</t>
        </is>
      </c>
      <c r="F169" s="13" t="n">
        <v>14</v>
      </c>
      <c r="G169" s="14">
        <f>=SUMIF($C$17:$C$502,C169,$F$17:$F$502)</f>
        <v/>
      </c>
      <c r="H169" s="14">
        <f>=IFERROR($B$14/$B$10,"")</f>
        <v/>
      </c>
      <c r="I169" s="15">
        <f>=IFERROR(G169/H169,"")</f>
        <v/>
      </c>
      <c r="J169" s="16" t="n">
        <v>0.003888888888888889</v>
      </c>
      <c r="K169" s="11" t="inlineStr">
        <is>
          <t>LPD10171</t>
        </is>
      </c>
      <c r="L169" s="17" t="inlineStr">
        <is>
          <t>RAJESWARI</t>
        </is>
      </c>
    </row>
    <row r="170" ht="18" customHeight="1">
      <c r="A170" s="10" t="inlineStr">
        <is>
          <t>G5</t>
        </is>
      </c>
      <c r="B170" s="10" t="inlineStr">
        <is>
          <t>☐</t>
        </is>
      </c>
      <c r="C170" s="10" t="inlineStr">
        <is>
          <t>WS34</t>
        </is>
      </c>
      <c r="D170" s="11" t="inlineStr">
        <is>
          <t>OP-0112</t>
        </is>
      </c>
      <c r="E170" s="12" t="inlineStr">
        <is>
          <t>Pasting over shell</t>
        </is>
      </c>
      <c r="F170" s="13" t="n">
        <v>14</v>
      </c>
      <c r="G170" s="14">
        <f>=SUMIF($C$17:$C$502,C170,$F$17:$F$502)</f>
        <v/>
      </c>
      <c r="H170" s="14">
        <f>=IFERROR($B$14/$B$10,"")</f>
        <v/>
      </c>
      <c r="I170" s="15">
        <f>=IFERROR(G170/H170,"")</f>
        <v/>
      </c>
      <c r="J170" s="16" t="n">
        <v>0.003888888888888889</v>
      </c>
      <c r="K170" s="11" t="inlineStr">
        <is>
          <t>LPD11709</t>
        </is>
      </c>
      <c r="L170" s="17" t="inlineStr">
        <is>
          <t>SHANKARI</t>
        </is>
      </c>
    </row>
    <row r="171" ht="18" customHeight="1">
      <c r="A171" s="10" t="inlineStr">
        <is>
          <t>G5</t>
        </is>
      </c>
      <c r="B171" s="10" t="inlineStr">
        <is>
          <t>☐</t>
        </is>
      </c>
      <c r="C171" s="10" t="inlineStr">
        <is>
          <t>WS34</t>
        </is>
      </c>
      <c r="D171" s="11" t="inlineStr">
        <is>
          <t>OP-0113</t>
        </is>
      </c>
      <c r="E171" s="12" t="inlineStr">
        <is>
          <t>Pasting over Center stay pkt</t>
        </is>
      </c>
      <c r="F171" s="13" t="n">
        <v>14</v>
      </c>
      <c r="G171" s="14">
        <f>=SUMIF($C$17:$C$502,C171,$F$17:$F$502)</f>
        <v/>
      </c>
      <c r="H171" s="14">
        <f>=IFERROR($B$14/$B$10,"")</f>
        <v/>
      </c>
      <c r="I171" s="15">
        <f>=IFERROR(G171/H171,"")</f>
        <v/>
      </c>
      <c r="J171" s="16" t="n">
        <v>0.003888888888888889</v>
      </c>
      <c r="K171" s="11" t="inlineStr">
        <is>
          <t>LPD11709</t>
        </is>
      </c>
      <c r="L171" s="17" t="inlineStr">
        <is>
          <t>SHANKARI</t>
        </is>
      </c>
    </row>
    <row r="172" ht="18" customHeight="1">
      <c r="A172" s="10" t="inlineStr">
        <is>
          <t>G5</t>
        </is>
      </c>
      <c r="B172" s="10" t="inlineStr">
        <is>
          <t>☐</t>
        </is>
      </c>
      <c r="C172" s="10" t="inlineStr">
        <is>
          <t>WS34</t>
        </is>
      </c>
      <c r="D172" s="11" t="inlineStr">
        <is>
          <t>OP-0114</t>
        </is>
      </c>
      <c r="E172" s="12" t="inlineStr">
        <is>
          <t>Attaching center pkt with shell</t>
        </is>
      </c>
      <c r="F172" s="13" t="n">
        <v>52</v>
      </c>
      <c r="G172" s="14">
        <f>=SUMIF($C$17:$C$502,C172,$F$17:$F$502)</f>
        <v/>
      </c>
      <c r="H172" s="14">
        <f>=IFERROR($B$14/$B$10,"")</f>
        <v/>
      </c>
      <c r="I172" s="15">
        <f>=IFERROR(G172/H172,"")</f>
        <v/>
      </c>
      <c r="J172" s="16" t="n">
        <v>0.01444444444444444</v>
      </c>
      <c r="K172" s="11" t="inlineStr">
        <is>
          <t>LPD11709</t>
        </is>
      </c>
      <c r="L172" s="17" t="inlineStr">
        <is>
          <t>SHANKARI</t>
        </is>
      </c>
    </row>
    <row r="173" ht="18" customHeight="1">
      <c r="A173" s="10" t="inlineStr">
        <is>
          <t>G5</t>
        </is>
      </c>
      <c r="B173" s="10" t="inlineStr">
        <is>
          <t>☐</t>
        </is>
      </c>
      <c r="C173" s="10" t="inlineStr">
        <is>
          <t>WS34</t>
        </is>
      </c>
      <c r="D173" s="11" t="inlineStr">
        <is>
          <t>OP-0112</t>
        </is>
      </c>
      <c r="E173" s="12" t="inlineStr">
        <is>
          <t>Pasting over shell</t>
        </is>
      </c>
      <c r="F173" s="13" t="n">
        <v>12</v>
      </c>
      <c r="G173" s="14">
        <f>=SUMIF($C$17:$C$502,C173,$F$17:$F$502)</f>
        <v/>
      </c>
      <c r="H173" s="14">
        <f>=IFERROR($B$14/$B$10,"")</f>
        <v/>
      </c>
      <c r="I173" s="15">
        <f>=IFERROR(G173/H173,"")</f>
        <v/>
      </c>
      <c r="J173" s="16" t="n">
        <v>0.003333333333333334</v>
      </c>
      <c r="K173" s="11" t="inlineStr">
        <is>
          <t>LPD11709</t>
        </is>
      </c>
      <c r="L173" s="17" t="inlineStr">
        <is>
          <t>SHANKARI</t>
        </is>
      </c>
    </row>
    <row r="174" ht="18" customHeight="1">
      <c r="A174" s="10" t="inlineStr">
        <is>
          <t>G5</t>
        </is>
      </c>
      <c r="B174" s="10" t="inlineStr">
        <is>
          <t>☐</t>
        </is>
      </c>
      <c r="C174" s="10" t="inlineStr">
        <is>
          <t>WS34</t>
        </is>
      </c>
      <c r="D174" s="11" t="inlineStr">
        <is>
          <t>OP-0115</t>
        </is>
      </c>
      <c r="E174" s="12" t="inlineStr">
        <is>
          <t>Pasting over Center stay lining</t>
        </is>
      </c>
      <c r="F174" s="13" t="n">
        <v>12</v>
      </c>
      <c r="G174" s="14">
        <f>=SUMIF($C$17:$C$502,C174,$F$17:$F$502)</f>
        <v/>
      </c>
      <c r="H174" s="14">
        <f>=IFERROR($B$14/$B$10,"")</f>
        <v/>
      </c>
      <c r="I174" s="15">
        <f>=IFERROR(G174/H174,"")</f>
        <v/>
      </c>
      <c r="J174" s="16" t="n">
        <v>0.003333333333333334</v>
      </c>
      <c r="K174" s="11" t="inlineStr">
        <is>
          <t>LPD11709</t>
        </is>
      </c>
      <c r="L174" s="17" t="inlineStr">
        <is>
          <t>SHANKARI</t>
        </is>
      </c>
    </row>
    <row r="175" ht="18" customHeight="1">
      <c r="A175" s="10" t="inlineStr">
        <is>
          <t>G5</t>
        </is>
      </c>
      <c r="B175" s="10" t="inlineStr">
        <is>
          <t>☐</t>
        </is>
      </c>
      <c r="C175" s="10" t="inlineStr">
        <is>
          <t>WS34</t>
        </is>
      </c>
      <c r="D175" s="11" t="inlineStr">
        <is>
          <t>OP-0116</t>
        </is>
      </c>
      <c r="E175" s="12" t="inlineStr">
        <is>
          <t>Attaching with closing center stay lining  with shell closing</t>
        </is>
      </c>
      <c r="F175" s="13" t="n">
        <v>36</v>
      </c>
      <c r="G175" s="14">
        <f>=SUMIF($C$17:$C$502,C175,$F$17:$F$502)</f>
        <v/>
      </c>
      <c r="H175" s="14">
        <f>=IFERROR($B$14/$B$10,"")</f>
        <v/>
      </c>
      <c r="I175" s="15">
        <f>=IFERROR(G175/H175,"")</f>
        <v/>
      </c>
      <c r="J175" s="16" t="n">
        <v>0.01</v>
      </c>
      <c r="K175" s="11" t="inlineStr">
        <is>
          <t>LPD11709</t>
        </is>
      </c>
      <c r="L175" s="17" t="inlineStr">
        <is>
          <t>SHANKARI</t>
        </is>
      </c>
    </row>
    <row r="176" ht="18" customHeight="1">
      <c r="A176" s="10" t="inlineStr">
        <is>
          <t>G5</t>
        </is>
      </c>
      <c r="B176" s="10" t="inlineStr">
        <is>
          <t>☐</t>
        </is>
      </c>
      <c r="C176" s="10" t="inlineStr">
        <is>
          <t>WS35</t>
        </is>
      </c>
      <c r="D176" s="11" t="inlineStr">
        <is>
          <t>OP-0117</t>
        </is>
      </c>
      <c r="E176" s="12" t="inlineStr">
        <is>
          <t>Stitching L&amp;R Shell &amp; zip collar</t>
        </is>
      </c>
      <c r="F176" s="13" t="n">
        <v>60</v>
      </c>
      <c r="G176" s="14">
        <f>=SUMIF($C$17:$C$502,C176,$F$17:$F$502)</f>
        <v/>
      </c>
      <c r="H176" s="14">
        <f>=IFERROR($B$14/$B$10,"")</f>
        <v/>
      </c>
      <c r="I176" s="15">
        <f>=IFERROR(G176/H176,"")</f>
        <v/>
      </c>
      <c r="J176" s="16" t="n">
        <v>0.01666666666666667</v>
      </c>
      <c r="K176" s="11" t="inlineStr">
        <is>
          <t>LPD95781</t>
        </is>
      </c>
      <c r="L176" s="17" t="inlineStr">
        <is>
          <t>MULLAI KODI</t>
        </is>
      </c>
    </row>
    <row r="177" ht="18" customHeight="1">
      <c r="A177" s="10" t="inlineStr">
        <is>
          <t>G5</t>
        </is>
      </c>
      <c r="B177" s="10" t="inlineStr">
        <is>
          <t>☐</t>
        </is>
      </c>
      <c r="C177" s="10" t="inlineStr">
        <is>
          <t>WS35</t>
        </is>
      </c>
      <c r="D177" s="11" t="inlineStr">
        <is>
          <t>OP-0117</t>
        </is>
      </c>
      <c r="E177" s="12" t="inlineStr">
        <is>
          <t>Stitching L&amp;R Shell &amp; zip collar</t>
        </is>
      </c>
      <c r="F177" s="13" t="n">
        <v>60</v>
      </c>
      <c r="G177" s="14">
        <f>=SUMIF($C$17:$C$502,C177,$F$17:$F$502)</f>
        <v/>
      </c>
      <c r="H177" s="14">
        <f>=IFERROR($B$14/$B$10,"")</f>
        <v/>
      </c>
      <c r="I177" s="15">
        <f>=IFERROR(G177/H177,"")</f>
        <v/>
      </c>
      <c r="J177" s="16" t="n">
        <v>0.01666666666666667</v>
      </c>
      <c r="K177" s="11" t="inlineStr">
        <is>
          <t>LPD95781</t>
        </is>
      </c>
      <c r="L177" s="17" t="inlineStr">
        <is>
          <t>MULLAI KODI</t>
        </is>
      </c>
    </row>
    <row r="178" ht="18" customHeight="1">
      <c r="A178" s="10" t="inlineStr">
        <is>
          <t>G5</t>
        </is>
      </c>
      <c r="B178" s="10" t="inlineStr">
        <is>
          <t>☐</t>
        </is>
      </c>
      <c r="C178" s="10" t="inlineStr">
        <is>
          <t>WS36</t>
        </is>
      </c>
      <c r="D178" s="11" t="inlineStr">
        <is>
          <t>OP-0118</t>
        </is>
      </c>
      <c r="E178" s="12" t="inlineStr">
        <is>
          <t>Stitching center stay over cc pkt</t>
        </is>
      </c>
      <c r="F178" s="13" t="n">
        <v>16</v>
      </c>
      <c r="G178" s="14">
        <f>=SUMIF($C$17:$C$502,C178,$F$17:$F$502)</f>
        <v/>
      </c>
      <c r="H178" s="14">
        <f>=IFERROR($B$14/$B$10,"")</f>
        <v/>
      </c>
      <c r="I178" s="15">
        <f>=IFERROR(G178/H178,"")</f>
        <v/>
      </c>
      <c r="J178" s="16" t="n">
        <v>0.004444444444444444</v>
      </c>
      <c r="K178" s="11" t="inlineStr">
        <is>
          <t>LPD12241</t>
        </is>
      </c>
      <c r="L178" s="17" t="inlineStr">
        <is>
          <t>SANGEETHA</t>
        </is>
      </c>
    </row>
    <row r="179" ht="18" customHeight="1">
      <c r="A179" s="10" t="inlineStr">
        <is>
          <t>G5</t>
        </is>
      </c>
      <c r="B179" s="10" t="inlineStr">
        <is>
          <t>☐</t>
        </is>
      </c>
      <c r="C179" s="10" t="inlineStr">
        <is>
          <t>WS36</t>
        </is>
      </c>
      <c r="D179" s="11" t="inlineStr">
        <is>
          <t>OP-0088</t>
        </is>
      </c>
      <c r="E179" s="12" t="inlineStr">
        <is>
          <t>Stitching shell pkt left side</t>
        </is>
      </c>
      <c r="F179" s="13" t="n">
        <v>60</v>
      </c>
      <c r="G179" s="14">
        <f>=SUMIF($C$17:$C$502,C179,$F$17:$F$502)</f>
        <v/>
      </c>
      <c r="H179" s="14">
        <f>=IFERROR($B$14/$B$10,"")</f>
        <v/>
      </c>
      <c r="I179" s="15">
        <f>=IFERROR(G179/H179,"")</f>
        <v/>
      </c>
      <c r="J179" s="16" t="n">
        <v>0.01666666666666667</v>
      </c>
      <c r="K179" s="11" t="inlineStr">
        <is>
          <t>LPD12241</t>
        </is>
      </c>
      <c r="L179" s="17" t="inlineStr">
        <is>
          <t>SANGEETHA</t>
        </is>
      </c>
    </row>
    <row r="180" ht="18" customHeight="1">
      <c r="A180" s="10" t="inlineStr">
        <is>
          <t>G5</t>
        </is>
      </c>
      <c r="B180" s="10" t="inlineStr">
        <is>
          <t>☐</t>
        </is>
      </c>
      <c r="C180" s="10" t="inlineStr">
        <is>
          <t>WS37</t>
        </is>
      </c>
      <c r="D180" s="11" t="inlineStr">
        <is>
          <t>OP-0108</t>
        </is>
      </c>
      <c r="E180" s="12" t="inlineStr">
        <is>
          <t>Pasting over Center stay</t>
        </is>
      </c>
      <c r="F180" s="13" t="n">
        <v>12</v>
      </c>
      <c r="G180" s="14">
        <f>=SUMIF($C$17:$C$502,C180,$F$17:$F$502)</f>
        <v/>
      </c>
      <c r="H180" s="14">
        <f>=IFERROR($B$14/$B$10,"")</f>
        <v/>
      </c>
      <c r="I180" s="15">
        <f>=IFERROR(G180/H180,"")</f>
        <v/>
      </c>
      <c r="J180" s="16" t="n">
        <v>0.003333333333333334</v>
      </c>
      <c r="K180" s="11" t="inlineStr">
        <is>
          <t>LPD10795</t>
        </is>
      </c>
      <c r="L180" s="17" t="inlineStr">
        <is>
          <t>RAKIB</t>
        </is>
      </c>
    </row>
    <row r="181" ht="18" customHeight="1">
      <c r="A181" s="10" t="inlineStr">
        <is>
          <t>G5</t>
        </is>
      </c>
      <c r="B181" s="10" t="inlineStr">
        <is>
          <t>☐</t>
        </is>
      </c>
      <c r="C181" s="10" t="inlineStr">
        <is>
          <t>WS37</t>
        </is>
      </c>
      <c r="D181" s="11" t="inlineStr">
        <is>
          <t>OP-0119</t>
        </is>
      </c>
      <c r="E181" s="12" t="inlineStr">
        <is>
          <t>Pasting over backwall lining</t>
        </is>
      </c>
      <c r="F181" s="13" t="n">
        <v>12</v>
      </c>
      <c r="G181" s="14">
        <f>=SUMIF($C$17:$C$502,C181,$F$17:$F$502)</f>
        <v/>
      </c>
      <c r="H181" s="14">
        <f>=IFERROR($B$14/$B$10,"")</f>
        <v/>
      </c>
      <c r="I181" s="15">
        <f>=IFERROR(G181/H181,"")</f>
        <v/>
      </c>
      <c r="J181" s="16" t="n">
        <v>0.003333333333333334</v>
      </c>
      <c r="K181" s="11" t="inlineStr">
        <is>
          <t>LPD10795</t>
        </is>
      </c>
      <c r="L181" s="17" t="inlineStr">
        <is>
          <t>RAKIB</t>
        </is>
      </c>
    </row>
    <row r="182" ht="18" customHeight="1">
      <c r="A182" s="10" t="inlineStr">
        <is>
          <t>G5</t>
        </is>
      </c>
      <c r="B182" s="10" t="inlineStr">
        <is>
          <t>☐</t>
        </is>
      </c>
      <c r="C182" s="10" t="inlineStr">
        <is>
          <t>WS37</t>
        </is>
      </c>
      <c r="D182" s="11" t="inlineStr">
        <is>
          <t>OP-0120</t>
        </is>
      </c>
      <c r="E182" s="12" t="inlineStr">
        <is>
          <t>Attaching  centerstay /window pkt over backwall lining</t>
        </is>
      </c>
      <c r="F182" s="13" t="n">
        <v>24</v>
      </c>
      <c r="G182" s="14">
        <f>=SUMIF($C$17:$C$502,C182,$F$17:$F$502)</f>
        <v/>
      </c>
      <c r="H182" s="14">
        <f>=IFERROR($B$14/$B$10,"")</f>
        <v/>
      </c>
      <c r="I182" s="15">
        <f>=IFERROR(G182/H182,"")</f>
        <v/>
      </c>
      <c r="J182" s="16" t="n">
        <v>0.006666666666666667</v>
      </c>
      <c r="K182" s="11" t="inlineStr">
        <is>
          <t>LPD10795</t>
        </is>
      </c>
      <c r="L182" s="17" t="inlineStr">
        <is>
          <t>RAKIB</t>
        </is>
      </c>
    </row>
    <row r="183" ht="18" customHeight="1">
      <c r="A183" s="10" t="inlineStr">
        <is>
          <t>G5</t>
        </is>
      </c>
      <c r="B183" s="10" t="inlineStr">
        <is>
          <t>☐</t>
        </is>
      </c>
      <c r="C183" s="10" t="inlineStr">
        <is>
          <t>WS38</t>
        </is>
      </c>
      <c r="D183" s="11" t="inlineStr">
        <is>
          <t>OP-0121</t>
        </is>
      </c>
      <c r="E183" s="12" t="inlineStr">
        <is>
          <t>Pasting over  Right shell</t>
        </is>
      </c>
      <c r="F183" s="13" t="n">
        <v>14</v>
      </c>
      <c r="G183" s="14">
        <f>=SUMIF($C$17:$C$502,C183,$F$17:$F$502)</f>
        <v/>
      </c>
      <c r="H183" s="14">
        <f>=IFERROR($B$14/$B$10,"")</f>
        <v/>
      </c>
      <c r="I183" s="15">
        <f>=IFERROR(G183/H183,"")</f>
        <v/>
      </c>
      <c r="J183" s="16" t="n">
        <v>0.003888888888888889</v>
      </c>
      <c r="K183" s="11" t="inlineStr">
        <is>
          <t>LPD10727</t>
        </is>
      </c>
      <c r="L183" s="17" t="inlineStr">
        <is>
          <t>SHAN BASHA</t>
        </is>
      </c>
    </row>
    <row r="184" ht="18" customHeight="1">
      <c r="A184" s="10" t="inlineStr">
        <is>
          <t>G5</t>
        </is>
      </c>
      <c r="B184" s="10" t="inlineStr">
        <is>
          <t>☐</t>
        </is>
      </c>
      <c r="C184" s="10" t="inlineStr">
        <is>
          <t>WS38</t>
        </is>
      </c>
      <c r="D184" s="11" t="inlineStr">
        <is>
          <t>OP-0122</t>
        </is>
      </c>
      <c r="E184" s="12" t="inlineStr">
        <is>
          <t>Pasting over Left Window Center stay pkt</t>
        </is>
      </c>
      <c r="F184" s="13" t="n">
        <v>14</v>
      </c>
      <c r="G184" s="14">
        <f>=SUMIF($C$17:$C$502,C184,$F$17:$F$502)</f>
        <v/>
      </c>
      <c r="H184" s="14">
        <f>=IFERROR($B$14/$B$10,"")</f>
        <v/>
      </c>
      <c r="I184" s="15">
        <f>=IFERROR(G184/H184,"")</f>
        <v/>
      </c>
      <c r="J184" s="16" t="n">
        <v>0.003888888888888889</v>
      </c>
      <c r="K184" s="11" t="inlineStr">
        <is>
          <t>LPD10727</t>
        </is>
      </c>
      <c r="L184" s="17" t="inlineStr">
        <is>
          <t>SHAN BASHA</t>
        </is>
      </c>
    </row>
    <row r="185" ht="18" customHeight="1">
      <c r="A185" s="10" t="inlineStr">
        <is>
          <t>G5</t>
        </is>
      </c>
      <c r="B185" s="10" t="inlineStr">
        <is>
          <t>☐</t>
        </is>
      </c>
      <c r="C185" s="10" t="inlineStr">
        <is>
          <t>WS38</t>
        </is>
      </c>
      <c r="D185" s="11" t="inlineStr">
        <is>
          <t>OP-0123</t>
        </is>
      </c>
      <c r="E185" s="12" t="inlineStr">
        <is>
          <t>Attaching left center pkt with right shell</t>
        </is>
      </c>
      <c r="F185" s="13" t="n">
        <v>52</v>
      </c>
      <c r="G185" s="14">
        <f>=SUMIF($C$17:$C$502,C185,$F$17:$F$502)</f>
        <v/>
      </c>
      <c r="H185" s="14">
        <f>=IFERROR($B$14/$B$10,"")</f>
        <v/>
      </c>
      <c r="I185" s="15">
        <f>=IFERROR(G185/H185,"")</f>
        <v/>
      </c>
      <c r="J185" s="16" t="n">
        <v>0.01444444444444444</v>
      </c>
      <c r="K185" s="11" t="inlineStr">
        <is>
          <t>LPD10727</t>
        </is>
      </c>
      <c r="L185" s="17" t="inlineStr">
        <is>
          <t>SHAN BASHA</t>
        </is>
      </c>
    </row>
    <row r="186" ht="18" customHeight="1">
      <c r="A186" s="10" t="inlineStr">
        <is>
          <t>G5</t>
        </is>
      </c>
      <c r="B186" s="10" t="inlineStr">
        <is>
          <t>☐</t>
        </is>
      </c>
      <c r="C186" s="10" t="inlineStr">
        <is>
          <t>WS39</t>
        </is>
      </c>
      <c r="D186" s="11" t="inlineStr">
        <is>
          <t>OP-0121</t>
        </is>
      </c>
      <c r="E186" s="12" t="inlineStr">
        <is>
          <t>Pasting over  Right shell</t>
        </is>
      </c>
      <c r="F186" s="13" t="n">
        <v>14</v>
      </c>
      <c r="G186" s="14">
        <f>=SUMIF($C$17:$C$502,C186,$F$17:$F$502)</f>
        <v/>
      </c>
      <c r="H186" s="14">
        <f>=IFERROR($B$14/$B$10,"")</f>
        <v/>
      </c>
      <c r="I186" s="15">
        <f>=IFERROR(G186/H186,"")</f>
        <v/>
      </c>
      <c r="J186" s="16" t="n">
        <v>0.003888888888888889</v>
      </c>
      <c r="K186" s="11" t="inlineStr">
        <is>
          <t>LPD12139</t>
        </is>
      </c>
      <c r="L186" s="17" t="inlineStr">
        <is>
          <t>SARTHAJ</t>
        </is>
      </c>
    </row>
    <row r="187" ht="18" customHeight="1">
      <c r="A187" s="10" t="inlineStr">
        <is>
          <t>G5</t>
        </is>
      </c>
      <c r="B187" s="10" t="inlineStr">
        <is>
          <t>☐</t>
        </is>
      </c>
      <c r="C187" s="10" t="inlineStr">
        <is>
          <t>WS39</t>
        </is>
      </c>
      <c r="D187" s="11" t="inlineStr">
        <is>
          <t>OP-0122</t>
        </is>
      </c>
      <c r="E187" s="12" t="inlineStr">
        <is>
          <t>Pasting over Left Window Center stay pkt</t>
        </is>
      </c>
      <c r="F187" s="13" t="n">
        <v>14</v>
      </c>
      <c r="G187" s="14">
        <f>=SUMIF($C$17:$C$502,C187,$F$17:$F$502)</f>
        <v/>
      </c>
      <c r="H187" s="14">
        <f>=IFERROR($B$14/$B$10,"")</f>
        <v/>
      </c>
      <c r="I187" s="15">
        <f>=IFERROR(G187/H187,"")</f>
        <v/>
      </c>
      <c r="J187" s="16" t="n">
        <v>0.003888888888888889</v>
      </c>
      <c r="K187" s="11" t="inlineStr">
        <is>
          <t>LPD12139</t>
        </is>
      </c>
      <c r="L187" s="17" t="inlineStr">
        <is>
          <t>SARTHAJ</t>
        </is>
      </c>
    </row>
    <row r="188" ht="18" customHeight="1">
      <c r="A188" s="10" t="inlineStr">
        <is>
          <t>G5</t>
        </is>
      </c>
      <c r="B188" s="10" t="inlineStr">
        <is>
          <t>☐</t>
        </is>
      </c>
      <c r="C188" s="10" t="inlineStr">
        <is>
          <t>WS39</t>
        </is>
      </c>
      <c r="D188" s="11" t="inlineStr">
        <is>
          <t>OP-0123</t>
        </is>
      </c>
      <c r="E188" s="12" t="inlineStr">
        <is>
          <t>Attaching left center pkt with right shell</t>
        </is>
      </c>
      <c r="F188" s="13" t="n">
        <v>52</v>
      </c>
      <c r="G188" s="14">
        <f>=SUMIF($C$17:$C$502,C188,$F$17:$F$502)</f>
        <v/>
      </c>
      <c r="H188" s="14">
        <f>=IFERROR($B$14/$B$10,"")</f>
        <v/>
      </c>
      <c r="I188" s="15">
        <f>=IFERROR(G188/H188,"")</f>
        <v/>
      </c>
      <c r="J188" s="16" t="n">
        <v>0.01444444444444444</v>
      </c>
      <c r="K188" s="11" t="inlineStr">
        <is>
          <t>LPD12139</t>
        </is>
      </c>
      <c r="L188" s="17" t="inlineStr">
        <is>
          <t>SARTHAJ</t>
        </is>
      </c>
    </row>
    <row r="189" ht="18" customHeight="1">
      <c r="A189" s="10" t="inlineStr">
        <is>
          <t>G5</t>
        </is>
      </c>
      <c r="B189" s="10" t="inlineStr">
        <is>
          <t>☐</t>
        </is>
      </c>
      <c r="C189" s="10" t="inlineStr">
        <is>
          <t>WS40</t>
        </is>
      </c>
      <c r="D189" s="11" t="inlineStr">
        <is>
          <t>OP-0124</t>
        </is>
      </c>
      <c r="E189" s="12" t="inlineStr">
        <is>
          <t>Stitching top side of cc pkt &amp;bottom centerstay</t>
        </is>
      </c>
      <c r="F189" s="13" t="n">
        <v>36</v>
      </c>
      <c r="G189" s="14">
        <f>=SUMIF($C$17:$C$502,C189,$F$17:$F$502)</f>
        <v/>
      </c>
      <c r="H189" s="14">
        <f>=IFERROR($B$14/$B$10,"")</f>
        <v/>
      </c>
      <c r="I189" s="15">
        <f>=IFERROR(G189/H189,"")</f>
        <v/>
      </c>
      <c r="J189" s="16" t="n">
        <v>0.01</v>
      </c>
      <c r="K189" s="11" t="inlineStr">
        <is>
          <t>LPD11669</t>
        </is>
      </c>
      <c r="L189" s="17" t="inlineStr">
        <is>
          <t>LEVINA</t>
        </is>
      </c>
    </row>
    <row r="190" ht="18" customHeight="1">
      <c r="A190" s="10" t="inlineStr">
        <is>
          <t>G5</t>
        </is>
      </c>
      <c r="B190" s="10" t="inlineStr">
        <is>
          <t>☐</t>
        </is>
      </c>
      <c r="C190" s="10" t="inlineStr">
        <is>
          <t>WS40</t>
        </is>
      </c>
      <c r="D190" s="11" t="inlineStr">
        <is>
          <t>OP-0088</t>
        </is>
      </c>
      <c r="E190" s="12" t="inlineStr">
        <is>
          <t>Stitching shell pkt left side</t>
        </is>
      </c>
      <c r="F190" s="13" t="n">
        <v>28</v>
      </c>
      <c r="G190" s="14">
        <f>=SUMIF($C$17:$C$502,C190,$F$17:$F$502)</f>
        <v/>
      </c>
      <c r="H190" s="14">
        <f>=IFERROR($B$14/$B$10,"")</f>
        <v/>
      </c>
      <c r="I190" s="15">
        <f>=IFERROR(G190/H190,"")</f>
        <v/>
      </c>
      <c r="J190" s="16" t="n">
        <v>0.007777777777777778</v>
      </c>
      <c r="K190" s="11" t="inlineStr">
        <is>
          <t>LPD11669</t>
        </is>
      </c>
      <c r="L190" s="17" t="inlineStr">
        <is>
          <t>LEVINA</t>
        </is>
      </c>
    </row>
    <row r="191" ht="18" customHeight="1">
      <c r="A191" s="10" t="inlineStr">
        <is>
          <t>G5</t>
        </is>
      </c>
      <c r="B191" s="10" t="inlineStr">
        <is>
          <t>☐</t>
        </is>
      </c>
      <c r="C191" s="10" t="inlineStr">
        <is>
          <t>WS41</t>
        </is>
      </c>
      <c r="D191" s="11" t="inlineStr">
        <is>
          <t>OP-0053</t>
        </is>
      </c>
      <c r="E191" s="12" t="inlineStr">
        <is>
          <t>Lamping</t>
        </is>
      </c>
      <c r="F191" s="13" t="n">
        <v>10</v>
      </c>
      <c r="G191" s="14">
        <f>=SUMIF($C$17:$C$502,C191,$F$17:$F$502)</f>
        <v/>
      </c>
      <c r="H191" s="14">
        <f>=IFERROR($B$14/$B$10,"")</f>
        <v/>
      </c>
      <c r="I191" s="15">
        <f>=IFERROR(G191/H191,"")</f>
        <v/>
      </c>
      <c r="J191" s="16" t="n">
        <v>0.002777777777777778</v>
      </c>
      <c r="K191" s="11" t="inlineStr">
        <is>
          <t>LPD05252</t>
        </is>
      </c>
      <c r="L191" s="17" t="inlineStr">
        <is>
          <t>SHEINAAZ</t>
        </is>
      </c>
    </row>
    <row r="192" ht="18" customHeight="1">
      <c r="A192" s="10" t="inlineStr">
        <is>
          <t>G5</t>
        </is>
      </c>
      <c r="B192" s="10" t="inlineStr">
        <is>
          <t>☐</t>
        </is>
      </c>
      <c r="C192" s="10" t="inlineStr">
        <is>
          <t>WS41</t>
        </is>
      </c>
      <c r="D192" s="11" t="inlineStr">
        <is>
          <t>OP-0053</t>
        </is>
      </c>
      <c r="E192" s="12" t="inlineStr">
        <is>
          <t>Lamping</t>
        </is>
      </c>
      <c r="F192" s="13" t="n">
        <v>12</v>
      </c>
      <c r="G192" s="14">
        <f>=SUMIF($C$17:$C$502,C192,$F$17:$F$502)</f>
        <v/>
      </c>
      <c r="H192" s="14">
        <f>=IFERROR($B$14/$B$10,"")</f>
        <v/>
      </c>
      <c r="I192" s="15">
        <f>=IFERROR(G192/H192,"")</f>
        <v/>
      </c>
      <c r="J192" s="16" t="n">
        <v>0.003333333333333334</v>
      </c>
      <c r="K192" s="11" t="inlineStr">
        <is>
          <t>LPD05252</t>
        </is>
      </c>
      <c r="L192" s="17" t="inlineStr">
        <is>
          <t>SHEINAAZ</t>
        </is>
      </c>
    </row>
    <row r="193" ht="18" customHeight="1">
      <c r="A193" s="10" t="inlineStr">
        <is>
          <t>G5</t>
        </is>
      </c>
      <c r="B193" s="10" t="inlineStr">
        <is>
          <t>☐</t>
        </is>
      </c>
      <c r="C193" s="10" t="inlineStr">
        <is>
          <t>WS41</t>
        </is>
      </c>
      <c r="D193" s="11" t="inlineStr">
        <is>
          <t>OP-0053</t>
        </is>
      </c>
      <c r="E193" s="12" t="inlineStr">
        <is>
          <t>Lamping</t>
        </is>
      </c>
      <c r="F193" s="13" t="n">
        <v>12</v>
      </c>
      <c r="G193" s="14">
        <f>=SUMIF($C$17:$C$502,C193,$F$17:$F$502)</f>
        <v/>
      </c>
      <c r="H193" s="14">
        <f>=IFERROR($B$14/$B$10,"")</f>
        <v/>
      </c>
      <c r="I193" s="15">
        <f>=IFERROR(G193/H193,"")</f>
        <v/>
      </c>
      <c r="J193" s="16" t="n">
        <v>0.003333333333333334</v>
      </c>
      <c r="K193" s="11" t="inlineStr">
        <is>
          <t>LPD05252</t>
        </is>
      </c>
      <c r="L193" s="17" t="inlineStr">
        <is>
          <t>SHEINAAZ</t>
        </is>
      </c>
    </row>
    <row r="194" ht="18" customHeight="1">
      <c r="A194" s="10" t="inlineStr">
        <is>
          <t>G5</t>
        </is>
      </c>
      <c r="B194" s="10" t="inlineStr">
        <is>
          <t>☐</t>
        </is>
      </c>
      <c r="C194" s="10" t="inlineStr">
        <is>
          <t>WS41</t>
        </is>
      </c>
      <c r="D194" s="11" t="inlineStr">
        <is>
          <t>OP-0053</t>
        </is>
      </c>
      <c r="E194" s="12" t="inlineStr">
        <is>
          <t>Lamping</t>
        </is>
      </c>
      <c r="F194" s="13" t="n">
        <v>10</v>
      </c>
      <c r="G194" s="14">
        <f>=SUMIF($C$17:$C$502,C194,$F$17:$F$502)</f>
        <v/>
      </c>
      <c r="H194" s="14">
        <f>=IFERROR($B$14/$B$10,"")</f>
        <v/>
      </c>
      <c r="I194" s="15">
        <f>=IFERROR(G194/H194,"")</f>
        <v/>
      </c>
      <c r="J194" s="16" t="n">
        <v>0.002777777777777778</v>
      </c>
      <c r="K194" s="11" t="inlineStr">
        <is>
          <t>LPD05252</t>
        </is>
      </c>
      <c r="L194" s="17" t="inlineStr">
        <is>
          <t>SHEINAAZ</t>
        </is>
      </c>
    </row>
    <row r="195" ht="18" customHeight="1">
      <c r="A195" s="10" t="inlineStr">
        <is>
          <t>G5</t>
        </is>
      </c>
      <c r="B195" s="10" t="inlineStr">
        <is>
          <t>☐</t>
        </is>
      </c>
      <c r="C195" s="10" t="inlineStr">
        <is>
          <t>WS41</t>
        </is>
      </c>
      <c r="D195" s="11" t="inlineStr">
        <is>
          <t>OP-0053</t>
        </is>
      </c>
      <c r="E195" s="12" t="inlineStr">
        <is>
          <t>Lamping</t>
        </is>
      </c>
      <c r="F195" s="13" t="n">
        <v>12</v>
      </c>
      <c r="G195" s="14">
        <f>=SUMIF($C$17:$C$502,C195,$F$17:$F$502)</f>
        <v/>
      </c>
      <c r="H195" s="14">
        <f>=IFERROR($B$14/$B$10,"")</f>
        <v/>
      </c>
      <c r="I195" s="15">
        <f>=IFERROR(G195/H195,"")</f>
        <v/>
      </c>
      <c r="J195" s="16" t="n">
        <v>0.003333333333333334</v>
      </c>
      <c r="K195" s="11" t="inlineStr">
        <is>
          <t>LPD05252</t>
        </is>
      </c>
      <c r="L195" s="17" t="inlineStr">
        <is>
          <t>SHEINAAZ</t>
        </is>
      </c>
    </row>
    <row r="196" ht="18" customHeight="1">
      <c r="A196" s="10" t="inlineStr">
        <is>
          <t>G5</t>
        </is>
      </c>
      <c r="B196" s="10" t="inlineStr">
        <is>
          <t>☐</t>
        </is>
      </c>
      <c r="C196" s="10" t="inlineStr">
        <is>
          <t>WS41</t>
        </is>
      </c>
      <c r="D196" s="11" t="inlineStr">
        <is>
          <t>OP-0053</t>
        </is>
      </c>
      <c r="E196" s="12" t="inlineStr">
        <is>
          <t>Lamping</t>
        </is>
      </c>
      <c r="F196" s="13" t="n">
        <v>10</v>
      </c>
      <c r="G196" s="14">
        <f>=SUMIF($C$17:$C$502,C196,$F$17:$F$502)</f>
        <v/>
      </c>
      <c r="H196" s="14">
        <f>=IFERROR($B$14/$B$10,"")</f>
        <v/>
      </c>
      <c r="I196" s="15">
        <f>=IFERROR(G196/H196,"")</f>
        <v/>
      </c>
      <c r="J196" s="16" t="n">
        <v>0.002777777777777778</v>
      </c>
      <c r="K196" s="11" t="inlineStr">
        <is>
          <t>LPD05252</t>
        </is>
      </c>
      <c r="L196" s="17" t="inlineStr">
        <is>
          <t>SHEINAAZ</t>
        </is>
      </c>
    </row>
    <row r="197" ht="18" customHeight="1">
      <c r="A197" s="10" t="inlineStr">
        <is>
          <t>G3</t>
        </is>
      </c>
      <c r="B197" s="10" t="inlineStr">
        <is>
          <t>☐</t>
        </is>
      </c>
      <c r="C197" s="10" t="inlineStr">
        <is>
          <t>WS42</t>
        </is>
      </c>
      <c r="D197" s="11" t="inlineStr">
        <is>
          <t>OP-0058</t>
        </is>
      </c>
      <c r="E197" s="12" t="inlineStr">
        <is>
          <t>Primer 1</t>
        </is>
      </c>
      <c r="F197" s="13" t="n">
        <v>10</v>
      </c>
      <c r="G197" s="14">
        <f>=SUMIF($C$17:$C$502,C197,$F$17:$F$502)</f>
        <v/>
      </c>
      <c r="H197" s="14">
        <f>=IFERROR($B$14/$B$10,"")</f>
        <v/>
      </c>
      <c r="I197" s="15">
        <f>=IFERROR(G197/H197,"")</f>
        <v/>
      </c>
      <c r="J197" s="16" t="n">
        <v>0.002777777777777778</v>
      </c>
      <c r="K197" s="11" t="inlineStr">
        <is>
          <t>LPDS95788</t>
        </is>
      </c>
      <c r="L197" s="17" t="inlineStr">
        <is>
          <t>LPDS95788 | MUMTAZ</t>
        </is>
      </c>
    </row>
    <row r="198" ht="18" customHeight="1">
      <c r="A198" s="10" t="inlineStr">
        <is>
          <t>G3</t>
        </is>
      </c>
      <c r="B198" s="10" t="inlineStr">
        <is>
          <t>☐</t>
        </is>
      </c>
      <c r="C198" s="10" t="inlineStr">
        <is>
          <t>WS42</t>
        </is>
      </c>
      <c r="D198" s="11" t="inlineStr">
        <is>
          <t>OP-0059</t>
        </is>
      </c>
      <c r="E198" s="12" t="inlineStr">
        <is>
          <t>Primer 2</t>
        </is>
      </c>
      <c r="F198" s="13" t="n">
        <v>10</v>
      </c>
      <c r="G198" s="14">
        <f>=SUMIF($C$17:$C$502,C198,$F$17:$F$502)</f>
        <v/>
      </c>
      <c r="H198" s="14">
        <f>=IFERROR($B$14/$B$10,"")</f>
        <v/>
      </c>
      <c r="I198" s="15">
        <f>=IFERROR(G198/H198,"")</f>
        <v/>
      </c>
      <c r="J198" s="16" t="n">
        <v>0.002777777777777778</v>
      </c>
      <c r="K198" s="11" t="inlineStr">
        <is>
          <t>LPDS95788</t>
        </is>
      </c>
      <c r="L198" s="17" t="inlineStr">
        <is>
          <t>LPDS95788 | MUMTAZ</t>
        </is>
      </c>
    </row>
    <row r="199" ht="18" customHeight="1">
      <c r="A199" s="10" t="inlineStr">
        <is>
          <t>G3</t>
        </is>
      </c>
      <c r="B199" s="10" t="inlineStr">
        <is>
          <t>☐</t>
        </is>
      </c>
      <c r="C199" s="10" t="inlineStr">
        <is>
          <t>WS42</t>
        </is>
      </c>
      <c r="D199" s="11" t="inlineStr">
        <is>
          <t>OP-0060</t>
        </is>
      </c>
      <c r="E199" s="12" t="inlineStr">
        <is>
          <t>Primer 3</t>
        </is>
      </c>
      <c r="F199" s="13" t="n">
        <v>10</v>
      </c>
      <c r="G199" s="14">
        <f>=SUMIF($C$17:$C$502,C199,$F$17:$F$502)</f>
        <v/>
      </c>
      <c r="H199" s="14">
        <f>=IFERROR($B$14/$B$10,"")</f>
        <v/>
      </c>
      <c r="I199" s="15">
        <f>=IFERROR(G199/H199,"")</f>
        <v/>
      </c>
      <c r="J199" s="16" t="n">
        <v>0.002777777777777778</v>
      </c>
      <c r="K199" s="11" t="inlineStr">
        <is>
          <t>LPDS95788</t>
        </is>
      </c>
      <c r="L199" s="17" t="inlineStr">
        <is>
          <t>LPDS95788 | MUMTAZ</t>
        </is>
      </c>
    </row>
    <row r="200" ht="18" customHeight="1">
      <c r="A200" s="10" t="inlineStr">
        <is>
          <t>G3</t>
        </is>
      </c>
      <c r="B200" s="10" t="inlineStr">
        <is>
          <t>☐</t>
        </is>
      </c>
      <c r="C200" s="10" t="inlineStr">
        <is>
          <t>WS42</t>
        </is>
      </c>
      <c r="D200" s="11" t="inlineStr">
        <is>
          <t>OP-0057</t>
        </is>
      </c>
      <c r="E200" s="12" t="inlineStr">
        <is>
          <t>Edge Inking</t>
        </is>
      </c>
      <c r="F200" s="13" t="n">
        <v>10</v>
      </c>
      <c r="G200" s="14">
        <f>=SUMIF($C$17:$C$502,C200,$F$17:$F$502)</f>
        <v/>
      </c>
      <c r="H200" s="14">
        <f>=IFERROR($B$14/$B$10,"")</f>
        <v/>
      </c>
      <c r="I200" s="15">
        <f>=IFERROR(G200/H200,"")</f>
        <v/>
      </c>
      <c r="J200" s="16" t="n">
        <v>0.002777777777777778</v>
      </c>
      <c r="K200" s="11" t="inlineStr">
        <is>
          <t>LPDS95788</t>
        </is>
      </c>
      <c r="L200" s="17" t="inlineStr">
        <is>
          <t>LPDS95788 | MUMTAZ</t>
        </is>
      </c>
    </row>
    <row r="201" ht="18" customHeight="1">
      <c r="A201" s="10" t="inlineStr">
        <is>
          <t>G5</t>
        </is>
      </c>
      <c r="B201" s="10" t="inlineStr">
        <is>
          <t>☐</t>
        </is>
      </c>
      <c r="C201" s="10" t="inlineStr">
        <is>
          <t>WS43</t>
        </is>
      </c>
      <c r="D201" s="11" t="inlineStr">
        <is>
          <t>OP-0058</t>
        </is>
      </c>
      <c r="E201" s="12" t="inlineStr">
        <is>
          <t>Primer 1</t>
        </is>
      </c>
      <c r="F201" s="13" t="n">
        <v>16</v>
      </c>
      <c r="G201" s="14">
        <f>=SUMIF($C$17:$C$502,C201,$F$17:$F$502)</f>
        <v/>
      </c>
      <c r="H201" s="14">
        <f>=IFERROR($B$14/$B$10,"")</f>
        <v/>
      </c>
      <c r="I201" s="15">
        <f>=IFERROR(G201/H201,"")</f>
        <v/>
      </c>
      <c r="J201" s="16" t="n">
        <v>0.004444444444444444</v>
      </c>
      <c r="K201" s="11" t="inlineStr">
        <is>
          <t>LPD10526</t>
        </is>
      </c>
      <c r="L201" s="17" t="inlineStr">
        <is>
          <t>SHAKEERA</t>
        </is>
      </c>
    </row>
    <row r="202" ht="18" customHeight="1">
      <c r="A202" s="10" t="inlineStr">
        <is>
          <t>G5</t>
        </is>
      </c>
      <c r="B202" s="10" t="inlineStr">
        <is>
          <t>☐</t>
        </is>
      </c>
      <c r="C202" s="10" t="inlineStr">
        <is>
          <t>WS43</t>
        </is>
      </c>
      <c r="D202" s="11" t="inlineStr">
        <is>
          <t>OP-0059</t>
        </is>
      </c>
      <c r="E202" s="12" t="inlineStr">
        <is>
          <t>Primer 2</t>
        </is>
      </c>
      <c r="F202" s="13" t="n">
        <v>16</v>
      </c>
      <c r="G202" s="14">
        <f>=SUMIF($C$17:$C$502,C202,$F$17:$F$502)</f>
        <v/>
      </c>
      <c r="H202" s="14">
        <f>=IFERROR($B$14/$B$10,"")</f>
        <v/>
      </c>
      <c r="I202" s="15">
        <f>=IFERROR(G202/H202,"")</f>
        <v/>
      </c>
      <c r="J202" s="16" t="n">
        <v>0.004444444444444444</v>
      </c>
      <c r="K202" s="11" t="inlineStr">
        <is>
          <t>LPD10526</t>
        </is>
      </c>
      <c r="L202" s="17" t="inlineStr">
        <is>
          <t>SHAKEERA</t>
        </is>
      </c>
    </row>
    <row r="203" ht="18" customHeight="1">
      <c r="A203" s="10" t="inlineStr">
        <is>
          <t>G5</t>
        </is>
      </c>
      <c r="B203" s="10" t="inlineStr">
        <is>
          <t>☐</t>
        </is>
      </c>
      <c r="C203" s="10" t="inlineStr">
        <is>
          <t>WS43</t>
        </is>
      </c>
      <c r="D203" s="11" t="inlineStr">
        <is>
          <t>OP-0057</t>
        </is>
      </c>
      <c r="E203" s="12" t="inlineStr">
        <is>
          <t>Edge Inking</t>
        </is>
      </c>
      <c r="F203" s="13" t="n">
        <v>16</v>
      </c>
      <c r="G203" s="14">
        <f>=SUMIF($C$17:$C$502,C203,$F$17:$F$502)</f>
        <v/>
      </c>
      <c r="H203" s="14">
        <f>=IFERROR($B$14/$B$10,"")</f>
        <v/>
      </c>
      <c r="I203" s="15">
        <f>=IFERROR(G203/H203,"")</f>
        <v/>
      </c>
      <c r="J203" s="16" t="n">
        <v>0.004444444444444444</v>
      </c>
      <c r="K203" s="11" t="inlineStr">
        <is>
          <t>LPD10526</t>
        </is>
      </c>
      <c r="L203" s="17" t="inlineStr">
        <is>
          <t>SHAKEERA</t>
        </is>
      </c>
    </row>
    <row r="204" ht="18" customHeight="1">
      <c r="A204" s="10" t="inlineStr">
        <is>
          <t>G5</t>
        </is>
      </c>
      <c r="B204" s="10" t="inlineStr">
        <is>
          <t>☐</t>
        </is>
      </c>
      <c r="C204" s="10" t="inlineStr">
        <is>
          <t>WS44</t>
        </is>
      </c>
      <c r="D204" s="11" t="inlineStr">
        <is>
          <t>OP-0058</t>
        </is>
      </c>
      <c r="E204" s="12" t="inlineStr">
        <is>
          <t>Primer 1</t>
        </is>
      </c>
      <c r="F204" s="13" t="n">
        <v>38</v>
      </c>
      <c r="G204" s="14">
        <f>=SUMIF($C$17:$C$502,C204,$F$17:$F$502)</f>
        <v/>
      </c>
      <c r="H204" s="14">
        <f>=IFERROR($B$14/$B$10,"")</f>
        <v/>
      </c>
      <c r="I204" s="15">
        <f>=IFERROR(G204/H204,"")</f>
        <v/>
      </c>
      <c r="J204" s="16" t="n">
        <v>0.01055555555555556</v>
      </c>
      <c r="K204" s="11" t="inlineStr">
        <is>
          <t>LPD09702</t>
        </is>
      </c>
      <c r="L204" s="17" t="inlineStr">
        <is>
          <t>DEVI</t>
        </is>
      </c>
    </row>
    <row r="205" ht="18" customHeight="1">
      <c r="A205" s="10" t="inlineStr">
        <is>
          <t>G5</t>
        </is>
      </c>
      <c r="B205" s="10" t="inlineStr">
        <is>
          <t>☐</t>
        </is>
      </c>
      <c r="C205" s="10" t="inlineStr">
        <is>
          <t>WS45</t>
        </is>
      </c>
      <c r="D205" s="11" t="inlineStr">
        <is>
          <t>OP-0058</t>
        </is>
      </c>
      <c r="E205" s="12" t="inlineStr">
        <is>
          <t>Primer 1</t>
        </is>
      </c>
      <c r="F205" s="13" t="n">
        <v>38</v>
      </c>
      <c r="G205" s="14">
        <f>=SUMIF($C$17:$C$502,C205,$F$17:$F$502)</f>
        <v/>
      </c>
      <c r="H205" s="14">
        <f>=IFERROR($B$14/$B$10,"")</f>
        <v/>
      </c>
      <c r="I205" s="15">
        <f>=IFERROR(G205/H205,"")</f>
        <v/>
      </c>
      <c r="J205" s="16" t="n">
        <v>0.01055555555555556</v>
      </c>
      <c r="K205" s="11" t="inlineStr">
        <is>
          <t>LPD10618</t>
        </is>
      </c>
      <c r="L205" s="17" t="inlineStr">
        <is>
          <t>RAMEEZA</t>
        </is>
      </c>
    </row>
    <row r="206" ht="18" customHeight="1">
      <c r="A206" s="10" t="inlineStr">
        <is>
          <t>G5</t>
        </is>
      </c>
      <c r="B206" s="10" t="inlineStr">
        <is>
          <t>☐</t>
        </is>
      </c>
      <c r="C206" s="10" t="inlineStr">
        <is>
          <t>WS44</t>
        </is>
      </c>
      <c r="D206" s="11" t="inlineStr">
        <is>
          <t>OP-0059</t>
        </is>
      </c>
      <c r="E206" s="12" t="inlineStr">
        <is>
          <t>Primer 2</t>
        </is>
      </c>
      <c r="F206" s="13" t="n">
        <v>36</v>
      </c>
      <c r="G206" s="14">
        <f>=SUMIF($C$17:$C$502,C206,$F$17:$F$502)</f>
        <v/>
      </c>
      <c r="H206" s="14">
        <f>=IFERROR($B$14/$B$10,"")</f>
        <v/>
      </c>
      <c r="I206" s="15">
        <f>=IFERROR(G206/H206,"")</f>
        <v/>
      </c>
      <c r="J206" s="16" t="n">
        <v>0.01</v>
      </c>
      <c r="K206" s="11" t="inlineStr">
        <is>
          <t>LPD09702</t>
        </is>
      </c>
      <c r="L206" s="17" t="inlineStr">
        <is>
          <t>DEVI</t>
        </is>
      </c>
    </row>
    <row r="207" ht="18" customHeight="1">
      <c r="A207" s="10" t="inlineStr">
        <is>
          <t>G5</t>
        </is>
      </c>
      <c r="B207" s="10" t="inlineStr">
        <is>
          <t>☐</t>
        </is>
      </c>
      <c r="C207" s="10" t="inlineStr">
        <is>
          <t>WS45</t>
        </is>
      </c>
      <c r="D207" s="11" t="inlineStr">
        <is>
          <t>OP-0059</t>
        </is>
      </c>
      <c r="E207" s="12" t="inlineStr">
        <is>
          <t>Primer 2</t>
        </is>
      </c>
      <c r="F207" s="13" t="n">
        <v>36</v>
      </c>
      <c r="G207" s="14">
        <f>=SUMIF($C$17:$C$502,C207,$F$17:$F$502)</f>
        <v/>
      </c>
      <c r="H207" s="14">
        <f>=IFERROR($B$14/$B$10,"")</f>
        <v/>
      </c>
      <c r="I207" s="15">
        <f>=IFERROR(G207/H207,"")</f>
        <v/>
      </c>
      <c r="J207" s="16" t="n">
        <v>0.01</v>
      </c>
      <c r="K207" s="11" t="inlineStr">
        <is>
          <t>LPD10618</t>
        </is>
      </c>
      <c r="L207" s="17" t="inlineStr">
        <is>
          <t>RAMEEZA</t>
        </is>
      </c>
    </row>
    <row r="208" ht="18" customHeight="1">
      <c r="A208" s="10" t="inlineStr">
        <is>
          <t>G5</t>
        </is>
      </c>
      <c r="B208" s="10" t="inlineStr">
        <is>
          <t>☐</t>
        </is>
      </c>
      <c r="C208" s="10" t="inlineStr">
        <is>
          <t>WS44</t>
        </is>
      </c>
      <c r="D208" s="11" t="inlineStr">
        <is>
          <t>OP-0060</t>
        </is>
      </c>
      <c r="E208" s="12" t="inlineStr">
        <is>
          <t>Primer 3</t>
        </is>
      </c>
      <c r="F208" s="13" t="n">
        <v>36</v>
      </c>
      <c r="G208" s="14">
        <f>=SUMIF($C$17:$C$502,C208,$F$17:$F$502)</f>
        <v/>
      </c>
      <c r="H208" s="14">
        <f>=IFERROR($B$14/$B$10,"")</f>
        <v/>
      </c>
      <c r="I208" s="15">
        <f>=IFERROR(G208/H208,"")</f>
        <v/>
      </c>
      <c r="J208" s="16" t="n">
        <v>0.01</v>
      </c>
      <c r="K208" s="11" t="inlineStr">
        <is>
          <t>LPD09702</t>
        </is>
      </c>
      <c r="L208" s="17" t="inlineStr">
        <is>
          <t>DEVI</t>
        </is>
      </c>
    </row>
    <row r="209" ht="18" customHeight="1">
      <c r="A209" s="10" t="inlineStr">
        <is>
          <t>G5</t>
        </is>
      </c>
      <c r="B209" s="10" t="inlineStr">
        <is>
          <t>☐</t>
        </is>
      </c>
      <c r="C209" s="10" t="inlineStr">
        <is>
          <t>WS45</t>
        </is>
      </c>
      <c r="D209" s="11" t="inlineStr">
        <is>
          <t>OP-0060</t>
        </is>
      </c>
      <c r="E209" s="12" t="inlineStr">
        <is>
          <t>Primer 3</t>
        </is>
      </c>
      <c r="F209" s="13" t="n">
        <v>36</v>
      </c>
      <c r="G209" s="14">
        <f>=SUMIF($C$17:$C$502,C209,$F$17:$F$502)</f>
        <v/>
      </c>
      <c r="H209" s="14">
        <f>=IFERROR($B$14/$B$10,"")</f>
        <v/>
      </c>
      <c r="I209" s="15">
        <f>=IFERROR(G209/H209,"")</f>
        <v/>
      </c>
      <c r="J209" s="16" t="n">
        <v>0.01</v>
      </c>
      <c r="K209" s="11" t="inlineStr">
        <is>
          <t>LPD10618</t>
        </is>
      </c>
      <c r="L209" s="17" t="inlineStr">
        <is>
          <t>RAMEEZA</t>
        </is>
      </c>
    </row>
    <row r="210" ht="18" customHeight="1">
      <c r="A210" s="10" t="inlineStr">
        <is>
          <t>G5</t>
        </is>
      </c>
      <c r="B210" s="10" t="inlineStr">
        <is>
          <t>☐</t>
        </is>
      </c>
      <c r="C210" s="10" t="inlineStr">
        <is>
          <t>WS44</t>
        </is>
      </c>
      <c r="D210" s="11" t="inlineStr">
        <is>
          <t>OP-0125</t>
        </is>
      </c>
      <c r="E210" s="12" t="inlineStr">
        <is>
          <t>Promoter</t>
        </is>
      </c>
      <c r="F210" s="13" t="n">
        <v>36</v>
      </c>
      <c r="G210" s="14">
        <f>=SUMIF($C$17:$C$502,C210,$F$17:$F$502)</f>
        <v/>
      </c>
      <c r="H210" s="14">
        <f>=IFERROR($B$14/$B$10,"")</f>
        <v/>
      </c>
      <c r="I210" s="15">
        <f>=IFERROR(G210/H210,"")</f>
        <v/>
      </c>
      <c r="J210" s="16" t="n">
        <v>0.01</v>
      </c>
      <c r="K210" s="11" t="inlineStr">
        <is>
          <t>LPD09702</t>
        </is>
      </c>
      <c r="L210" s="17" t="inlineStr">
        <is>
          <t>DEVI</t>
        </is>
      </c>
    </row>
    <row r="211" ht="18" customHeight="1">
      <c r="A211" s="10" t="inlineStr">
        <is>
          <t>G5</t>
        </is>
      </c>
      <c r="B211" s="10" t="inlineStr">
        <is>
          <t>☐</t>
        </is>
      </c>
      <c r="C211" s="10" t="inlineStr">
        <is>
          <t>WS44</t>
        </is>
      </c>
      <c r="D211" s="11" t="inlineStr">
        <is>
          <t>OP-0126</t>
        </is>
      </c>
      <c r="E211" s="12" t="inlineStr">
        <is>
          <t>Dye</t>
        </is>
      </c>
      <c r="F211" s="13" t="n">
        <v>38</v>
      </c>
      <c r="G211" s="14">
        <f>=SUMIF($C$17:$C$502,C211,$F$17:$F$502)</f>
        <v/>
      </c>
      <c r="H211" s="14">
        <f>=IFERROR($B$14/$B$10,"")</f>
        <v/>
      </c>
      <c r="I211" s="15">
        <f>=IFERROR(G211/H211,"")</f>
        <v/>
      </c>
      <c r="J211" s="16" t="n">
        <v>0.01055555555555556</v>
      </c>
      <c r="K211" s="11" t="inlineStr">
        <is>
          <t>LPD09702</t>
        </is>
      </c>
      <c r="L211" s="17" t="inlineStr">
        <is>
          <t>DEVI</t>
        </is>
      </c>
    </row>
    <row r="212" ht="18" customHeight="1">
      <c r="A212" s="10" t="inlineStr">
        <is>
          <t>G5</t>
        </is>
      </c>
      <c r="B212" s="10" t="inlineStr">
        <is>
          <t>☐</t>
        </is>
      </c>
      <c r="C212" s="10" t="inlineStr">
        <is>
          <t>WS45</t>
        </is>
      </c>
      <c r="D212" s="11" t="inlineStr">
        <is>
          <t>OP-0126</t>
        </is>
      </c>
      <c r="E212" s="12" t="inlineStr">
        <is>
          <t>Dye</t>
        </is>
      </c>
      <c r="F212" s="13" t="n">
        <v>38</v>
      </c>
      <c r="G212" s="14">
        <f>=SUMIF($C$17:$C$502,C212,$F$17:$F$502)</f>
        <v/>
      </c>
      <c r="H212" s="14">
        <f>=IFERROR($B$14/$B$10,"")</f>
        <v/>
      </c>
      <c r="I212" s="15">
        <f>=IFERROR(G212/H212,"")</f>
        <v/>
      </c>
      <c r="J212" s="16" t="n">
        <v>0.01055555555555556</v>
      </c>
      <c r="K212" s="11" t="inlineStr">
        <is>
          <t>LPD10618</t>
        </is>
      </c>
      <c r="L212" s="17" t="inlineStr">
        <is>
          <t>RAMEEZA</t>
        </is>
      </c>
    </row>
    <row r="213" ht="18" customHeight="1">
      <c r="A213" s="10" t="inlineStr">
        <is>
          <t>G3</t>
        </is>
      </c>
      <c r="B213" s="10" t="inlineStr">
        <is>
          <t>☐</t>
        </is>
      </c>
      <c r="C213" s="10" t="inlineStr">
        <is>
          <t>WS46</t>
        </is>
      </c>
      <c r="D213" s="11" t="inlineStr">
        <is>
          <t>OP-0058</t>
        </is>
      </c>
      <c r="E213" s="12" t="inlineStr">
        <is>
          <t>Primer 1</t>
        </is>
      </c>
      <c r="F213" s="13" t="n">
        <v>18</v>
      </c>
      <c r="G213" s="14">
        <f>=SUMIF($C$17:$C$502,C213,$F$17:$F$502)</f>
        <v/>
      </c>
      <c r="H213" s="14">
        <f>=IFERROR($B$14/$B$10,"")</f>
        <v/>
      </c>
      <c r="I213" s="15">
        <f>=IFERROR(G213/H213,"")</f>
        <v/>
      </c>
      <c r="J213" s="16" t="n">
        <v>0.005</v>
      </c>
      <c r="K213" s="11" t="inlineStr">
        <is>
          <t>LPDS95788</t>
        </is>
      </c>
      <c r="L213" s="17" t="inlineStr">
        <is>
          <t>MUMTAZ</t>
        </is>
      </c>
    </row>
    <row r="214" ht="18" customHeight="1">
      <c r="A214" s="10" t="inlineStr">
        <is>
          <t>G3</t>
        </is>
      </c>
      <c r="B214" s="10" t="inlineStr">
        <is>
          <t>☐</t>
        </is>
      </c>
      <c r="C214" s="10" t="inlineStr">
        <is>
          <t>WS46</t>
        </is>
      </c>
      <c r="D214" s="11" t="inlineStr">
        <is>
          <t>OP-0059</t>
        </is>
      </c>
      <c r="E214" s="12" t="inlineStr">
        <is>
          <t>Primer 2</t>
        </is>
      </c>
      <c r="F214" s="13" t="n">
        <v>18</v>
      </c>
      <c r="G214" s="14">
        <f>=SUMIF($C$17:$C$502,C214,$F$17:$F$502)</f>
        <v/>
      </c>
      <c r="H214" s="14">
        <f>=IFERROR($B$14/$B$10,"")</f>
        <v/>
      </c>
      <c r="I214" s="15">
        <f>=IFERROR(G214/H214,"")</f>
        <v/>
      </c>
      <c r="J214" s="16" t="n">
        <v>0.005</v>
      </c>
      <c r="K214" s="11" t="inlineStr">
        <is>
          <t>LPDS95788</t>
        </is>
      </c>
      <c r="L214" s="17" t="inlineStr">
        <is>
          <t>MUMTAZ</t>
        </is>
      </c>
    </row>
    <row r="215" ht="18" customHeight="1">
      <c r="A215" s="10" t="inlineStr">
        <is>
          <t>G3</t>
        </is>
      </c>
      <c r="B215" s="10" t="inlineStr">
        <is>
          <t>☐</t>
        </is>
      </c>
      <c r="C215" s="10" t="inlineStr">
        <is>
          <t>WS46</t>
        </is>
      </c>
      <c r="D215" s="11" t="inlineStr">
        <is>
          <t>OP-0060</t>
        </is>
      </c>
      <c r="E215" s="12" t="inlineStr">
        <is>
          <t>Primer 3</t>
        </is>
      </c>
      <c r="F215" s="13" t="n">
        <v>16</v>
      </c>
      <c r="G215" s="14">
        <f>=SUMIF($C$17:$C$502,C215,$F$17:$F$502)</f>
        <v/>
      </c>
      <c r="H215" s="14">
        <f>=IFERROR($B$14/$B$10,"")</f>
        <v/>
      </c>
      <c r="I215" s="15">
        <f>=IFERROR(G215/H215,"")</f>
        <v/>
      </c>
      <c r="J215" s="16" t="n">
        <v>0.004444444444444444</v>
      </c>
      <c r="K215" s="11" t="inlineStr">
        <is>
          <t>LPDS95788</t>
        </is>
      </c>
      <c r="L215" s="17" t="inlineStr">
        <is>
          <t>MUMTAZ</t>
        </is>
      </c>
    </row>
    <row r="216" ht="18" customHeight="1">
      <c r="A216" s="10" t="inlineStr">
        <is>
          <t>G3</t>
        </is>
      </c>
      <c r="B216" s="10" t="inlineStr">
        <is>
          <t>☐</t>
        </is>
      </c>
      <c r="C216" s="10" t="inlineStr">
        <is>
          <t>WS46</t>
        </is>
      </c>
      <c r="D216" s="11" t="inlineStr">
        <is>
          <t>OP-0057</t>
        </is>
      </c>
      <c r="E216" s="12" t="inlineStr">
        <is>
          <t>Edge Inking</t>
        </is>
      </c>
      <c r="F216" s="13" t="n">
        <v>18</v>
      </c>
      <c r="G216" s="14">
        <f>=SUMIF($C$17:$C$502,C216,$F$17:$F$502)</f>
        <v/>
      </c>
      <c r="H216" s="14">
        <f>=IFERROR($B$14/$B$10,"")</f>
        <v/>
      </c>
      <c r="I216" s="15">
        <f>=IFERROR(G216/H216,"")</f>
        <v/>
      </c>
      <c r="J216" s="16" t="n">
        <v>0.005</v>
      </c>
      <c r="K216" s="11" t="inlineStr">
        <is>
          <t>LPDS95788</t>
        </is>
      </c>
      <c r="L216" s="17" t="inlineStr">
        <is>
          <t>MUMTAZ</t>
        </is>
      </c>
    </row>
    <row r="217" ht="18" customHeight="1">
      <c r="A217" s="10" t="inlineStr">
        <is>
          <t>G6</t>
        </is>
      </c>
      <c r="B217" s="10" t="inlineStr">
        <is>
          <t>☐</t>
        </is>
      </c>
      <c r="C217" s="10" t="inlineStr">
        <is>
          <t>WS47</t>
        </is>
      </c>
      <c r="D217" s="11" t="inlineStr">
        <is>
          <t>OP-0127</t>
        </is>
      </c>
      <c r="E217" s="12" t="inlineStr">
        <is>
          <t>Pasting  Top backwall &amp; top</t>
        </is>
      </c>
      <c r="F217" s="13" t="n">
        <v>24</v>
      </c>
      <c r="G217" s="14">
        <f>=SUMIF($C$17:$C$502,C217,$F$17:$F$502)</f>
        <v/>
      </c>
      <c r="H217" s="14">
        <f>=IFERROR($B$14/$B$10,"")</f>
        <v/>
      </c>
      <c r="I217" s="15">
        <f>=IFERROR(G217/H217,"")</f>
        <v/>
      </c>
      <c r="J217" s="16" t="n">
        <v>0.006666666666666667</v>
      </c>
      <c r="K217" s="11" t="inlineStr">
        <is>
          <t>LPD10282</t>
        </is>
      </c>
      <c r="L217" s="17" t="inlineStr">
        <is>
          <t>DIVYA</t>
        </is>
      </c>
    </row>
    <row r="218" ht="18" customHeight="1">
      <c r="A218" s="10" t="inlineStr">
        <is>
          <t>G6</t>
        </is>
      </c>
      <c r="B218" s="10" t="inlineStr">
        <is>
          <t>☐</t>
        </is>
      </c>
      <c r="C218" s="10" t="inlineStr">
        <is>
          <t>WS48</t>
        </is>
      </c>
      <c r="D218" s="11" t="inlineStr">
        <is>
          <t>OP-0127</t>
        </is>
      </c>
      <c r="E218" s="12" t="inlineStr">
        <is>
          <t>Pasting  Top backwall &amp; top</t>
        </is>
      </c>
      <c r="F218" s="13" t="n">
        <v>24</v>
      </c>
      <c r="G218" s="14">
        <f>=SUMIF($C$17:$C$502,C218,$F$17:$F$502)</f>
        <v/>
      </c>
      <c r="H218" s="14">
        <f>=IFERROR($B$14/$B$10,"")</f>
        <v/>
      </c>
      <c r="I218" s="15">
        <f>=IFERROR(G218/H218,"")</f>
        <v/>
      </c>
      <c r="J218" s="16" t="n">
        <v>0.006666666666666667</v>
      </c>
      <c r="K218" s="11" t="inlineStr">
        <is>
          <t>LPD11520</t>
        </is>
      </c>
      <c r="L218" s="17" t="inlineStr">
        <is>
          <t>ZAREENA</t>
        </is>
      </c>
    </row>
    <row r="219" ht="18" customHeight="1">
      <c r="A219" s="10" t="inlineStr">
        <is>
          <t>G6</t>
        </is>
      </c>
      <c r="B219" s="10" t="inlineStr">
        <is>
          <t>☐</t>
        </is>
      </c>
      <c r="C219" s="10" t="inlineStr">
        <is>
          <t>WS47</t>
        </is>
      </c>
      <c r="D219" s="11" t="inlineStr">
        <is>
          <t>OP-0128</t>
        </is>
      </c>
      <c r="E219" s="12" t="inlineStr">
        <is>
          <t>Attaching lining on top backwall&amp; top</t>
        </is>
      </c>
      <c r="F219" s="13" t="n">
        <v>48</v>
      </c>
      <c r="G219" s="14">
        <f>=SUMIF($C$17:$C$502,C219,$F$17:$F$502)</f>
        <v/>
      </c>
      <c r="H219" s="14">
        <f>=IFERROR($B$14/$B$10,"")</f>
        <v/>
      </c>
      <c r="I219" s="15">
        <f>=IFERROR(G219/H219,"")</f>
        <v/>
      </c>
      <c r="J219" s="16" t="n">
        <v>0.01333333333333333</v>
      </c>
      <c r="K219" s="11" t="inlineStr">
        <is>
          <t>LPD10282</t>
        </is>
      </c>
      <c r="L219" s="17" t="inlineStr">
        <is>
          <t>DIVYA</t>
        </is>
      </c>
    </row>
    <row r="220" ht="18" customHeight="1">
      <c r="A220" s="10" t="inlineStr">
        <is>
          <t>G6</t>
        </is>
      </c>
      <c r="B220" s="10" t="inlineStr">
        <is>
          <t>☐</t>
        </is>
      </c>
      <c r="C220" s="10" t="inlineStr">
        <is>
          <t>WS48</t>
        </is>
      </c>
      <c r="D220" s="11" t="inlineStr">
        <is>
          <t>OP-0128</t>
        </is>
      </c>
      <c r="E220" s="12" t="inlineStr">
        <is>
          <t>Attaching lining on top backwall&amp; top</t>
        </is>
      </c>
      <c r="F220" s="13" t="n">
        <v>48</v>
      </c>
      <c r="G220" s="14">
        <f>=SUMIF($C$17:$C$502,C220,$F$17:$F$502)</f>
        <v/>
      </c>
      <c r="H220" s="14">
        <f>=IFERROR($B$14/$B$10,"")</f>
        <v/>
      </c>
      <c r="I220" s="15">
        <f>=IFERROR(G220/H220,"")</f>
        <v/>
      </c>
      <c r="J220" s="16" t="n">
        <v>0.01333333333333333</v>
      </c>
      <c r="K220" s="11" t="inlineStr">
        <is>
          <t>LPD11520</t>
        </is>
      </c>
      <c r="L220" s="17" t="inlineStr">
        <is>
          <t>ZAREENA</t>
        </is>
      </c>
    </row>
    <row r="221" ht="18" customHeight="1">
      <c r="A221" s="10" t="inlineStr">
        <is>
          <t>G6</t>
        </is>
      </c>
      <c r="B221" s="10" t="inlineStr">
        <is>
          <t>☐</t>
        </is>
      </c>
      <c r="C221" s="10" t="inlineStr">
        <is>
          <t>WS47</t>
        </is>
      </c>
      <c r="D221" s="11" t="inlineStr">
        <is>
          <t>OP-0129</t>
        </is>
      </c>
      <c r="E221" s="12" t="inlineStr">
        <is>
          <t>Stitching Lining with backwall &amp; moon bit</t>
        </is>
      </c>
      <c r="F221" s="13" t="n">
        <v>42</v>
      </c>
      <c r="G221" s="14">
        <f>=SUMIF($C$17:$C$502,C221,$F$17:$F$502)</f>
        <v/>
      </c>
      <c r="H221" s="14">
        <f>=IFERROR($B$14/$B$10,"")</f>
        <v/>
      </c>
      <c r="I221" s="15">
        <f>=IFERROR(G221/H221,"")</f>
        <v/>
      </c>
      <c r="J221" s="16" t="n">
        <v>0.01166666666666667</v>
      </c>
      <c r="K221" s="11" t="inlineStr">
        <is>
          <t>LPD10282</t>
        </is>
      </c>
      <c r="L221" s="17" t="inlineStr">
        <is>
          <t>DIVYA</t>
        </is>
      </c>
    </row>
    <row r="222" ht="18" customHeight="1">
      <c r="A222" s="10" t="inlineStr">
        <is>
          <t>G6</t>
        </is>
      </c>
      <c r="B222" s="10" t="inlineStr">
        <is>
          <t>☐</t>
        </is>
      </c>
      <c r="C222" s="10" t="inlineStr">
        <is>
          <t>WS48</t>
        </is>
      </c>
      <c r="D222" s="11" t="inlineStr">
        <is>
          <t>OP-0129</t>
        </is>
      </c>
      <c r="E222" s="12" t="inlineStr">
        <is>
          <t>Stitching Lining with backwall &amp; moon bit</t>
        </is>
      </c>
      <c r="F222" s="13" t="n">
        <v>42</v>
      </c>
      <c r="G222" s="14">
        <f>=SUMIF($C$17:$C$502,C222,$F$17:$F$502)</f>
        <v/>
      </c>
      <c r="H222" s="14">
        <f>=IFERROR($B$14/$B$10,"")</f>
        <v/>
      </c>
      <c r="I222" s="15">
        <f>=IFERROR(G222/H222,"")</f>
        <v/>
      </c>
      <c r="J222" s="16" t="n">
        <v>0.01166666666666667</v>
      </c>
      <c r="K222" s="11" t="inlineStr">
        <is>
          <t>LPD11520</t>
        </is>
      </c>
      <c r="L222" s="17" t="inlineStr">
        <is>
          <t>ZAREENA</t>
        </is>
      </c>
    </row>
    <row r="223" ht="18" customHeight="1">
      <c r="A223" s="10" t="inlineStr">
        <is>
          <t>G6</t>
        </is>
      </c>
      <c r="B223" s="10" t="inlineStr">
        <is>
          <t>☐</t>
        </is>
      </c>
      <c r="C223" s="10" t="inlineStr">
        <is>
          <t>WS47</t>
        </is>
      </c>
      <c r="D223" s="11" t="inlineStr">
        <is>
          <t>OP-0130</t>
        </is>
      </c>
      <c r="E223" s="12" t="inlineStr">
        <is>
          <t>Thread Pull, Pasting</t>
        </is>
      </c>
      <c r="F223" s="13" t="n">
        <v>14</v>
      </c>
      <c r="G223" s="14">
        <f>=SUMIF($C$17:$C$502,C223,$F$17:$F$502)</f>
        <v/>
      </c>
      <c r="H223" s="14">
        <f>=IFERROR($B$14/$B$10,"")</f>
        <v/>
      </c>
      <c r="I223" s="15">
        <f>=IFERROR(G223/H223,"")</f>
        <v/>
      </c>
      <c r="J223" s="16" t="n">
        <v>0.003888888888888889</v>
      </c>
      <c r="K223" s="11" t="inlineStr">
        <is>
          <t>LPD10282</t>
        </is>
      </c>
      <c r="L223" s="17" t="inlineStr">
        <is>
          <t>DIVYA</t>
        </is>
      </c>
    </row>
    <row r="224" ht="18" customHeight="1">
      <c r="A224" s="10" t="inlineStr">
        <is>
          <t>G6</t>
        </is>
      </c>
      <c r="B224" s="10" t="inlineStr">
        <is>
          <t>☐</t>
        </is>
      </c>
      <c r="C224" s="10" t="inlineStr">
        <is>
          <t>WS48</t>
        </is>
      </c>
      <c r="D224" s="11" t="inlineStr">
        <is>
          <t>OP-0130</t>
        </is>
      </c>
      <c r="E224" s="12" t="inlineStr">
        <is>
          <t>Thread Pull, Pasting</t>
        </is>
      </c>
      <c r="F224" s="13" t="n">
        <v>14</v>
      </c>
      <c r="G224" s="14">
        <f>=SUMIF($C$17:$C$502,C224,$F$17:$F$502)</f>
        <v/>
      </c>
      <c r="H224" s="14">
        <f>=IFERROR($B$14/$B$10,"")</f>
        <v/>
      </c>
      <c r="I224" s="15">
        <f>=IFERROR(G224/H224,"")</f>
        <v/>
      </c>
      <c r="J224" s="16" t="n">
        <v>0.003888888888888889</v>
      </c>
      <c r="K224" s="11" t="inlineStr">
        <is>
          <t>LPD11520</t>
        </is>
      </c>
      <c r="L224" s="17" t="inlineStr">
        <is>
          <t>ZAREENA</t>
        </is>
      </c>
    </row>
    <row r="225" ht="18" customHeight="1">
      <c r="A225" s="10" t="inlineStr">
        <is>
          <t>G6</t>
        </is>
      </c>
      <c r="B225" s="10" t="inlineStr">
        <is>
          <t>☐</t>
        </is>
      </c>
      <c r="C225" s="10" t="inlineStr">
        <is>
          <t>WS49</t>
        </is>
      </c>
      <c r="D225" s="11" t="inlineStr">
        <is>
          <t>OP-0131</t>
        </is>
      </c>
      <c r="E225" s="12" t="inlineStr">
        <is>
          <t>Pasting over Zip shell</t>
        </is>
      </c>
      <c r="F225" s="13" t="n">
        <v>18</v>
      </c>
      <c r="G225" s="14">
        <f>=SUMIF($C$17:$C$502,C225,$F$17:$F$502)</f>
        <v/>
      </c>
      <c r="H225" s="14">
        <f>=IFERROR($B$14/$B$10,"")</f>
        <v/>
      </c>
      <c r="I225" s="15">
        <f>=IFERROR(G225/H225,"")</f>
        <v/>
      </c>
      <c r="J225" s="16" t="n">
        <v>0.005</v>
      </c>
      <c r="K225" s="11" t="inlineStr">
        <is>
          <t>LPD12061</t>
        </is>
      </c>
      <c r="L225" s="17" t="inlineStr">
        <is>
          <t>LPD12061 | BAKIBULLA MOLLA</t>
        </is>
      </c>
    </row>
    <row r="226" ht="18" customHeight="1">
      <c r="A226" s="10" t="inlineStr">
        <is>
          <t>G6</t>
        </is>
      </c>
      <c r="B226" s="10" t="inlineStr">
        <is>
          <t>☐</t>
        </is>
      </c>
      <c r="C226" s="10" t="inlineStr">
        <is>
          <t>WS50</t>
        </is>
      </c>
      <c r="D226" s="11" t="inlineStr">
        <is>
          <t>OP-0131</t>
        </is>
      </c>
      <c r="E226" s="12" t="inlineStr">
        <is>
          <t>Pasting over Zip shell</t>
        </is>
      </c>
      <c r="F226" s="13" t="n">
        <v>18</v>
      </c>
      <c r="G226" s="14">
        <f>=SUMIF($C$17:$C$502,C226,$F$17:$F$502)</f>
        <v/>
      </c>
      <c r="H226" s="14">
        <f>=IFERROR($B$14/$B$10,"")</f>
        <v/>
      </c>
      <c r="I226" s="15">
        <f>=IFERROR(G226/H226,"")</f>
        <v/>
      </c>
      <c r="J226" s="16" t="n">
        <v>0.005</v>
      </c>
      <c r="K226" s="11" t="inlineStr">
        <is>
          <t>LPD11959</t>
        </is>
      </c>
      <c r="L226" s="17" t="inlineStr">
        <is>
          <t>LPD11959 | A MEENAKSHI</t>
        </is>
      </c>
    </row>
    <row r="227" ht="18" customHeight="1">
      <c r="A227" s="10" t="inlineStr">
        <is>
          <t>G6</t>
        </is>
      </c>
      <c r="B227" s="10" t="inlineStr">
        <is>
          <t>☐</t>
        </is>
      </c>
      <c r="C227" s="10" t="inlineStr">
        <is>
          <t>WS49</t>
        </is>
      </c>
      <c r="D227" s="11" t="inlineStr">
        <is>
          <t>OP-0132</t>
        </is>
      </c>
      <c r="E227" s="12" t="inlineStr">
        <is>
          <t>Inserting mould</t>
        </is>
      </c>
      <c r="F227" s="13" t="n">
        <v>28</v>
      </c>
      <c r="G227" s="14">
        <f>=SUMIF($C$17:$C$502,C227,$F$17:$F$502)</f>
        <v/>
      </c>
      <c r="H227" s="14">
        <f>=IFERROR($B$14/$B$10,"")</f>
        <v/>
      </c>
      <c r="I227" s="15">
        <f>=IFERROR(G227/H227,"")</f>
        <v/>
      </c>
      <c r="J227" s="16" t="n">
        <v>0.007777777777777778</v>
      </c>
      <c r="K227" s="11" t="inlineStr">
        <is>
          <t>LPD12061</t>
        </is>
      </c>
      <c r="L227" s="17" t="inlineStr">
        <is>
          <t>LPD12061 | BAKIBULLA MOLLA</t>
        </is>
      </c>
    </row>
    <row r="228" ht="18" customHeight="1">
      <c r="A228" s="10" t="inlineStr">
        <is>
          <t>G6</t>
        </is>
      </c>
      <c r="B228" s="10" t="inlineStr">
        <is>
          <t>☐</t>
        </is>
      </c>
      <c r="C228" s="10" t="inlineStr">
        <is>
          <t>WS50</t>
        </is>
      </c>
      <c r="D228" s="11" t="inlineStr">
        <is>
          <t>OP-0132</t>
        </is>
      </c>
      <c r="E228" s="12" t="inlineStr">
        <is>
          <t>Inserting mould</t>
        </is>
      </c>
      <c r="F228" s="13" t="n">
        <v>28</v>
      </c>
      <c r="G228" s="14">
        <f>=SUMIF($C$17:$C$502,C228,$F$17:$F$502)</f>
        <v/>
      </c>
      <c r="H228" s="14">
        <f>=IFERROR($B$14/$B$10,"")</f>
        <v/>
      </c>
      <c r="I228" s="15">
        <f>=IFERROR(G228/H228,"")</f>
        <v/>
      </c>
      <c r="J228" s="16" t="n">
        <v>0.007777777777777778</v>
      </c>
      <c r="K228" s="11" t="inlineStr">
        <is>
          <t>LPD11959</t>
        </is>
      </c>
      <c r="L228" s="17" t="inlineStr">
        <is>
          <t>LPD11959 | A MEENAKSHI</t>
        </is>
      </c>
    </row>
    <row r="229" ht="18" customHeight="1">
      <c r="A229" s="10" t="inlineStr">
        <is>
          <t>G6</t>
        </is>
      </c>
      <c r="B229" s="10" t="inlineStr">
        <is>
          <t>☐</t>
        </is>
      </c>
      <c r="C229" s="10" t="inlineStr">
        <is>
          <t>WS49</t>
        </is>
      </c>
      <c r="D229" s="11" t="inlineStr">
        <is>
          <t>OP-0133</t>
        </is>
      </c>
      <c r="E229" s="12" t="inlineStr">
        <is>
          <t>Attaching Zipper with case in Mould  &amp; Cornnering Zipper over Lining  &amp; mould removing</t>
        </is>
      </c>
      <c r="F229" s="13" t="n">
        <v>108</v>
      </c>
      <c r="G229" s="14">
        <f>=SUMIF($C$17:$C$502,C229,$F$17:$F$502)</f>
        <v/>
      </c>
      <c r="H229" s="14">
        <f>=IFERROR($B$14/$B$10,"")</f>
        <v/>
      </c>
      <c r="I229" s="15">
        <f>=IFERROR(G229/H229,"")</f>
        <v/>
      </c>
      <c r="J229" s="16" t="n">
        <v>0.03</v>
      </c>
      <c r="K229" s="11" t="inlineStr">
        <is>
          <t>LPD12061</t>
        </is>
      </c>
      <c r="L229" s="17" t="inlineStr">
        <is>
          <t>LPD12061 | BAKIBULLA MOLLA</t>
        </is>
      </c>
    </row>
    <row r="230" ht="18" customHeight="1">
      <c r="A230" s="10" t="inlineStr">
        <is>
          <t>G6</t>
        </is>
      </c>
      <c r="B230" s="10" t="inlineStr">
        <is>
          <t>☐</t>
        </is>
      </c>
      <c r="C230" s="10" t="inlineStr">
        <is>
          <t>WS50</t>
        </is>
      </c>
      <c r="D230" s="11" t="inlineStr">
        <is>
          <t>OP-0133</t>
        </is>
      </c>
      <c r="E230" s="12" t="inlineStr">
        <is>
          <t>Attaching Zipper with case in Mould  &amp; Cornnering Zipper over Lining  &amp; mould removing</t>
        </is>
      </c>
      <c r="F230" s="13" t="n">
        <v>108</v>
      </c>
      <c r="G230" s="14">
        <f>=SUMIF($C$17:$C$502,C230,$F$17:$F$502)</f>
        <v/>
      </c>
      <c r="H230" s="14">
        <f>=IFERROR($B$14/$B$10,"")</f>
        <v/>
      </c>
      <c r="I230" s="15">
        <f>=IFERROR(G230/H230,"")</f>
        <v/>
      </c>
      <c r="J230" s="16" t="n">
        <v>0.03</v>
      </c>
      <c r="K230" s="11" t="inlineStr">
        <is>
          <t>LPD11959</t>
        </is>
      </c>
      <c r="L230" s="17" t="inlineStr">
        <is>
          <t>LPD11959 | A MEENAKSHI</t>
        </is>
      </c>
    </row>
    <row r="231" ht="18" customHeight="1">
      <c r="A231" s="10" t="inlineStr">
        <is>
          <t>G7</t>
        </is>
      </c>
      <c r="B231" s="10" t="inlineStr">
        <is>
          <t>☑</t>
        </is>
      </c>
      <c r="C231" s="10" t="inlineStr">
        <is>
          <t>WS51</t>
        </is>
      </c>
      <c r="D231" s="11" t="inlineStr">
        <is>
          <t>OP-0134</t>
        </is>
      </c>
      <c r="E231" s="12" t="inlineStr">
        <is>
          <t>Pasting over shell final</t>
        </is>
      </c>
      <c r="F231" s="13" t="n">
        <v>60</v>
      </c>
      <c r="G231" s="14">
        <f>=SUMIF($C$17:$C$502,C231,$F$17:$F$502)</f>
        <v/>
      </c>
      <c r="H231" s="14">
        <f>=IFERROR($B$14/$B$10,"")</f>
        <v/>
      </c>
      <c r="I231" s="15">
        <f>=IFERROR(G231/H231,"")</f>
        <v/>
      </c>
      <c r="J231" s="16" t="n">
        <v>0.01666666666666667</v>
      </c>
      <c r="K231" s="11" t="inlineStr">
        <is>
          <t>LPDS95790</t>
        </is>
      </c>
      <c r="L231" s="17" t="inlineStr">
        <is>
          <t>PARWEEN</t>
        </is>
      </c>
    </row>
    <row r="232" ht="18" customHeight="1">
      <c r="A232" s="10" t="inlineStr">
        <is>
          <t>G7</t>
        </is>
      </c>
      <c r="B232" s="10" t="inlineStr">
        <is>
          <t>☐</t>
        </is>
      </c>
      <c r="C232" s="10" t="inlineStr">
        <is>
          <t>WS52</t>
        </is>
      </c>
      <c r="D232" s="11" t="inlineStr">
        <is>
          <t>OP-0134</t>
        </is>
      </c>
      <c r="E232" s="12" t="inlineStr">
        <is>
          <t>Pasting over shell final</t>
        </is>
      </c>
      <c r="F232" s="13" t="n">
        <v>60</v>
      </c>
      <c r="G232" s="14">
        <f>=SUMIF($C$17:$C$502,C232,$F$17:$F$502)</f>
        <v/>
      </c>
      <c r="H232" s="14">
        <f>=IFERROR($B$14/$B$10,"")</f>
        <v/>
      </c>
      <c r="I232" s="15">
        <f>=IFERROR(G232/H232,"")</f>
        <v/>
      </c>
      <c r="J232" s="16" t="n">
        <v>0.01666666666666667</v>
      </c>
      <c r="K232" s="11" t="inlineStr">
        <is>
          <t>LPD05252</t>
        </is>
      </c>
      <c r="L232" s="17" t="inlineStr">
        <is>
          <t>SHEINAAZ</t>
        </is>
      </c>
    </row>
    <row r="233" ht="18" customHeight="1">
      <c r="A233" s="10" t="inlineStr">
        <is>
          <t>G7</t>
        </is>
      </c>
      <c r="B233" s="10" t="inlineStr">
        <is>
          <t>☐</t>
        </is>
      </c>
      <c r="C233" s="10" t="inlineStr">
        <is>
          <t>WS51</t>
        </is>
      </c>
      <c r="D233" s="11" t="inlineStr">
        <is>
          <t>OP-0135</t>
        </is>
      </c>
      <c r="E233" s="12" t="inlineStr">
        <is>
          <t>Label prepration</t>
        </is>
      </c>
      <c r="F233" s="13" t="n">
        <v>12</v>
      </c>
      <c r="G233" s="14">
        <f>=SUMIF($C$17:$C$502,C233,$F$17:$F$502)</f>
        <v/>
      </c>
      <c r="H233" s="14">
        <f>=IFERROR($B$14/$B$10,"")</f>
        <v/>
      </c>
      <c r="I233" s="15">
        <f>=IFERROR(G233/H233,"")</f>
        <v/>
      </c>
      <c r="J233" s="16" t="n">
        <v>0.003333333333333334</v>
      </c>
      <c r="K233" s="11" t="inlineStr">
        <is>
          <t>LPDS95790</t>
        </is>
      </c>
      <c r="L233" s="17" t="inlineStr">
        <is>
          <t>PARWEEN</t>
        </is>
      </c>
    </row>
    <row r="234" ht="18" customHeight="1">
      <c r="A234" s="10" t="inlineStr">
        <is>
          <t>G7</t>
        </is>
      </c>
      <c r="B234" s="10" t="inlineStr">
        <is>
          <t>☐</t>
        </is>
      </c>
      <c r="C234" s="10" t="inlineStr">
        <is>
          <t>WS52</t>
        </is>
      </c>
      <c r="D234" s="11" t="inlineStr">
        <is>
          <t>OP-0135</t>
        </is>
      </c>
      <c r="E234" s="12" t="inlineStr">
        <is>
          <t>Label prepration</t>
        </is>
      </c>
      <c r="F234" s="13" t="n">
        <v>12</v>
      </c>
      <c r="G234" s="14">
        <f>=SUMIF($C$17:$C$502,C234,$F$17:$F$502)</f>
        <v/>
      </c>
      <c r="H234" s="14">
        <f>=IFERROR($B$14/$B$10,"")</f>
        <v/>
      </c>
      <c r="I234" s="15">
        <f>=IFERROR(G234/H234,"")</f>
        <v/>
      </c>
      <c r="J234" s="16" t="n">
        <v>0.003333333333333334</v>
      </c>
      <c r="K234" s="11" t="inlineStr">
        <is>
          <t>LPD05252</t>
        </is>
      </c>
      <c r="L234" s="17" t="inlineStr">
        <is>
          <t>SHEINAAZ</t>
        </is>
      </c>
    </row>
    <row r="235" ht="18" customHeight="1">
      <c r="A235" s="10" t="inlineStr">
        <is>
          <t>G7</t>
        </is>
      </c>
      <c r="B235" s="10" t="inlineStr">
        <is>
          <t>☐</t>
        </is>
      </c>
      <c r="C235" s="10" t="inlineStr">
        <is>
          <t>WS51</t>
        </is>
      </c>
      <c r="D235" s="11" t="inlineStr">
        <is>
          <t>OP-0136</t>
        </is>
      </c>
      <c r="E235" s="12" t="inlineStr">
        <is>
          <t>Pasting on label</t>
        </is>
      </c>
      <c r="F235" s="13" t="n">
        <v>10</v>
      </c>
      <c r="G235" s="14">
        <f>=SUMIF($C$17:$C$502,C235,$F$17:$F$502)</f>
        <v/>
      </c>
      <c r="H235" s="14">
        <f>=IFERROR($B$14/$B$10,"")</f>
        <v/>
      </c>
      <c r="I235" s="15">
        <f>=IFERROR(G235/H235,"")</f>
        <v/>
      </c>
      <c r="J235" s="16" t="n">
        <v>0.002777777777777778</v>
      </c>
      <c r="K235" s="11" t="inlineStr">
        <is>
          <t>LPDS95790</t>
        </is>
      </c>
      <c r="L235" s="17" t="inlineStr">
        <is>
          <t>PARWEEN</t>
        </is>
      </c>
    </row>
    <row r="236" ht="18" customHeight="1">
      <c r="A236" s="10" t="inlineStr">
        <is>
          <t>G7</t>
        </is>
      </c>
      <c r="B236" s="10" t="inlineStr">
        <is>
          <t>☐</t>
        </is>
      </c>
      <c r="C236" s="10" t="inlineStr">
        <is>
          <t>WS52</t>
        </is>
      </c>
      <c r="D236" s="11" t="inlineStr">
        <is>
          <t>OP-0136</t>
        </is>
      </c>
      <c r="E236" s="12" t="inlineStr">
        <is>
          <t>Pasting on label</t>
        </is>
      </c>
      <c r="F236" s="13" t="n">
        <v>10</v>
      </c>
      <c r="G236" s="14">
        <f>=SUMIF($C$17:$C$502,C236,$F$17:$F$502)</f>
        <v/>
      </c>
      <c r="H236" s="14">
        <f>=IFERROR($B$14/$B$10,"")</f>
        <v/>
      </c>
      <c r="I236" s="15">
        <f>=IFERROR(G236/H236,"")</f>
        <v/>
      </c>
      <c r="J236" s="16" t="n">
        <v>0.002777777777777778</v>
      </c>
      <c r="K236" s="11" t="inlineStr">
        <is>
          <t>LPD05252</t>
        </is>
      </c>
      <c r="L236" s="17" t="inlineStr">
        <is>
          <t>SHEINAAZ</t>
        </is>
      </c>
    </row>
    <row r="237" ht="18" customHeight="1">
      <c r="A237" s="10" t="inlineStr">
        <is>
          <t>G7</t>
        </is>
      </c>
      <c r="B237" s="10" t="inlineStr">
        <is>
          <t>☐</t>
        </is>
      </c>
      <c r="C237" s="10" t="inlineStr">
        <is>
          <t>WS53</t>
        </is>
      </c>
      <c r="D237" s="11" t="inlineStr">
        <is>
          <t>OP-0137</t>
        </is>
      </c>
      <c r="E237" s="12" t="inlineStr">
        <is>
          <t>Attaching label</t>
        </is>
      </c>
      <c r="F237" s="13" t="n">
        <v>16</v>
      </c>
      <c r="G237" s="14">
        <f>=SUMIF($C$17:$C$502,C237,$F$17:$F$502)</f>
        <v/>
      </c>
      <c r="H237" s="14">
        <f>=IFERROR($B$14/$B$10,"")</f>
        <v/>
      </c>
      <c r="I237" s="15">
        <f>=IFERROR(G237/H237,"")</f>
        <v/>
      </c>
      <c r="J237" s="16" t="n">
        <v>0.004444444444444444</v>
      </c>
      <c r="K237" s="11" t="inlineStr">
        <is>
          <t>LPD12275</t>
        </is>
      </c>
      <c r="L237" s="17" t="inlineStr">
        <is>
          <t>AYUB MOLLA</t>
        </is>
      </c>
    </row>
    <row r="238" ht="18" customHeight="1">
      <c r="A238" s="10" t="inlineStr">
        <is>
          <t>G7</t>
        </is>
      </c>
      <c r="B238" s="10" t="inlineStr">
        <is>
          <t>☐</t>
        </is>
      </c>
      <c r="C238" s="10" t="inlineStr">
        <is>
          <t>WS54</t>
        </is>
      </c>
      <c r="D238" s="11" t="inlineStr">
        <is>
          <t>OP-0138</t>
        </is>
      </c>
      <c r="E238" s="12" t="inlineStr">
        <is>
          <t>Final Attaching</t>
        </is>
      </c>
      <c r="F238" s="13" t="n">
        <v>102</v>
      </c>
      <c r="G238" s="14">
        <f>=SUMIF($C$17:$C$502,C238,$F$17:$F$502)</f>
        <v/>
      </c>
      <c r="H238" s="14">
        <f>=IFERROR($B$14/$B$10,"")</f>
        <v/>
      </c>
      <c r="I238" s="15">
        <f>=IFERROR(G238/H238,"")</f>
        <v/>
      </c>
      <c r="J238" s="16" t="n">
        <v>0.02833333333333333</v>
      </c>
      <c r="K238" s="11" t="inlineStr">
        <is>
          <t>LPD12262</t>
        </is>
      </c>
      <c r="L238" s="17" t="inlineStr">
        <is>
          <t>RAHIM</t>
        </is>
      </c>
    </row>
    <row r="239" ht="18" customHeight="1">
      <c r="A239" s="10" t="inlineStr">
        <is>
          <t>G7</t>
        </is>
      </c>
      <c r="B239" s="10" t="inlineStr">
        <is>
          <t>☑</t>
        </is>
      </c>
      <c r="C239" s="10" t="inlineStr">
        <is>
          <t>WS55</t>
        </is>
      </c>
      <c r="D239" s="11" t="inlineStr">
        <is>
          <t>OP-0139</t>
        </is>
      </c>
      <c r="E239" s="12" t="inlineStr">
        <is>
          <t>Final Stitching</t>
        </is>
      </c>
      <c r="F239" s="13" t="n">
        <v>108</v>
      </c>
      <c r="G239" s="14">
        <f>=SUMIF($C$17:$C$502,C239,$F$17:$F$502)</f>
        <v/>
      </c>
      <c r="H239" s="14">
        <f>=IFERROR($B$14/$B$10,"")</f>
        <v/>
      </c>
      <c r="I239" s="15">
        <f>=IFERROR(G239/H239,"")</f>
        <v/>
      </c>
      <c r="J239" s="16" t="n">
        <v>0.03</v>
      </c>
      <c r="K239" s="11" t="inlineStr">
        <is>
          <t>LPD11396</t>
        </is>
      </c>
      <c r="L239" s="17" t="inlineStr">
        <is>
          <t>PRECILA</t>
        </is>
      </c>
    </row>
    <row r="240" ht="18" customHeight="1">
      <c r="A240" s="10" t="inlineStr">
        <is>
          <t>G7</t>
        </is>
      </c>
      <c r="B240" s="10" t="inlineStr">
        <is>
          <t>☐</t>
        </is>
      </c>
      <c r="C240" s="10" t="inlineStr">
        <is>
          <t>WS56</t>
        </is>
      </c>
      <c r="D240" s="11" t="inlineStr">
        <is>
          <t>OP-0053</t>
        </is>
      </c>
      <c r="E240" s="12" t="inlineStr">
        <is>
          <t>Lamping</t>
        </is>
      </c>
      <c r="F240" s="13" t="n">
        <v>24</v>
      </c>
      <c r="G240" s="14">
        <f>=SUMIF($C$17:$C$502,C240,$F$17:$F$502)</f>
        <v/>
      </c>
      <c r="H240" s="14">
        <f>=IFERROR($B$14/$B$10,"")</f>
        <v/>
      </c>
      <c r="I240" s="15">
        <f>=IFERROR(G240/H240,"")</f>
        <v/>
      </c>
      <c r="J240" s="16" t="n">
        <v>0.006666666666666667</v>
      </c>
      <c r="K240" s="11" t="inlineStr">
        <is>
          <t>LPD11018</t>
        </is>
      </c>
      <c r="L240" s="17" t="inlineStr">
        <is>
          <t>SHABANA</t>
        </is>
      </c>
    </row>
    <row r="241" ht="18" customHeight="1">
      <c r="A241" s="10" t="inlineStr">
        <is>
          <t>G7</t>
        </is>
      </c>
      <c r="B241" s="10" t="inlineStr">
        <is>
          <t>☐</t>
        </is>
      </c>
      <c r="C241" s="10" t="inlineStr">
        <is>
          <t>WS56</t>
        </is>
      </c>
      <c r="D241" s="11" t="inlineStr">
        <is>
          <t>OP-0140</t>
        </is>
      </c>
      <c r="E241" s="12" t="inlineStr">
        <is>
          <t>Puller fixing</t>
        </is>
      </c>
      <c r="F241" s="13" t="n">
        <v>16</v>
      </c>
      <c r="G241" s="14">
        <f>=SUMIF($C$17:$C$502,C241,$F$17:$F$502)</f>
        <v/>
      </c>
      <c r="H241" s="14">
        <f>=IFERROR($B$14/$B$10,"")</f>
        <v/>
      </c>
      <c r="I241" s="15">
        <f>=IFERROR(G241/H241,"")</f>
        <v/>
      </c>
      <c r="J241" s="16" t="n">
        <v>0.004444444444444444</v>
      </c>
      <c r="K241" s="11" t="inlineStr">
        <is>
          <t>LPD11018</t>
        </is>
      </c>
      <c r="L241" s="17" t="inlineStr">
        <is>
          <t>SHABANA</t>
        </is>
      </c>
    </row>
    <row r="242" ht="18" customHeight="1">
      <c r="A242" s="10" t="inlineStr">
        <is>
          <t>G7</t>
        </is>
      </c>
      <c r="B242" s="10" t="inlineStr">
        <is>
          <t>☑</t>
        </is>
      </c>
      <c r="C242" s="10" t="inlineStr">
        <is>
          <t>WS57</t>
        </is>
      </c>
      <c r="D242" s="11" t="inlineStr">
        <is>
          <t>OP-0011</t>
        </is>
      </c>
      <c r="E242" s="12" t="inlineStr">
        <is>
          <t>Cleaning</t>
        </is>
      </c>
      <c r="F242" s="13" t="n">
        <v>90</v>
      </c>
      <c r="G242" s="14">
        <f>=SUMIF($C$17:$C$502,C242,$F$17:$F$502)</f>
        <v/>
      </c>
      <c r="H242" s="14">
        <f>=IFERROR($B$14/$B$10,"")</f>
        <v/>
      </c>
      <c r="I242" s="15">
        <f>=IFERROR(G242/H242,"")</f>
        <v/>
      </c>
      <c r="J242" s="16" t="n">
        <v>0.025</v>
      </c>
      <c r="K242" s="11" t="inlineStr">
        <is>
          <t>LPD11690</t>
        </is>
      </c>
      <c r="L242" s="17" t="inlineStr">
        <is>
          <t>NANDHINI</t>
        </is>
      </c>
    </row>
    <row r="243" ht="18" customHeight="1">
      <c r="A243" s="10" t="n"/>
      <c r="B243" s="10" t="n"/>
      <c r="C243" s="10" t="n"/>
      <c r="D243" s="11" t="n"/>
      <c r="E243" s="12" t="n"/>
      <c r="F243" s="13" t="n"/>
      <c r="G243" s="14">
        <f>=SUMIF($C$17:$C$502,C243,$F$17:$F$502)</f>
        <v/>
      </c>
      <c r="H243" s="14">
        <f>=IFERROR($B$14/$B$10,"")</f>
        <v/>
      </c>
      <c r="I243" s="15">
        <f>=IFERROR(G243/H243,"")</f>
        <v/>
      </c>
      <c r="J243" s="16" t="n"/>
      <c r="K243" s="11" t="n"/>
      <c r="L243" s="17" t="n"/>
    </row>
    <row r="244" ht="18" customHeight="1">
      <c r="A244" s="10" t="n"/>
      <c r="B244" s="10" t="n"/>
      <c r="C244" s="10" t="n"/>
      <c r="D244" s="11" t="n"/>
      <c r="E244" s="12" t="n"/>
      <c r="F244" s="13" t="n"/>
      <c r="G244" s="14">
        <f>=SUMIF($C$17:$C$502,C244,$F$17:$F$502)</f>
        <v/>
      </c>
      <c r="H244" s="14">
        <f>=IFERROR($B$14/$B$10,"")</f>
        <v/>
      </c>
      <c r="I244" s="15">
        <f>=IFERROR(G244/H244,"")</f>
        <v/>
      </c>
      <c r="J244" s="16" t="n"/>
      <c r="K244" s="11" t="n"/>
      <c r="L244" s="17" t="n"/>
    </row>
    <row r="245" ht="18" customHeight="1">
      <c r="A245" s="10" t="n"/>
      <c r="B245" s="10" t="n"/>
      <c r="C245" s="10" t="n"/>
      <c r="D245" s="11" t="n"/>
      <c r="E245" s="12" t="n"/>
      <c r="F245" s="13" t="n"/>
      <c r="G245" s="14">
        <f>=SUMIF($C$17:$C$502,C245,$F$17:$F$502)</f>
        <v/>
      </c>
      <c r="H245" s="14">
        <f>=IFERROR($B$14/$B$10,"")</f>
        <v/>
      </c>
      <c r="I245" s="15">
        <f>=IFERROR(G245/H245,"")</f>
        <v/>
      </c>
      <c r="J245" s="16" t="n"/>
      <c r="K245" s="11" t="n"/>
      <c r="L245" s="17" t="n"/>
    </row>
    <row r="246" ht="18" customHeight="1">
      <c r="A246" s="10" t="n"/>
      <c r="B246" s="10" t="n"/>
      <c r="C246" s="10" t="n"/>
      <c r="D246" s="11" t="n"/>
      <c r="E246" s="12" t="n"/>
      <c r="F246" s="13" t="n"/>
      <c r="G246" s="14">
        <f>=SUMIF($C$17:$C$502,C246,$F$17:$F$502)</f>
        <v/>
      </c>
      <c r="H246" s="14">
        <f>=IFERROR($B$14/$B$10,"")</f>
        <v/>
      </c>
      <c r="I246" s="15">
        <f>=IFERROR(G246/H246,"")</f>
        <v/>
      </c>
      <c r="J246" s="16" t="n"/>
      <c r="K246" s="11" t="n"/>
      <c r="L246" s="17" t="n"/>
    </row>
    <row r="247" ht="18" customHeight="1">
      <c r="A247" s="10" t="n"/>
      <c r="B247" s="10" t="n"/>
      <c r="C247" s="10" t="n"/>
      <c r="D247" s="11" t="n"/>
      <c r="E247" s="12" t="n"/>
      <c r="F247" s="13" t="n"/>
      <c r="G247" s="14">
        <f>=SUMIF($C$17:$C$502,C247,$F$17:$F$502)</f>
        <v/>
      </c>
      <c r="H247" s="14">
        <f>=IFERROR($B$14/$B$10,"")</f>
        <v/>
      </c>
      <c r="I247" s="15">
        <f>=IFERROR(G247/H247,"")</f>
        <v/>
      </c>
      <c r="J247" s="16" t="n"/>
      <c r="K247" s="11" t="n"/>
      <c r="L247" s="17" t="n"/>
    </row>
    <row r="248" ht="18" customHeight="1">
      <c r="A248" s="10" t="n"/>
      <c r="B248" s="10" t="n"/>
      <c r="C248" s="10" t="n"/>
      <c r="D248" s="11" t="n"/>
      <c r="E248" s="12" t="n"/>
      <c r="F248" s="13" t="n"/>
      <c r="G248" s="14">
        <f>=SUMIF($C$17:$C$502,C248,$F$17:$F$502)</f>
        <v/>
      </c>
      <c r="H248" s="14">
        <f>=IFERROR($B$14/$B$10,"")</f>
        <v/>
      </c>
      <c r="I248" s="15">
        <f>=IFERROR(G248/H248,"")</f>
        <v/>
      </c>
      <c r="J248" s="16" t="n"/>
      <c r="K248" s="11" t="n"/>
      <c r="L248" s="17" t="n"/>
    </row>
    <row r="249" ht="18" customHeight="1">
      <c r="A249" s="10" t="n"/>
      <c r="B249" s="10" t="n"/>
      <c r="C249" s="10" t="n"/>
      <c r="D249" s="11" t="n"/>
      <c r="E249" s="12" t="n"/>
      <c r="F249" s="13" t="n"/>
      <c r="G249" s="14">
        <f>=SUMIF($C$17:$C$502,C249,$F$17:$F$502)</f>
        <v/>
      </c>
      <c r="H249" s="14">
        <f>=IFERROR($B$14/$B$10,"")</f>
        <v/>
      </c>
      <c r="I249" s="15">
        <f>=IFERROR(G249/H249,"")</f>
        <v/>
      </c>
      <c r="J249" s="16" t="n"/>
      <c r="K249" s="11" t="n"/>
      <c r="L249" s="17" t="n"/>
    </row>
    <row r="250" ht="18" customHeight="1">
      <c r="A250" s="10" t="n"/>
      <c r="B250" s="10" t="n"/>
      <c r="C250" s="10" t="n"/>
      <c r="D250" s="11" t="n"/>
      <c r="E250" s="12" t="n"/>
      <c r="F250" s="13" t="n"/>
      <c r="G250" s="14">
        <f>=SUMIF($C$17:$C$502,C250,$F$17:$F$502)</f>
        <v/>
      </c>
      <c r="H250" s="14">
        <f>=IFERROR($B$14/$B$10,"")</f>
        <v/>
      </c>
      <c r="I250" s="15">
        <f>=IFERROR(G250/H250,"")</f>
        <v/>
      </c>
      <c r="J250" s="16" t="n"/>
      <c r="K250" s="11" t="n"/>
      <c r="L250" s="17" t="n"/>
    </row>
    <row r="251" ht="18" customHeight="1">
      <c r="A251" s="10" t="n"/>
      <c r="B251" s="10" t="n"/>
      <c r="C251" s="10" t="n"/>
      <c r="D251" s="11" t="n"/>
      <c r="E251" s="12" t="n"/>
      <c r="F251" s="13" t="n"/>
      <c r="G251" s="14">
        <f>=SUMIF($C$17:$C$502,C251,$F$17:$F$502)</f>
        <v/>
      </c>
      <c r="H251" s="14">
        <f>=IFERROR($B$14/$B$10,"")</f>
        <v/>
      </c>
      <c r="I251" s="15">
        <f>=IFERROR(G251/H251,"")</f>
        <v/>
      </c>
      <c r="J251" s="16" t="n"/>
      <c r="K251" s="11" t="n"/>
      <c r="L251" s="17" t="n"/>
    </row>
    <row r="252" ht="18" customHeight="1">
      <c r="A252" s="10" t="n"/>
      <c r="B252" s="10" t="n"/>
      <c r="C252" s="10" t="n"/>
      <c r="D252" s="11" t="n"/>
      <c r="E252" s="12" t="n"/>
      <c r="F252" s="13" t="n"/>
      <c r="G252" s="14">
        <f>=SUMIF($C$17:$C$502,C252,$F$17:$F$502)</f>
        <v/>
      </c>
      <c r="H252" s="14">
        <f>=IFERROR($B$14/$B$10,"")</f>
        <v/>
      </c>
      <c r="I252" s="15">
        <f>=IFERROR(G252/H252,"")</f>
        <v/>
      </c>
      <c r="J252" s="16" t="n"/>
      <c r="K252" s="11" t="n"/>
      <c r="L252" s="17" t="n"/>
    </row>
    <row r="253" ht="18" customHeight="1">
      <c r="A253" s="10" t="n"/>
      <c r="B253" s="10" t="n"/>
      <c r="C253" s="10" t="n"/>
      <c r="D253" s="11" t="n"/>
      <c r="E253" s="12" t="n"/>
      <c r="F253" s="13" t="n"/>
      <c r="G253" s="14">
        <f>=SUMIF($C$17:$C$502,C253,$F$17:$F$502)</f>
        <v/>
      </c>
      <c r="H253" s="14">
        <f>=IFERROR($B$14/$B$10,"")</f>
        <v/>
      </c>
      <c r="I253" s="15">
        <f>=IFERROR(G253/H253,"")</f>
        <v/>
      </c>
      <c r="J253" s="16" t="n"/>
      <c r="K253" s="11" t="n"/>
      <c r="L253" s="17" t="n"/>
    </row>
    <row r="254" ht="18" customHeight="1">
      <c r="A254" s="10" t="n"/>
      <c r="B254" s="10" t="n"/>
      <c r="C254" s="10" t="n"/>
      <c r="D254" s="11" t="n"/>
      <c r="E254" s="12" t="n"/>
      <c r="F254" s="13" t="n"/>
      <c r="G254" s="14">
        <f>=SUMIF($C$17:$C$502,C254,$F$17:$F$502)</f>
        <v/>
      </c>
      <c r="H254" s="14">
        <f>=IFERROR($B$14/$B$10,"")</f>
        <v/>
      </c>
      <c r="I254" s="15">
        <f>=IFERROR(G254/H254,"")</f>
        <v/>
      </c>
      <c r="J254" s="16" t="n"/>
      <c r="K254" s="11" t="n"/>
      <c r="L254" s="17" t="n"/>
    </row>
    <row r="255" ht="18" customHeight="1">
      <c r="A255" s="10" t="n"/>
      <c r="B255" s="10" t="n"/>
      <c r="C255" s="10" t="n"/>
      <c r="D255" s="11" t="n"/>
      <c r="E255" s="12" t="n"/>
      <c r="F255" s="13" t="n"/>
      <c r="G255" s="14">
        <f>=SUMIF($C$17:$C$502,C255,$F$17:$F$502)</f>
        <v/>
      </c>
      <c r="H255" s="14">
        <f>=IFERROR($B$14/$B$10,"")</f>
        <v/>
      </c>
      <c r="I255" s="15">
        <f>=IFERROR(G255/H255,"")</f>
        <v/>
      </c>
      <c r="J255" s="16" t="n"/>
      <c r="K255" s="11" t="n"/>
      <c r="L255" s="17" t="n"/>
    </row>
    <row r="256" ht="18" customHeight="1">
      <c r="A256" s="10" t="n"/>
      <c r="B256" s="10" t="n"/>
      <c r="C256" s="10" t="n"/>
      <c r="D256" s="11" t="n"/>
      <c r="E256" s="12" t="n"/>
      <c r="F256" s="13" t="n"/>
      <c r="G256" s="14">
        <f>=SUMIF($C$17:$C$502,C256,$F$17:$F$502)</f>
        <v/>
      </c>
      <c r="H256" s="14">
        <f>=IFERROR($B$14/$B$10,"")</f>
        <v/>
      </c>
      <c r="I256" s="15">
        <f>=IFERROR(G256/H256,"")</f>
        <v/>
      </c>
      <c r="J256" s="16" t="n"/>
      <c r="K256" s="11" t="n"/>
      <c r="L256" s="17" t="n"/>
    </row>
    <row r="257" ht="18" customHeight="1">
      <c r="A257" s="10" t="n"/>
      <c r="B257" s="10" t="n"/>
      <c r="C257" s="10" t="n"/>
      <c r="D257" s="11" t="n"/>
      <c r="E257" s="12" t="n"/>
      <c r="F257" s="13" t="n"/>
      <c r="G257" s="14">
        <f>=SUMIF($C$17:$C$502,C257,$F$17:$F$502)</f>
        <v/>
      </c>
      <c r="H257" s="14">
        <f>=IFERROR($B$14/$B$10,"")</f>
        <v/>
      </c>
      <c r="I257" s="15">
        <f>=IFERROR(G257/H257,"")</f>
        <v/>
      </c>
      <c r="J257" s="16" t="n"/>
      <c r="K257" s="11" t="n"/>
      <c r="L257" s="17" t="n"/>
    </row>
    <row r="258" ht="18" customHeight="1">
      <c r="A258" s="10" t="n"/>
      <c r="B258" s="10" t="n"/>
      <c r="C258" s="10" t="n"/>
      <c r="D258" s="11" t="n"/>
      <c r="E258" s="12" t="n"/>
      <c r="F258" s="13" t="n"/>
      <c r="G258" s="14">
        <f>=SUMIF($C$17:$C$502,C258,$F$17:$F$502)</f>
        <v/>
      </c>
      <c r="H258" s="14">
        <f>=IFERROR($B$14/$B$10,"")</f>
        <v/>
      </c>
      <c r="I258" s="15">
        <f>=IFERROR(G258/H258,"")</f>
        <v/>
      </c>
      <c r="J258" s="16" t="n"/>
      <c r="K258" s="11" t="n"/>
      <c r="L258" s="17" t="n"/>
    </row>
    <row r="259" ht="18" customHeight="1">
      <c r="A259" s="10" t="n"/>
      <c r="B259" s="10" t="n"/>
      <c r="C259" s="10" t="n"/>
      <c r="D259" s="11" t="n"/>
      <c r="E259" s="12" t="n"/>
      <c r="F259" s="13" t="n"/>
      <c r="G259" s="14">
        <f>=SUMIF($C$17:$C$502,C259,$F$17:$F$502)</f>
        <v/>
      </c>
      <c r="H259" s="14">
        <f>=IFERROR($B$14/$B$10,"")</f>
        <v/>
      </c>
      <c r="I259" s="15">
        <f>=IFERROR(G259/H259,"")</f>
        <v/>
      </c>
      <c r="J259" s="16" t="n"/>
      <c r="K259" s="11" t="n"/>
      <c r="L259" s="17" t="n"/>
    </row>
    <row r="260" ht="18" customHeight="1">
      <c r="A260" s="10" t="n"/>
      <c r="B260" s="10" t="n"/>
      <c r="C260" s="10" t="n"/>
      <c r="D260" s="11" t="n"/>
      <c r="E260" s="12" t="n"/>
      <c r="F260" s="13" t="n"/>
      <c r="G260" s="14">
        <f>=SUMIF($C$17:$C$502,C260,$F$17:$F$502)</f>
        <v/>
      </c>
      <c r="H260" s="14">
        <f>=IFERROR($B$14/$B$10,"")</f>
        <v/>
      </c>
      <c r="I260" s="15">
        <f>=IFERROR(G260/H260,"")</f>
        <v/>
      </c>
      <c r="J260" s="16" t="n"/>
      <c r="K260" s="11" t="n"/>
      <c r="L260" s="17" t="n"/>
    </row>
    <row r="261" ht="18" customHeight="1">
      <c r="A261" s="10" t="n"/>
      <c r="B261" s="10" t="n"/>
      <c r="C261" s="10" t="n"/>
      <c r="D261" s="11" t="n"/>
      <c r="E261" s="12" t="n"/>
      <c r="F261" s="13" t="n"/>
      <c r="G261" s="14">
        <f>=SUMIF($C$17:$C$502,C261,$F$17:$F$502)</f>
        <v/>
      </c>
      <c r="H261" s="14">
        <f>=IFERROR($B$14/$B$10,"")</f>
        <v/>
      </c>
      <c r="I261" s="15">
        <f>=IFERROR(G261/H261,"")</f>
        <v/>
      </c>
      <c r="J261" s="16" t="n"/>
      <c r="K261" s="11" t="n"/>
      <c r="L261" s="17" t="n"/>
    </row>
    <row r="262" ht="18" customHeight="1">
      <c r="A262" s="10" t="n"/>
      <c r="B262" s="10" t="n"/>
      <c r="C262" s="10" t="n"/>
      <c r="D262" s="11" t="n"/>
      <c r="E262" s="12" t="n"/>
      <c r="F262" s="13" t="n"/>
      <c r="G262" s="14">
        <f>=SUMIF($C$17:$C$502,C262,$F$17:$F$502)</f>
        <v/>
      </c>
      <c r="H262" s="14">
        <f>=IFERROR($B$14/$B$10,"")</f>
        <v/>
      </c>
      <c r="I262" s="15">
        <f>=IFERROR(G262/H262,"")</f>
        <v/>
      </c>
      <c r="J262" s="16" t="n"/>
      <c r="K262" s="11" t="n"/>
      <c r="L262" s="17" t="n"/>
    </row>
    <row r="263" ht="18" customHeight="1">
      <c r="A263" s="10" t="n"/>
      <c r="B263" s="10" t="n"/>
      <c r="C263" s="10" t="n"/>
      <c r="D263" s="11" t="n"/>
      <c r="E263" s="12" t="n"/>
      <c r="F263" s="13" t="n"/>
      <c r="G263" s="14">
        <f>=SUMIF($C$17:$C$502,C263,$F$17:$F$502)</f>
        <v/>
      </c>
      <c r="H263" s="14">
        <f>=IFERROR($B$14/$B$10,"")</f>
        <v/>
      </c>
      <c r="I263" s="15">
        <f>=IFERROR(G263/H263,"")</f>
        <v/>
      </c>
      <c r="J263" s="16" t="n"/>
      <c r="K263" s="11" t="n"/>
      <c r="L263" s="17" t="n"/>
    </row>
    <row r="264" ht="18" customHeight="1">
      <c r="A264" s="10" t="n"/>
      <c r="B264" s="10" t="n"/>
      <c r="C264" s="10" t="n"/>
      <c r="D264" s="11" t="n"/>
      <c r="E264" s="12" t="n"/>
      <c r="F264" s="13" t="n"/>
      <c r="G264" s="14">
        <f>=SUMIF($C$17:$C$502,C264,$F$17:$F$502)</f>
        <v/>
      </c>
      <c r="H264" s="14">
        <f>=IFERROR($B$14/$B$10,"")</f>
        <v/>
      </c>
      <c r="I264" s="15">
        <f>=IFERROR(G264/H264,"")</f>
        <v/>
      </c>
      <c r="J264" s="16" t="n"/>
      <c r="K264" s="11" t="n"/>
      <c r="L264" s="17" t="n"/>
    </row>
    <row r="265" ht="18" customHeight="1">
      <c r="A265" s="10" t="n"/>
      <c r="B265" s="10" t="n"/>
      <c r="C265" s="10" t="n"/>
      <c r="D265" s="11" t="n"/>
      <c r="E265" s="12" t="n"/>
      <c r="F265" s="13" t="n"/>
      <c r="G265" s="14">
        <f>=SUMIF($C$17:$C$502,C265,$F$17:$F$502)</f>
        <v/>
      </c>
      <c r="H265" s="14">
        <f>=IFERROR($B$14/$B$10,"")</f>
        <v/>
      </c>
      <c r="I265" s="15">
        <f>=IFERROR(G265/H265,"")</f>
        <v/>
      </c>
      <c r="J265" s="16" t="n"/>
      <c r="K265" s="11" t="n"/>
      <c r="L265" s="17" t="n"/>
    </row>
    <row r="266" ht="18" customHeight="1">
      <c r="A266" s="10" t="n"/>
      <c r="B266" s="10" t="n"/>
      <c r="C266" s="10" t="n"/>
      <c r="D266" s="11" t="n"/>
      <c r="E266" s="12" t="n"/>
      <c r="F266" s="13" t="n"/>
      <c r="G266" s="14">
        <f>=SUMIF($C$17:$C$502,C266,$F$17:$F$502)</f>
        <v/>
      </c>
      <c r="H266" s="14">
        <f>=IFERROR($B$14/$B$10,"")</f>
        <v/>
      </c>
      <c r="I266" s="15">
        <f>=IFERROR(G266/H266,"")</f>
        <v/>
      </c>
      <c r="J266" s="16" t="n"/>
      <c r="K266" s="11" t="n"/>
      <c r="L266" s="17" t="n"/>
    </row>
    <row r="267" ht="18" customHeight="1">
      <c r="A267" s="10" t="n"/>
      <c r="B267" s="10" t="n"/>
      <c r="C267" s="10" t="n"/>
      <c r="D267" s="11" t="n"/>
      <c r="E267" s="12" t="n"/>
      <c r="F267" s="13" t="n"/>
      <c r="G267" s="14">
        <f>=SUMIF($C$17:$C$502,C267,$F$17:$F$502)</f>
        <v/>
      </c>
      <c r="H267" s="14">
        <f>=IFERROR($B$14/$B$10,"")</f>
        <v/>
      </c>
      <c r="I267" s="15">
        <f>=IFERROR(G267/H267,"")</f>
        <v/>
      </c>
      <c r="J267" s="16" t="n"/>
      <c r="K267" s="11" t="n"/>
      <c r="L267" s="17" t="n"/>
    </row>
    <row r="268" ht="18" customHeight="1">
      <c r="A268" s="10" t="n"/>
      <c r="B268" s="10" t="n"/>
      <c r="C268" s="10" t="n"/>
      <c r="D268" s="11" t="n"/>
      <c r="E268" s="12" t="n"/>
      <c r="F268" s="13" t="n"/>
      <c r="G268" s="14">
        <f>=SUMIF($C$17:$C$502,C268,$F$17:$F$502)</f>
        <v/>
      </c>
      <c r="H268" s="14">
        <f>=IFERROR($B$14/$B$10,"")</f>
        <v/>
      </c>
      <c r="I268" s="15">
        <f>=IFERROR(G268/H268,"")</f>
        <v/>
      </c>
      <c r="J268" s="16" t="n"/>
      <c r="K268" s="11" t="n"/>
      <c r="L268" s="17" t="n"/>
    </row>
    <row r="269" ht="18" customHeight="1">
      <c r="A269" s="10" t="n"/>
      <c r="B269" s="10" t="n"/>
      <c r="C269" s="10" t="n"/>
      <c r="D269" s="11" t="n"/>
      <c r="E269" s="12" t="n"/>
      <c r="F269" s="13" t="n"/>
      <c r="G269" s="14">
        <f>=SUMIF($C$17:$C$502,C269,$F$17:$F$502)</f>
        <v/>
      </c>
      <c r="H269" s="14">
        <f>=IFERROR($B$14/$B$10,"")</f>
        <v/>
      </c>
      <c r="I269" s="15">
        <f>=IFERROR(G269/H269,"")</f>
        <v/>
      </c>
      <c r="J269" s="16" t="n"/>
      <c r="K269" s="11" t="n"/>
      <c r="L269" s="17" t="n"/>
    </row>
    <row r="270" ht="18" customHeight="1">
      <c r="A270" s="10" t="n"/>
      <c r="B270" s="10" t="n"/>
      <c r="C270" s="10" t="n"/>
      <c r="D270" s="11" t="n"/>
      <c r="E270" s="12" t="n"/>
      <c r="F270" s="13" t="n"/>
      <c r="G270" s="14">
        <f>=SUMIF($C$17:$C$502,C270,$F$17:$F$502)</f>
        <v/>
      </c>
      <c r="H270" s="14">
        <f>=IFERROR($B$14/$B$10,"")</f>
        <v/>
      </c>
      <c r="I270" s="15">
        <f>=IFERROR(G270/H270,"")</f>
        <v/>
      </c>
      <c r="J270" s="16" t="n"/>
      <c r="K270" s="11" t="n"/>
      <c r="L270" s="17" t="n"/>
    </row>
    <row r="271" ht="18" customHeight="1">
      <c r="A271" s="10" t="n"/>
      <c r="B271" s="10" t="n"/>
      <c r="C271" s="10" t="n"/>
      <c r="D271" s="11" t="n"/>
      <c r="E271" s="12" t="n"/>
      <c r="F271" s="13" t="n"/>
      <c r="G271" s="14">
        <f>=SUMIF($C$17:$C$502,C271,$F$17:$F$502)</f>
        <v/>
      </c>
      <c r="H271" s="14">
        <f>=IFERROR($B$14/$B$10,"")</f>
        <v/>
      </c>
      <c r="I271" s="15">
        <f>=IFERROR(G271/H271,"")</f>
        <v/>
      </c>
      <c r="J271" s="16" t="n"/>
      <c r="K271" s="11" t="n"/>
      <c r="L271" s="17" t="n"/>
    </row>
    <row r="272" ht="18" customHeight="1">
      <c r="A272" s="10" t="n"/>
      <c r="B272" s="10" t="n"/>
      <c r="C272" s="10" t="n"/>
      <c r="D272" s="11" t="n"/>
      <c r="E272" s="12" t="n"/>
      <c r="F272" s="13" t="n"/>
      <c r="G272" s="14">
        <f>=SUMIF($C$17:$C$502,C272,$F$17:$F$502)</f>
        <v/>
      </c>
      <c r="H272" s="14">
        <f>=IFERROR($B$14/$B$10,"")</f>
        <v/>
      </c>
      <c r="I272" s="15">
        <f>=IFERROR(G272/H272,"")</f>
        <v/>
      </c>
      <c r="J272" s="16" t="n"/>
      <c r="K272" s="11" t="n"/>
      <c r="L272" s="17" t="n"/>
    </row>
    <row r="273" ht="18" customHeight="1">
      <c r="A273" s="10" t="n"/>
      <c r="B273" s="10" t="n"/>
      <c r="C273" s="10" t="n"/>
      <c r="D273" s="11" t="n"/>
      <c r="E273" s="12" t="n"/>
      <c r="F273" s="13" t="n"/>
      <c r="G273" s="14">
        <f>=SUMIF($C$17:$C$502,C273,$F$17:$F$502)</f>
        <v/>
      </c>
      <c r="H273" s="14">
        <f>=IFERROR($B$14/$B$10,"")</f>
        <v/>
      </c>
      <c r="I273" s="15">
        <f>=IFERROR(G273/H273,"")</f>
        <v/>
      </c>
      <c r="J273" s="16" t="n"/>
      <c r="K273" s="11" t="n"/>
      <c r="L273" s="17" t="n"/>
    </row>
    <row r="274" ht="18" customHeight="1">
      <c r="A274" s="10" t="n"/>
      <c r="B274" s="10" t="n"/>
      <c r="C274" s="10" t="n"/>
      <c r="D274" s="11" t="n"/>
      <c r="E274" s="12" t="n"/>
      <c r="F274" s="13" t="n"/>
      <c r="G274" s="14">
        <f>=SUMIF($C$17:$C$502,C274,$F$17:$F$502)</f>
        <v/>
      </c>
      <c r="H274" s="14">
        <f>=IFERROR($B$14/$B$10,"")</f>
        <v/>
      </c>
      <c r="I274" s="15">
        <f>=IFERROR(G274/H274,"")</f>
        <v/>
      </c>
      <c r="J274" s="16" t="n"/>
      <c r="K274" s="11" t="n"/>
      <c r="L274" s="17" t="n"/>
    </row>
    <row r="275" ht="18" customHeight="1">
      <c r="A275" s="10" t="n"/>
      <c r="B275" s="10" t="n"/>
      <c r="C275" s="10" t="n"/>
      <c r="D275" s="11" t="n"/>
      <c r="E275" s="12" t="n"/>
      <c r="F275" s="13" t="n"/>
      <c r="G275" s="14">
        <f>=SUMIF($C$17:$C$502,C275,$F$17:$F$502)</f>
        <v/>
      </c>
      <c r="H275" s="14">
        <f>=IFERROR($B$14/$B$10,"")</f>
        <v/>
      </c>
      <c r="I275" s="15">
        <f>=IFERROR(G275/H275,"")</f>
        <v/>
      </c>
      <c r="J275" s="16" t="n"/>
      <c r="K275" s="11" t="n"/>
      <c r="L275" s="17" t="n"/>
    </row>
    <row r="276" ht="18" customHeight="1">
      <c r="A276" s="10" t="n"/>
      <c r="B276" s="10" t="n"/>
      <c r="C276" s="10" t="n"/>
      <c r="D276" s="11" t="n"/>
      <c r="E276" s="12" t="n"/>
      <c r="F276" s="13" t="n"/>
      <c r="G276" s="14">
        <f>=SUMIF($C$17:$C$502,C276,$F$17:$F$502)</f>
        <v/>
      </c>
      <c r="H276" s="14">
        <f>=IFERROR($B$14/$B$10,"")</f>
        <v/>
      </c>
      <c r="I276" s="15">
        <f>=IFERROR(G276/H276,"")</f>
        <v/>
      </c>
      <c r="J276" s="16" t="n"/>
      <c r="K276" s="11" t="n"/>
      <c r="L276" s="17" t="n"/>
    </row>
    <row r="277" ht="18" customHeight="1">
      <c r="A277" s="10" t="n"/>
      <c r="B277" s="10" t="n"/>
      <c r="C277" s="10" t="n"/>
      <c r="D277" s="11" t="n"/>
      <c r="E277" s="12" t="n"/>
      <c r="F277" s="13" t="n"/>
      <c r="G277" s="14">
        <f>=SUMIF($C$17:$C$502,C277,$F$17:$F$502)</f>
        <v/>
      </c>
      <c r="H277" s="14">
        <f>=IFERROR($B$14/$B$10,"")</f>
        <v/>
      </c>
      <c r="I277" s="15">
        <f>=IFERROR(G277/H277,"")</f>
        <v/>
      </c>
      <c r="J277" s="16" t="n"/>
      <c r="K277" s="11" t="n"/>
      <c r="L277" s="17" t="n"/>
    </row>
    <row r="278" ht="18" customHeight="1">
      <c r="A278" s="10" t="n"/>
      <c r="B278" s="10" t="n"/>
      <c r="C278" s="10" t="n"/>
      <c r="D278" s="11" t="n"/>
      <c r="E278" s="12" t="n"/>
      <c r="F278" s="13" t="n"/>
      <c r="G278" s="14">
        <f>=SUMIF($C$17:$C$502,C278,$F$17:$F$502)</f>
        <v/>
      </c>
      <c r="H278" s="14">
        <f>=IFERROR($B$14/$B$10,"")</f>
        <v/>
      </c>
      <c r="I278" s="15">
        <f>=IFERROR(G278/H278,"")</f>
        <v/>
      </c>
      <c r="J278" s="16" t="n"/>
      <c r="K278" s="11" t="n"/>
      <c r="L278" s="17" t="n"/>
    </row>
    <row r="279" ht="18" customHeight="1">
      <c r="A279" s="10" t="n"/>
      <c r="B279" s="10" t="n"/>
      <c r="C279" s="10" t="n"/>
      <c r="D279" s="11" t="n"/>
      <c r="E279" s="12" t="n"/>
      <c r="F279" s="13" t="n"/>
      <c r="G279" s="14">
        <f>=SUMIF($C$17:$C$502,C279,$F$17:$F$502)</f>
        <v/>
      </c>
      <c r="H279" s="14">
        <f>=IFERROR($B$14/$B$10,"")</f>
        <v/>
      </c>
      <c r="I279" s="15">
        <f>=IFERROR(G279/H279,"")</f>
        <v/>
      </c>
      <c r="J279" s="16" t="n"/>
      <c r="K279" s="11" t="n"/>
      <c r="L279" s="17" t="n"/>
    </row>
    <row r="280" ht="18" customHeight="1">
      <c r="A280" s="10" t="n"/>
      <c r="B280" s="10" t="n"/>
      <c r="C280" s="10" t="n"/>
      <c r="D280" s="11" t="n"/>
      <c r="E280" s="12" t="n"/>
      <c r="F280" s="13" t="n"/>
      <c r="G280" s="14">
        <f>=SUMIF($C$17:$C$502,C280,$F$17:$F$502)</f>
        <v/>
      </c>
      <c r="H280" s="14">
        <f>=IFERROR($B$14/$B$10,"")</f>
        <v/>
      </c>
      <c r="I280" s="15">
        <f>=IFERROR(G280/H280,"")</f>
        <v/>
      </c>
      <c r="J280" s="16" t="n"/>
      <c r="K280" s="11" t="n"/>
      <c r="L280" s="17" t="n"/>
    </row>
    <row r="281" ht="18" customHeight="1">
      <c r="A281" s="10" t="n"/>
      <c r="B281" s="10" t="n"/>
      <c r="C281" s="10" t="n"/>
      <c r="D281" s="11" t="n"/>
      <c r="E281" s="12" t="n"/>
      <c r="F281" s="13" t="n"/>
      <c r="G281" s="14">
        <f>=SUMIF($C$17:$C$502,C281,$F$17:$F$502)</f>
        <v/>
      </c>
      <c r="H281" s="14">
        <f>=IFERROR($B$14/$B$10,"")</f>
        <v/>
      </c>
      <c r="I281" s="15">
        <f>=IFERROR(G281/H281,"")</f>
        <v/>
      </c>
      <c r="J281" s="16" t="n"/>
      <c r="K281" s="11" t="n"/>
      <c r="L281" s="17" t="n"/>
    </row>
    <row r="282" ht="18" customHeight="1">
      <c r="A282" s="10" t="n"/>
      <c r="B282" s="10" t="n"/>
      <c r="C282" s="10" t="n"/>
      <c r="D282" s="11" t="n"/>
      <c r="E282" s="12" t="n"/>
      <c r="F282" s="13" t="n"/>
      <c r="G282" s="14">
        <f>=SUMIF($C$17:$C$502,C282,$F$17:$F$502)</f>
        <v/>
      </c>
      <c r="H282" s="14">
        <f>=IFERROR($B$14/$B$10,"")</f>
        <v/>
      </c>
      <c r="I282" s="15">
        <f>=IFERROR(G282/H282,"")</f>
        <v/>
      </c>
      <c r="J282" s="16" t="n"/>
      <c r="K282" s="11" t="n"/>
      <c r="L282" s="17" t="n"/>
    </row>
    <row r="283" ht="18" customHeight="1">
      <c r="A283" s="10" t="n"/>
      <c r="B283" s="10" t="n"/>
      <c r="C283" s="10" t="n"/>
      <c r="D283" s="11" t="n"/>
      <c r="E283" s="12" t="n"/>
      <c r="F283" s="13" t="n"/>
      <c r="G283" s="14">
        <f>=SUMIF($C$17:$C$502,C283,$F$17:$F$502)</f>
        <v/>
      </c>
      <c r="H283" s="14">
        <f>=IFERROR($B$14/$B$10,"")</f>
        <v/>
      </c>
      <c r="I283" s="15">
        <f>=IFERROR(G283/H283,"")</f>
        <v/>
      </c>
      <c r="J283" s="16" t="n"/>
      <c r="K283" s="11" t="n"/>
      <c r="L283" s="17" t="n"/>
    </row>
    <row r="284" ht="18" customHeight="1">
      <c r="A284" s="10" t="n"/>
      <c r="B284" s="10" t="n"/>
      <c r="C284" s="10" t="n"/>
      <c r="D284" s="11" t="n"/>
      <c r="E284" s="12" t="n"/>
      <c r="F284" s="13" t="n"/>
      <c r="G284" s="14">
        <f>=SUMIF($C$17:$C$502,C284,$F$17:$F$502)</f>
        <v/>
      </c>
      <c r="H284" s="14">
        <f>=IFERROR($B$14/$B$10,"")</f>
        <v/>
      </c>
      <c r="I284" s="15">
        <f>=IFERROR(G284/H284,"")</f>
        <v/>
      </c>
      <c r="J284" s="16" t="n"/>
      <c r="K284" s="11" t="n"/>
      <c r="L284" s="17" t="n"/>
    </row>
    <row r="285" ht="18" customHeight="1">
      <c r="A285" s="10" t="n"/>
      <c r="B285" s="10" t="n"/>
      <c r="C285" s="10" t="n"/>
      <c r="D285" s="11" t="n"/>
      <c r="E285" s="12" t="n"/>
      <c r="F285" s="13" t="n"/>
      <c r="G285" s="14">
        <f>=SUMIF($C$17:$C$502,C285,$F$17:$F$502)</f>
        <v/>
      </c>
      <c r="H285" s="14">
        <f>=IFERROR($B$14/$B$10,"")</f>
        <v/>
      </c>
      <c r="I285" s="15">
        <f>=IFERROR(G285/H285,"")</f>
        <v/>
      </c>
      <c r="J285" s="16" t="n"/>
      <c r="K285" s="11" t="n"/>
      <c r="L285" s="17" t="n"/>
    </row>
    <row r="286" ht="18" customHeight="1">
      <c r="A286" s="10" t="n"/>
      <c r="B286" s="10" t="n"/>
      <c r="C286" s="10" t="n"/>
      <c r="D286" s="11" t="n"/>
      <c r="E286" s="12" t="n"/>
      <c r="F286" s="13" t="n"/>
      <c r="G286" s="14">
        <f>=SUMIF($C$17:$C$502,C286,$F$17:$F$502)</f>
        <v/>
      </c>
      <c r="H286" s="14">
        <f>=IFERROR($B$14/$B$10,"")</f>
        <v/>
      </c>
      <c r="I286" s="15">
        <f>=IFERROR(G286/H286,"")</f>
        <v/>
      </c>
      <c r="J286" s="16" t="n"/>
      <c r="K286" s="11" t="n"/>
      <c r="L286" s="17" t="n"/>
    </row>
    <row r="287" ht="18" customHeight="1">
      <c r="A287" s="10" t="n"/>
      <c r="B287" s="10" t="n"/>
      <c r="C287" s="10" t="n"/>
      <c r="D287" s="11" t="n"/>
      <c r="E287" s="12" t="n"/>
      <c r="F287" s="13" t="n"/>
      <c r="G287" s="14">
        <f>=SUMIF($C$17:$C$502,C287,$F$17:$F$502)</f>
        <v/>
      </c>
      <c r="H287" s="14">
        <f>=IFERROR($B$14/$B$10,"")</f>
        <v/>
      </c>
      <c r="I287" s="15">
        <f>=IFERROR(G287/H287,"")</f>
        <v/>
      </c>
      <c r="J287" s="16" t="n"/>
      <c r="K287" s="11" t="n"/>
      <c r="L287" s="17" t="n"/>
    </row>
    <row r="288" ht="18" customHeight="1">
      <c r="A288" s="10" t="n"/>
      <c r="B288" s="10" t="n"/>
      <c r="C288" s="10" t="n"/>
      <c r="D288" s="11" t="n"/>
      <c r="E288" s="12" t="n"/>
      <c r="F288" s="13" t="n"/>
      <c r="G288" s="14">
        <f>=SUMIF($C$17:$C$502,C288,$F$17:$F$502)</f>
        <v/>
      </c>
      <c r="H288" s="14">
        <f>=IFERROR($B$14/$B$10,"")</f>
        <v/>
      </c>
      <c r="I288" s="15">
        <f>=IFERROR(G288/H288,"")</f>
        <v/>
      </c>
      <c r="J288" s="16" t="n"/>
      <c r="K288" s="11" t="n"/>
      <c r="L288" s="17" t="n"/>
    </row>
    <row r="289" ht="18" customHeight="1">
      <c r="A289" s="10" t="n"/>
      <c r="B289" s="10" t="n"/>
      <c r="C289" s="10" t="n"/>
      <c r="D289" s="11" t="n"/>
      <c r="E289" s="12" t="n"/>
      <c r="F289" s="13" t="n"/>
      <c r="G289" s="14">
        <f>=SUMIF($C$17:$C$502,C289,$F$17:$F$502)</f>
        <v/>
      </c>
      <c r="H289" s="14">
        <f>=IFERROR($B$14/$B$10,"")</f>
        <v/>
      </c>
      <c r="I289" s="15">
        <f>=IFERROR(G289/H289,"")</f>
        <v/>
      </c>
      <c r="J289" s="16" t="n"/>
      <c r="K289" s="11" t="n"/>
      <c r="L289" s="17" t="n"/>
    </row>
    <row r="290" ht="18" customHeight="1">
      <c r="A290" s="10" t="n"/>
      <c r="B290" s="10" t="n"/>
      <c r="C290" s="10" t="n"/>
      <c r="D290" s="11" t="n"/>
      <c r="E290" s="12" t="n"/>
      <c r="F290" s="13" t="n"/>
      <c r="G290" s="14">
        <f>=SUMIF($C$17:$C$502,C290,$F$17:$F$502)</f>
        <v/>
      </c>
      <c r="H290" s="14">
        <f>=IFERROR($B$14/$B$10,"")</f>
        <v/>
      </c>
      <c r="I290" s="15">
        <f>=IFERROR(G290/H290,"")</f>
        <v/>
      </c>
      <c r="J290" s="16" t="n"/>
      <c r="K290" s="11" t="n"/>
      <c r="L290" s="17" t="n"/>
    </row>
    <row r="291" ht="18" customHeight="1">
      <c r="A291" s="10" t="n"/>
      <c r="B291" s="10" t="n"/>
      <c r="C291" s="10" t="n"/>
      <c r="D291" s="11" t="n"/>
      <c r="E291" s="12" t="n"/>
      <c r="F291" s="13" t="n"/>
      <c r="G291" s="14">
        <f>=SUMIF($C$17:$C$502,C291,$F$17:$F$502)</f>
        <v/>
      </c>
      <c r="H291" s="14">
        <f>=IFERROR($B$14/$B$10,"")</f>
        <v/>
      </c>
      <c r="I291" s="15">
        <f>=IFERROR(G291/H291,"")</f>
        <v/>
      </c>
      <c r="J291" s="16" t="n"/>
      <c r="K291" s="11" t="n"/>
      <c r="L291" s="17" t="n"/>
    </row>
    <row r="292" ht="18" customHeight="1">
      <c r="A292" s="10" t="n"/>
      <c r="B292" s="10" t="n"/>
      <c r="C292" s="10" t="n"/>
      <c r="D292" s="11" t="n"/>
      <c r="E292" s="12" t="n"/>
      <c r="F292" s="13" t="n"/>
      <c r="G292" s="14">
        <f>=SUMIF($C$17:$C$502,C292,$F$17:$F$502)</f>
        <v/>
      </c>
      <c r="H292" s="14">
        <f>=IFERROR($B$14/$B$10,"")</f>
        <v/>
      </c>
      <c r="I292" s="15">
        <f>=IFERROR(G292/H292,"")</f>
        <v/>
      </c>
      <c r="J292" s="16" t="n"/>
      <c r="K292" s="11" t="n"/>
      <c r="L292" s="17" t="n"/>
    </row>
    <row r="293" ht="18" customHeight="1">
      <c r="A293" s="10" t="n"/>
      <c r="B293" s="10" t="n"/>
      <c r="C293" s="10" t="n"/>
      <c r="D293" s="11" t="n"/>
      <c r="E293" s="12" t="n"/>
      <c r="F293" s="13" t="n"/>
      <c r="G293" s="14">
        <f>=SUMIF($C$17:$C$502,C293,$F$17:$F$502)</f>
        <v/>
      </c>
      <c r="H293" s="14">
        <f>=IFERROR($B$14/$B$10,"")</f>
        <v/>
      </c>
      <c r="I293" s="15">
        <f>=IFERROR(G293/H293,"")</f>
        <v/>
      </c>
      <c r="J293" s="16" t="n"/>
      <c r="K293" s="11" t="n"/>
      <c r="L293" s="17" t="n"/>
    </row>
    <row r="294" ht="18" customHeight="1">
      <c r="A294" s="10" t="n"/>
      <c r="B294" s="10" t="n"/>
      <c r="C294" s="10" t="n"/>
      <c r="D294" s="11" t="n"/>
      <c r="E294" s="12" t="n"/>
      <c r="F294" s="13" t="n"/>
      <c r="G294" s="14">
        <f>=SUMIF($C$17:$C$502,C294,$F$17:$F$502)</f>
        <v/>
      </c>
      <c r="H294" s="14">
        <f>=IFERROR($B$14/$B$10,"")</f>
        <v/>
      </c>
      <c r="I294" s="15">
        <f>=IFERROR(G294/H294,"")</f>
        <v/>
      </c>
      <c r="J294" s="16" t="n"/>
      <c r="K294" s="11" t="n"/>
      <c r="L294" s="17" t="n"/>
    </row>
    <row r="295" ht="18" customHeight="1">
      <c r="A295" s="10" t="n"/>
      <c r="B295" s="10" t="n"/>
      <c r="C295" s="10" t="n"/>
      <c r="D295" s="11" t="n"/>
      <c r="E295" s="12" t="n"/>
      <c r="F295" s="13" t="n"/>
      <c r="G295" s="14">
        <f>=SUMIF($C$17:$C$502,C295,$F$17:$F$502)</f>
        <v/>
      </c>
      <c r="H295" s="14">
        <f>=IFERROR($B$14/$B$10,"")</f>
        <v/>
      </c>
      <c r="I295" s="15">
        <f>=IFERROR(G295/H295,"")</f>
        <v/>
      </c>
      <c r="J295" s="16" t="n"/>
      <c r="K295" s="11" t="n"/>
      <c r="L295" s="17" t="n"/>
    </row>
    <row r="296" ht="18" customHeight="1">
      <c r="A296" s="10" t="n"/>
      <c r="B296" s="10" t="n"/>
      <c r="C296" s="10" t="n"/>
      <c r="D296" s="11" t="n"/>
      <c r="E296" s="12" t="n"/>
      <c r="F296" s="13" t="n"/>
      <c r="G296" s="14">
        <f>=SUMIF($C$17:$C$502,C296,$F$17:$F$502)</f>
        <v/>
      </c>
      <c r="H296" s="14">
        <f>=IFERROR($B$14/$B$10,"")</f>
        <v/>
      </c>
      <c r="I296" s="15">
        <f>=IFERROR(G296/H296,"")</f>
        <v/>
      </c>
      <c r="J296" s="16" t="n"/>
      <c r="K296" s="11" t="n"/>
      <c r="L296" s="17" t="n"/>
    </row>
    <row r="297" ht="18" customHeight="1">
      <c r="A297" s="10" t="n"/>
      <c r="B297" s="10" t="n"/>
      <c r="C297" s="10" t="n"/>
      <c r="D297" s="11" t="n"/>
      <c r="E297" s="12" t="n"/>
      <c r="F297" s="13" t="n"/>
      <c r="G297" s="14">
        <f>=SUMIF($C$17:$C$502,C297,$F$17:$F$502)</f>
        <v/>
      </c>
      <c r="H297" s="14">
        <f>=IFERROR($B$14/$B$10,"")</f>
        <v/>
      </c>
      <c r="I297" s="15">
        <f>=IFERROR(G297/H297,"")</f>
        <v/>
      </c>
      <c r="J297" s="16" t="n"/>
      <c r="K297" s="11" t="n"/>
      <c r="L297" s="17" t="n"/>
    </row>
    <row r="298" ht="18" customHeight="1">
      <c r="A298" s="10" t="n"/>
      <c r="B298" s="10" t="n"/>
      <c r="C298" s="10" t="n"/>
      <c r="D298" s="11" t="n"/>
      <c r="E298" s="12" t="n"/>
      <c r="F298" s="13" t="n"/>
      <c r="G298" s="14">
        <f>=SUMIF($C$17:$C$502,C298,$F$17:$F$502)</f>
        <v/>
      </c>
      <c r="H298" s="14">
        <f>=IFERROR($B$14/$B$10,"")</f>
        <v/>
      </c>
      <c r="I298" s="15">
        <f>=IFERROR(G298/H298,"")</f>
        <v/>
      </c>
      <c r="J298" s="16" t="n"/>
      <c r="K298" s="11" t="n"/>
      <c r="L298" s="17" t="n"/>
    </row>
    <row r="299" ht="18" customHeight="1">
      <c r="A299" s="10" t="n"/>
      <c r="B299" s="10" t="n"/>
      <c r="C299" s="10" t="n"/>
      <c r="D299" s="11" t="n"/>
      <c r="E299" s="12" t="n"/>
      <c r="F299" s="13" t="n"/>
      <c r="G299" s="14">
        <f>=SUMIF($C$17:$C$502,C299,$F$17:$F$502)</f>
        <v/>
      </c>
      <c r="H299" s="14">
        <f>=IFERROR($B$14/$B$10,"")</f>
        <v/>
      </c>
      <c r="I299" s="15">
        <f>=IFERROR(G299/H299,"")</f>
        <v/>
      </c>
      <c r="J299" s="16" t="n"/>
      <c r="K299" s="11" t="n"/>
      <c r="L299" s="17" t="n"/>
    </row>
    <row r="300" ht="18" customHeight="1">
      <c r="A300" s="10" t="n"/>
      <c r="B300" s="10" t="n"/>
      <c r="C300" s="10" t="n"/>
      <c r="D300" s="11" t="n"/>
      <c r="E300" s="12" t="n"/>
      <c r="F300" s="13" t="n"/>
      <c r="G300" s="14">
        <f>=SUMIF($C$17:$C$502,C300,$F$17:$F$502)</f>
        <v/>
      </c>
      <c r="H300" s="14">
        <f>=IFERROR($B$14/$B$10,"")</f>
        <v/>
      </c>
      <c r="I300" s="15">
        <f>=IFERROR(G300/H300,"")</f>
        <v/>
      </c>
      <c r="J300" s="16" t="n"/>
      <c r="K300" s="11" t="n"/>
      <c r="L300" s="17" t="n"/>
    </row>
    <row r="301" ht="18" customHeight="1">
      <c r="A301" s="10" t="n"/>
      <c r="B301" s="10" t="n"/>
      <c r="C301" s="10" t="n"/>
      <c r="D301" s="11" t="n"/>
      <c r="E301" s="12" t="n"/>
      <c r="F301" s="13" t="n"/>
      <c r="G301" s="14">
        <f>=SUMIF($C$17:$C$502,C301,$F$17:$F$502)</f>
        <v/>
      </c>
      <c r="H301" s="14">
        <f>=IFERROR($B$14/$B$10,"")</f>
        <v/>
      </c>
      <c r="I301" s="15">
        <f>=IFERROR(G301/H301,"")</f>
        <v/>
      </c>
      <c r="J301" s="16" t="n"/>
      <c r="K301" s="11" t="n"/>
      <c r="L301" s="17" t="n"/>
    </row>
    <row r="302" ht="18" customHeight="1">
      <c r="A302" s="10" t="n"/>
      <c r="B302" s="10" t="n"/>
      <c r="C302" s="10" t="n"/>
      <c r="D302" s="11" t="n"/>
      <c r="E302" s="12" t="n"/>
      <c r="F302" s="13" t="n"/>
      <c r="G302" s="14">
        <f>=SUMIF($C$17:$C$502,C302,$F$17:$F$502)</f>
        <v/>
      </c>
      <c r="H302" s="14">
        <f>=IFERROR($B$14/$B$10,"")</f>
        <v/>
      </c>
      <c r="I302" s="15">
        <f>=IFERROR(G302/H302,"")</f>
        <v/>
      </c>
      <c r="J302" s="16" t="n"/>
      <c r="K302" s="11" t="n"/>
      <c r="L302" s="17" t="n"/>
    </row>
    <row r="303" ht="18" customHeight="1">
      <c r="A303" s="10" t="n"/>
      <c r="B303" s="10" t="n"/>
      <c r="C303" s="10" t="n"/>
      <c r="D303" s="11" t="n"/>
      <c r="E303" s="12" t="n"/>
      <c r="F303" s="13" t="n"/>
      <c r="G303" s="14">
        <f>=SUMIF($C$17:$C$502,C303,$F$17:$F$502)</f>
        <v/>
      </c>
      <c r="H303" s="14">
        <f>=IFERROR($B$14/$B$10,"")</f>
        <v/>
      </c>
      <c r="I303" s="15">
        <f>=IFERROR(G303/H303,"")</f>
        <v/>
      </c>
      <c r="J303" s="16" t="n"/>
      <c r="K303" s="11" t="n"/>
      <c r="L303" s="17" t="n"/>
    </row>
    <row r="304" ht="18" customHeight="1">
      <c r="A304" s="10" t="n"/>
      <c r="B304" s="10" t="n"/>
      <c r="C304" s="10" t="n"/>
      <c r="D304" s="11" t="n"/>
      <c r="E304" s="12" t="n"/>
      <c r="F304" s="13" t="n"/>
      <c r="G304" s="14">
        <f>=SUMIF($C$17:$C$502,C304,$F$17:$F$502)</f>
        <v/>
      </c>
      <c r="H304" s="14">
        <f>=IFERROR($B$14/$B$10,"")</f>
        <v/>
      </c>
      <c r="I304" s="15">
        <f>=IFERROR(G304/H304,"")</f>
        <v/>
      </c>
      <c r="J304" s="16" t="n"/>
      <c r="K304" s="11" t="n"/>
      <c r="L304" s="17" t="n"/>
    </row>
    <row r="305" ht="18" customHeight="1">
      <c r="A305" s="10" t="n"/>
      <c r="B305" s="10" t="n"/>
      <c r="C305" s="10" t="n"/>
      <c r="D305" s="11" t="n"/>
      <c r="E305" s="12" t="n"/>
      <c r="F305" s="13" t="n"/>
      <c r="G305" s="14">
        <f>=SUMIF($C$17:$C$502,C305,$F$17:$F$502)</f>
        <v/>
      </c>
      <c r="H305" s="14">
        <f>=IFERROR($B$14/$B$10,"")</f>
        <v/>
      </c>
      <c r="I305" s="15">
        <f>=IFERROR(G305/H305,"")</f>
        <v/>
      </c>
      <c r="J305" s="16" t="n"/>
      <c r="K305" s="11" t="n"/>
      <c r="L305" s="17" t="n"/>
    </row>
    <row r="306" ht="18" customHeight="1">
      <c r="A306" s="10" t="n"/>
      <c r="B306" s="10" t="n"/>
      <c r="C306" s="10" t="n"/>
      <c r="D306" s="11" t="n"/>
      <c r="E306" s="12" t="n"/>
      <c r="F306" s="13" t="n"/>
      <c r="G306" s="14">
        <f>=SUMIF($C$17:$C$502,C306,$F$17:$F$502)</f>
        <v/>
      </c>
      <c r="H306" s="14">
        <f>=IFERROR($B$14/$B$10,"")</f>
        <v/>
      </c>
      <c r="I306" s="15">
        <f>=IFERROR(G306/H306,"")</f>
        <v/>
      </c>
      <c r="J306" s="16" t="n"/>
      <c r="K306" s="11" t="n"/>
      <c r="L306" s="17" t="n"/>
    </row>
    <row r="307" ht="18" customHeight="1">
      <c r="A307" s="10" t="n"/>
      <c r="B307" s="10" t="n"/>
      <c r="C307" s="10" t="n"/>
      <c r="D307" s="11" t="n"/>
      <c r="E307" s="12" t="n"/>
      <c r="F307" s="13" t="n"/>
      <c r="G307" s="14">
        <f>=SUMIF($C$17:$C$502,C307,$F$17:$F$502)</f>
        <v/>
      </c>
      <c r="H307" s="14">
        <f>=IFERROR($B$14/$B$10,"")</f>
        <v/>
      </c>
      <c r="I307" s="15">
        <f>=IFERROR(G307/H307,"")</f>
        <v/>
      </c>
      <c r="J307" s="16" t="n"/>
      <c r="K307" s="11" t="n"/>
      <c r="L307" s="17" t="n"/>
    </row>
    <row r="308" ht="18" customHeight="1">
      <c r="A308" s="10" t="n"/>
      <c r="B308" s="10" t="n"/>
      <c r="C308" s="10" t="n"/>
      <c r="D308" s="11" t="n"/>
      <c r="E308" s="12" t="n"/>
      <c r="F308" s="13" t="n"/>
      <c r="G308" s="14">
        <f>=SUMIF($C$17:$C$502,C308,$F$17:$F$502)</f>
        <v/>
      </c>
      <c r="H308" s="14">
        <f>=IFERROR($B$14/$B$10,"")</f>
        <v/>
      </c>
      <c r="I308" s="15">
        <f>=IFERROR(G308/H308,"")</f>
        <v/>
      </c>
      <c r="J308" s="16" t="n"/>
      <c r="K308" s="11" t="n"/>
      <c r="L308" s="17" t="n"/>
    </row>
    <row r="309" ht="18" customHeight="1">
      <c r="A309" s="10" t="n"/>
      <c r="B309" s="10" t="n"/>
      <c r="C309" s="10" t="n"/>
      <c r="D309" s="11" t="n"/>
      <c r="E309" s="12" t="n"/>
      <c r="F309" s="13" t="n"/>
      <c r="G309" s="14">
        <f>=SUMIF($C$17:$C$502,C309,$F$17:$F$502)</f>
        <v/>
      </c>
      <c r="H309" s="14">
        <f>=IFERROR($B$14/$B$10,"")</f>
        <v/>
      </c>
      <c r="I309" s="15">
        <f>=IFERROR(G309/H309,"")</f>
        <v/>
      </c>
      <c r="J309" s="16" t="n"/>
      <c r="K309" s="11" t="n"/>
      <c r="L309" s="17" t="n"/>
    </row>
    <row r="310" ht="18" customHeight="1">
      <c r="A310" s="10" t="n"/>
      <c r="B310" s="10" t="n"/>
      <c r="C310" s="10" t="n"/>
      <c r="D310" s="11" t="n"/>
      <c r="E310" s="12" t="n"/>
      <c r="F310" s="13" t="n"/>
      <c r="G310" s="14">
        <f>=SUMIF($C$17:$C$502,C310,$F$17:$F$502)</f>
        <v/>
      </c>
      <c r="H310" s="14">
        <f>=IFERROR($B$14/$B$10,"")</f>
        <v/>
      </c>
      <c r="I310" s="15">
        <f>=IFERROR(G310/H310,"")</f>
        <v/>
      </c>
      <c r="J310" s="16" t="n"/>
      <c r="K310" s="11" t="n"/>
      <c r="L310" s="17" t="n"/>
    </row>
    <row r="311" ht="18" customHeight="1">
      <c r="A311" s="10" t="n"/>
      <c r="B311" s="10" t="n"/>
      <c r="C311" s="10" t="n"/>
      <c r="D311" s="11" t="n"/>
      <c r="E311" s="12" t="n"/>
      <c r="F311" s="13" t="n"/>
      <c r="G311" s="14">
        <f>=SUMIF($C$17:$C$502,C311,$F$17:$F$502)</f>
        <v/>
      </c>
      <c r="H311" s="14">
        <f>=IFERROR($B$14/$B$10,"")</f>
        <v/>
      </c>
      <c r="I311" s="15">
        <f>=IFERROR(G311/H311,"")</f>
        <v/>
      </c>
      <c r="J311" s="16" t="n"/>
      <c r="K311" s="11" t="n"/>
      <c r="L311" s="17" t="n"/>
    </row>
    <row r="312" ht="18" customHeight="1">
      <c r="A312" s="10" t="n"/>
      <c r="B312" s="10" t="n"/>
      <c r="C312" s="10" t="n"/>
      <c r="D312" s="11" t="n"/>
      <c r="E312" s="12" t="n"/>
      <c r="F312" s="13" t="n"/>
      <c r="G312" s="14">
        <f>=SUMIF($C$17:$C$502,C312,$F$17:$F$502)</f>
        <v/>
      </c>
      <c r="H312" s="14">
        <f>=IFERROR($B$14/$B$10,"")</f>
        <v/>
      </c>
      <c r="I312" s="15">
        <f>=IFERROR(G312/H312,"")</f>
        <v/>
      </c>
      <c r="J312" s="16" t="n"/>
      <c r="K312" s="11" t="n"/>
      <c r="L312" s="17" t="n"/>
    </row>
    <row r="313" ht="18" customHeight="1">
      <c r="A313" s="10" t="n"/>
      <c r="B313" s="10" t="n"/>
      <c r="C313" s="10" t="n"/>
      <c r="D313" s="11" t="n"/>
      <c r="E313" s="12" t="n"/>
      <c r="F313" s="13" t="n"/>
      <c r="G313" s="14">
        <f>=SUMIF($C$17:$C$502,C313,$F$17:$F$502)</f>
        <v/>
      </c>
      <c r="H313" s="14">
        <f>=IFERROR($B$14/$B$10,"")</f>
        <v/>
      </c>
      <c r="I313" s="15">
        <f>=IFERROR(G313/H313,"")</f>
        <v/>
      </c>
      <c r="J313" s="16" t="n"/>
      <c r="K313" s="11" t="n"/>
      <c r="L313" s="17" t="n"/>
    </row>
    <row r="314" ht="18" customHeight="1">
      <c r="A314" s="10" t="n"/>
      <c r="B314" s="10" t="n"/>
      <c r="C314" s="10" t="n"/>
      <c r="D314" s="11" t="n"/>
      <c r="E314" s="12" t="n"/>
      <c r="F314" s="13" t="n"/>
      <c r="G314" s="14">
        <f>=SUMIF($C$17:$C$502,C314,$F$17:$F$502)</f>
        <v/>
      </c>
      <c r="H314" s="14">
        <f>=IFERROR($B$14/$B$10,"")</f>
        <v/>
      </c>
      <c r="I314" s="15">
        <f>=IFERROR(G314/H314,"")</f>
        <v/>
      </c>
      <c r="J314" s="16" t="n"/>
      <c r="K314" s="11" t="n"/>
      <c r="L314" s="17" t="n"/>
    </row>
    <row r="315" ht="18" customHeight="1">
      <c r="A315" s="10" t="n"/>
      <c r="B315" s="10" t="n"/>
      <c r="C315" s="10" t="n"/>
      <c r="D315" s="11" t="n"/>
      <c r="E315" s="12" t="n"/>
      <c r="F315" s="13" t="n"/>
      <c r="G315" s="14">
        <f>=SUMIF($C$17:$C$502,C315,$F$17:$F$502)</f>
        <v/>
      </c>
      <c r="H315" s="14">
        <f>=IFERROR($B$14/$B$10,"")</f>
        <v/>
      </c>
      <c r="I315" s="15">
        <f>=IFERROR(G315/H315,"")</f>
        <v/>
      </c>
      <c r="J315" s="16" t="n"/>
      <c r="K315" s="11" t="n"/>
      <c r="L315" s="17" t="n"/>
    </row>
    <row r="316" ht="18" customHeight="1">
      <c r="A316" s="10" t="n"/>
      <c r="B316" s="10" t="n"/>
      <c r="C316" s="10" t="n"/>
      <c r="D316" s="11" t="n"/>
      <c r="E316" s="12" t="n"/>
      <c r="F316" s="13" t="n"/>
      <c r="G316" s="14">
        <f>=SUMIF($C$17:$C$502,C316,$F$17:$F$502)</f>
        <v/>
      </c>
      <c r="H316" s="14">
        <f>=IFERROR($B$14/$B$10,"")</f>
        <v/>
      </c>
      <c r="I316" s="15">
        <f>=IFERROR(G316/H316,"")</f>
        <v/>
      </c>
      <c r="J316" s="16" t="n"/>
      <c r="K316" s="11" t="n"/>
      <c r="L316" s="17" t="n"/>
    </row>
    <row r="317" ht="18" customHeight="1">
      <c r="A317" s="10" t="n"/>
      <c r="B317" s="10" t="n"/>
      <c r="C317" s="10" t="n"/>
      <c r="D317" s="11" t="n"/>
      <c r="E317" s="12" t="n"/>
      <c r="F317" s="13" t="n"/>
      <c r="G317" s="14">
        <f>=SUMIF($C$17:$C$502,C317,$F$17:$F$502)</f>
        <v/>
      </c>
      <c r="H317" s="14">
        <f>=IFERROR($B$14/$B$10,"")</f>
        <v/>
      </c>
      <c r="I317" s="15">
        <f>=IFERROR(G317/H317,"")</f>
        <v/>
      </c>
      <c r="J317" s="16" t="n"/>
      <c r="K317" s="11" t="n"/>
      <c r="L317" s="17" t="n"/>
    </row>
    <row r="318" ht="18" customHeight="1">
      <c r="A318" s="10" t="n"/>
      <c r="B318" s="10" t="n"/>
      <c r="C318" s="10" t="n"/>
      <c r="D318" s="11" t="n"/>
      <c r="E318" s="12" t="n"/>
      <c r="F318" s="13" t="n"/>
      <c r="G318" s="14">
        <f>=SUMIF($C$17:$C$502,C318,$F$17:$F$502)</f>
        <v/>
      </c>
      <c r="H318" s="14">
        <f>=IFERROR($B$14/$B$10,"")</f>
        <v/>
      </c>
      <c r="I318" s="15">
        <f>=IFERROR(G318/H318,"")</f>
        <v/>
      </c>
      <c r="J318" s="16" t="n"/>
      <c r="K318" s="11" t="n"/>
      <c r="L318" s="17" t="n"/>
    </row>
    <row r="319" ht="18" customHeight="1">
      <c r="A319" s="10" t="n"/>
      <c r="B319" s="10" t="n"/>
      <c r="C319" s="10" t="n"/>
      <c r="D319" s="11" t="n"/>
      <c r="E319" s="12" t="n"/>
      <c r="F319" s="13" t="n"/>
      <c r="G319" s="14">
        <f>=SUMIF($C$17:$C$502,C319,$F$17:$F$502)</f>
        <v/>
      </c>
      <c r="H319" s="14">
        <f>=IFERROR($B$14/$B$10,"")</f>
        <v/>
      </c>
      <c r="I319" s="15">
        <f>=IFERROR(G319/H319,"")</f>
        <v/>
      </c>
      <c r="J319" s="16" t="n"/>
      <c r="K319" s="11" t="n"/>
      <c r="L319" s="17" t="n"/>
    </row>
    <row r="320" ht="18" customHeight="1">
      <c r="A320" s="10" t="n"/>
      <c r="B320" s="10" t="n"/>
      <c r="C320" s="10" t="n"/>
      <c r="D320" s="11" t="n"/>
      <c r="E320" s="12" t="n"/>
      <c r="F320" s="13" t="n"/>
      <c r="G320" s="14">
        <f>=SUMIF($C$17:$C$502,C320,$F$17:$F$502)</f>
        <v/>
      </c>
      <c r="H320" s="14">
        <f>=IFERROR($B$14/$B$10,"")</f>
        <v/>
      </c>
      <c r="I320" s="15">
        <f>=IFERROR(G320/H320,"")</f>
        <v/>
      </c>
      <c r="J320" s="16" t="n"/>
      <c r="K320" s="11" t="n"/>
      <c r="L320" s="17" t="n"/>
    </row>
    <row r="321" ht="18" customHeight="1">
      <c r="A321" s="10" t="n"/>
      <c r="B321" s="10" t="n"/>
      <c r="C321" s="10" t="n"/>
      <c r="D321" s="11" t="n"/>
      <c r="E321" s="12" t="n"/>
      <c r="F321" s="13" t="n"/>
      <c r="G321" s="14">
        <f>=SUMIF($C$17:$C$502,C321,$F$17:$F$502)</f>
        <v/>
      </c>
      <c r="H321" s="14">
        <f>=IFERROR($B$14/$B$10,"")</f>
        <v/>
      </c>
      <c r="I321" s="15">
        <f>=IFERROR(G321/H321,"")</f>
        <v/>
      </c>
      <c r="J321" s="16" t="n"/>
      <c r="K321" s="11" t="n"/>
      <c r="L321" s="17" t="n"/>
    </row>
    <row r="322" ht="18" customHeight="1">
      <c r="A322" s="10" t="n"/>
      <c r="B322" s="10" t="n"/>
      <c r="C322" s="10" t="n"/>
      <c r="D322" s="11" t="n"/>
      <c r="E322" s="12" t="n"/>
      <c r="F322" s="13" t="n"/>
      <c r="G322" s="14">
        <f>=SUMIF($C$17:$C$502,C322,$F$17:$F$502)</f>
        <v/>
      </c>
      <c r="H322" s="14">
        <f>=IFERROR($B$14/$B$10,"")</f>
        <v/>
      </c>
      <c r="I322" s="15">
        <f>=IFERROR(G322/H322,"")</f>
        <v/>
      </c>
      <c r="J322" s="16" t="n"/>
      <c r="K322" s="11" t="n"/>
      <c r="L322" s="17" t="n"/>
    </row>
    <row r="323" ht="18" customHeight="1">
      <c r="A323" s="10" t="n"/>
      <c r="B323" s="10" t="n"/>
      <c r="C323" s="10" t="n"/>
      <c r="D323" s="11" t="n"/>
      <c r="E323" s="12" t="n"/>
      <c r="F323" s="13" t="n"/>
      <c r="G323" s="14">
        <f>=SUMIF($C$17:$C$502,C323,$F$17:$F$502)</f>
        <v/>
      </c>
      <c r="H323" s="14">
        <f>=IFERROR($B$14/$B$10,"")</f>
        <v/>
      </c>
      <c r="I323" s="15">
        <f>=IFERROR(G323/H323,"")</f>
        <v/>
      </c>
      <c r="J323" s="16" t="n"/>
      <c r="K323" s="11" t="n"/>
      <c r="L323" s="17" t="n"/>
    </row>
    <row r="324" ht="18" customHeight="1">
      <c r="A324" s="10" t="n"/>
      <c r="B324" s="10" t="n"/>
      <c r="C324" s="10" t="n"/>
      <c r="D324" s="11" t="n"/>
      <c r="E324" s="12" t="n"/>
      <c r="F324" s="13" t="n"/>
      <c r="G324" s="14">
        <f>=SUMIF($C$17:$C$502,C324,$F$17:$F$502)</f>
        <v/>
      </c>
      <c r="H324" s="14">
        <f>=IFERROR($B$14/$B$10,"")</f>
        <v/>
      </c>
      <c r="I324" s="15">
        <f>=IFERROR(G324/H324,"")</f>
        <v/>
      </c>
      <c r="J324" s="16" t="n"/>
      <c r="K324" s="11" t="n"/>
      <c r="L324" s="17" t="n"/>
    </row>
    <row r="325" ht="18" customHeight="1">
      <c r="A325" s="10" t="n"/>
      <c r="B325" s="10" t="n"/>
      <c r="C325" s="10" t="n"/>
      <c r="D325" s="11" t="n"/>
      <c r="E325" s="12" t="n"/>
      <c r="F325" s="13" t="n"/>
      <c r="G325" s="14">
        <f>=SUMIF($C$17:$C$502,C325,$F$17:$F$502)</f>
        <v/>
      </c>
      <c r="H325" s="14">
        <f>=IFERROR($B$14/$B$10,"")</f>
        <v/>
      </c>
      <c r="I325" s="15">
        <f>=IFERROR(G325/H325,"")</f>
        <v/>
      </c>
      <c r="J325" s="16" t="n"/>
      <c r="K325" s="11" t="n"/>
      <c r="L325" s="17" t="n"/>
    </row>
    <row r="326" ht="18" customHeight="1">
      <c r="A326" s="10" t="n"/>
      <c r="B326" s="10" t="n"/>
      <c r="C326" s="10" t="n"/>
      <c r="D326" s="11" t="n"/>
      <c r="E326" s="12" t="n"/>
      <c r="F326" s="13" t="n"/>
      <c r="G326" s="14">
        <f>=SUMIF($C$17:$C$502,C326,$F$17:$F$502)</f>
        <v/>
      </c>
      <c r="H326" s="14">
        <f>=IFERROR($B$14/$B$10,"")</f>
        <v/>
      </c>
      <c r="I326" s="15">
        <f>=IFERROR(G326/H326,"")</f>
        <v/>
      </c>
      <c r="J326" s="16" t="n"/>
      <c r="K326" s="11" t="n"/>
      <c r="L326" s="17" t="n"/>
    </row>
    <row r="327" ht="18" customHeight="1">
      <c r="A327" s="10" t="n"/>
      <c r="B327" s="10" t="n"/>
      <c r="C327" s="10" t="n"/>
      <c r="D327" s="11" t="n"/>
      <c r="E327" s="12" t="n"/>
      <c r="F327" s="13" t="n"/>
      <c r="G327" s="14">
        <f>=SUMIF($C$17:$C$502,C327,$F$17:$F$502)</f>
        <v/>
      </c>
      <c r="H327" s="14">
        <f>=IFERROR($B$14/$B$10,"")</f>
        <v/>
      </c>
      <c r="I327" s="15">
        <f>=IFERROR(G327/H327,"")</f>
        <v/>
      </c>
      <c r="J327" s="16" t="n"/>
      <c r="K327" s="11" t="n"/>
      <c r="L327" s="17" t="n"/>
    </row>
    <row r="328" ht="18" customHeight="1">
      <c r="A328" s="10" t="n"/>
      <c r="B328" s="10" t="n"/>
      <c r="C328" s="10" t="n"/>
      <c r="D328" s="11" t="n"/>
      <c r="E328" s="12" t="n"/>
      <c r="F328" s="13" t="n"/>
      <c r="G328" s="14">
        <f>=SUMIF($C$17:$C$502,C328,$F$17:$F$502)</f>
        <v/>
      </c>
      <c r="H328" s="14">
        <f>=IFERROR($B$14/$B$10,"")</f>
        <v/>
      </c>
      <c r="I328" s="15">
        <f>=IFERROR(G328/H328,"")</f>
        <v/>
      </c>
      <c r="J328" s="16" t="n"/>
      <c r="K328" s="11" t="n"/>
      <c r="L328" s="17" t="n"/>
    </row>
    <row r="329" ht="18" customHeight="1">
      <c r="A329" s="10" t="n"/>
      <c r="B329" s="10" t="n"/>
      <c r="C329" s="10" t="n"/>
      <c r="D329" s="11" t="n"/>
      <c r="E329" s="12" t="n"/>
      <c r="F329" s="13" t="n"/>
      <c r="G329" s="14">
        <f>=SUMIF($C$17:$C$502,C329,$F$17:$F$502)</f>
        <v/>
      </c>
      <c r="H329" s="14">
        <f>=IFERROR($B$14/$B$10,"")</f>
        <v/>
      </c>
      <c r="I329" s="15">
        <f>=IFERROR(G329/H329,"")</f>
        <v/>
      </c>
      <c r="J329" s="16" t="n"/>
      <c r="K329" s="11" t="n"/>
      <c r="L329" s="17" t="n"/>
    </row>
    <row r="330" ht="18" customHeight="1">
      <c r="A330" s="10" t="n"/>
      <c r="B330" s="10" t="n"/>
      <c r="C330" s="10" t="n"/>
      <c r="D330" s="11" t="n"/>
      <c r="E330" s="12" t="n"/>
      <c r="F330" s="13" t="n"/>
      <c r="G330" s="14">
        <f>=SUMIF($C$17:$C$502,C330,$F$17:$F$502)</f>
        <v/>
      </c>
      <c r="H330" s="14">
        <f>=IFERROR($B$14/$B$10,"")</f>
        <v/>
      </c>
      <c r="I330" s="15">
        <f>=IFERROR(G330/H330,"")</f>
        <v/>
      </c>
      <c r="J330" s="16" t="n"/>
      <c r="K330" s="11" t="n"/>
      <c r="L330" s="17" t="n"/>
    </row>
    <row r="331" ht="18" customHeight="1">
      <c r="A331" s="10" t="n"/>
      <c r="B331" s="10" t="n"/>
      <c r="C331" s="10" t="n"/>
      <c r="D331" s="11" t="n"/>
      <c r="E331" s="12" t="n"/>
      <c r="F331" s="13" t="n"/>
      <c r="G331" s="14">
        <f>=SUMIF($C$17:$C$502,C331,$F$17:$F$502)</f>
        <v/>
      </c>
      <c r="H331" s="14">
        <f>=IFERROR($B$14/$B$10,"")</f>
        <v/>
      </c>
      <c r="I331" s="15">
        <f>=IFERROR(G331/H331,"")</f>
        <v/>
      </c>
      <c r="J331" s="16" t="n"/>
      <c r="K331" s="11" t="n"/>
      <c r="L331" s="17" t="n"/>
    </row>
    <row r="332" ht="18" customHeight="1">
      <c r="A332" s="10" t="n"/>
      <c r="B332" s="10" t="n"/>
      <c r="C332" s="10" t="n"/>
      <c r="D332" s="11" t="n"/>
      <c r="E332" s="12" t="n"/>
      <c r="F332" s="13" t="n"/>
      <c r="G332" s="14">
        <f>=SUMIF($C$17:$C$502,C332,$F$17:$F$502)</f>
        <v/>
      </c>
      <c r="H332" s="14">
        <f>=IFERROR($B$14/$B$10,"")</f>
        <v/>
      </c>
      <c r="I332" s="15">
        <f>=IFERROR(G332/H332,"")</f>
        <v/>
      </c>
      <c r="J332" s="16" t="n"/>
      <c r="K332" s="11" t="n"/>
      <c r="L332" s="17" t="n"/>
    </row>
    <row r="333" ht="18" customHeight="1">
      <c r="A333" s="10" t="n"/>
      <c r="B333" s="10" t="n"/>
      <c r="C333" s="10" t="n"/>
      <c r="D333" s="11" t="n"/>
      <c r="E333" s="12" t="n"/>
      <c r="F333" s="13" t="n"/>
      <c r="G333" s="14">
        <f>=SUMIF($C$17:$C$502,C333,$F$17:$F$502)</f>
        <v/>
      </c>
      <c r="H333" s="14">
        <f>=IFERROR($B$14/$B$10,"")</f>
        <v/>
      </c>
      <c r="I333" s="15">
        <f>=IFERROR(G333/H333,"")</f>
        <v/>
      </c>
      <c r="J333" s="16" t="n"/>
      <c r="K333" s="11" t="n"/>
      <c r="L333" s="17" t="n"/>
    </row>
    <row r="334" ht="18" customHeight="1">
      <c r="A334" s="10" t="n"/>
      <c r="B334" s="10" t="n"/>
      <c r="C334" s="10" t="n"/>
      <c r="D334" s="11" t="n"/>
      <c r="E334" s="12" t="n"/>
      <c r="F334" s="13" t="n"/>
      <c r="G334" s="14">
        <f>=SUMIF($C$17:$C$502,C334,$F$17:$F$502)</f>
        <v/>
      </c>
      <c r="H334" s="14">
        <f>=IFERROR($B$14/$B$10,"")</f>
        <v/>
      </c>
      <c r="I334" s="15">
        <f>=IFERROR(G334/H334,"")</f>
        <v/>
      </c>
      <c r="J334" s="16" t="n"/>
      <c r="K334" s="11" t="n"/>
      <c r="L334" s="17" t="n"/>
    </row>
    <row r="335" ht="18" customHeight="1">
      <c r="A335" s="10" t="n"/>
      <c r="B335" s="10" t="n"/>
      <c r="C335" s="10" t="n"/>
      <c r="D335" s="11" t="n"/>
      <c r="E335" s="12" t="n"/>
      <c r="F335" s="13" t="n"/>
      <c r="G335" s="14">
        <f>=SUMIF($C$17:$C$502,C335,$F$17:$F$502)</f>
        <v/>
      </c>
      <c r="H335" s="14">
        <f>=IFERROR($B$14/$B$10,"")</f>
        <v/>
      </c>
      <c r="I335" s="15">
        <f>=IFERROR(G335/H335,"")</f>
        <v/>
      </c>
      <c r="J335" s="16" t="n"/>
      <c r="K335" s="11" t="n"/>
      <c r="L335" s="17" t="n"/>
    </row>
    <row r="336" ht="18" customHeight="1">
      <c r="A336" s="10" t="n"/>
      <c r="B336" s="10" t="n"/>
      <c r="C336" s="10" t="n"/>
      <c r="D336" s="11" t="n"/>
      <c r="E336" s="12" t="n"/>
      <c r="F336" s="13" t="n"/>
      <c r="G336" s="14">
        <f>=SUMIF($C$17:$C$502,C336,$F$17:$F$502)</f>
        <v/>
      </c>
      <c r="H336" s="14">
        <f>=IFERROR($B$14/$B$10,"")</f>
        <v/>
      </c>
      <c r="I336" s="15">
        <f>=IFERROR(G336/H336,"")</f>
        <v/>
      </c>
      <c r="J336" s="16" t="n"/>
      <c r="K336" s="11" t="n"/>
      <c r="L336" s="17" t="n"/>
    </row>
    <row r="337" ht="18" customHeight="1">
      <c r="A337" s="10" t="n"/>
      <c r="B337" s="10" t="n"/>
      <c r="C337" s="10" t="n"/>
      <c r="D337" s="11" t="n"/>
      <c r="E337" s="12" t="n"/>
      <c r="F337" s="13" t="n"/>
      <c r="G337" s="14">
        <f>=SUMIF($C$17:$C$502,C337,$F$17:$F$502)</f>
        <v/>
      </c>
      <c r="H337" s="14">
        <f>=IFERROR($B$14/$B$10,"")</f>
        <v/>
      </c>
      <c r="I337" s="15">
        <f>=IFERROR(G337/H337,"")</f>
        <v/>
      </c>
      <c r="J337" s="16" t="n"/>
      <c r="K337" s="11" t="n"/>
      <c r="L337" s="17" t="n"/>
    </row>
    <row r="338" ht="18" customHeight="1">
      <c r="A338" s="10" t="n"/>
      <c r="B338" s="10" t="n"/>
      <c r="C338" s="10" t="n"/>
      <c r="D338" s="11" t="n"/>
      <c r="E338" s="12" t="n"/>
      <c r="F338" s="13" t="n"/>
      <c r="G338" s="14">
        <f>=SUMIF($C$17:$C$502,C338,$F$17:$F$502)</f>
        <v/>
      </c>
      <c r="H338" s="14">
        <f>=IFERROR($B$14/$B$10,"")</f>
        <v/>
      </c>
      <c r="I338" s="15">
        <f>=IFERROR(G338/H338,"")</f>
        <v/>
      </c>
      <c r="J338" s="16" t="n"/>
      <c r="K338" s="11" t="n"/>
      <c r="L338" s="17" t="n"/>
    </row>
    <row r="339" ht="18" customHeight="1">
      <c r="A339" s="10" t="n"/>
      <c r="B339" s="10" t="n"/>
      <c r="C339" s="10" t="n"/>
      <c r="D339" s="11" t="n"/>
      <c r="E339" s="12" t="n"/>
      <c r="F339" s="13" t="n"/>
      <c r="G339" s="14">
        <f>=SUMIF($C$17:$C$502,C339,$F$17:$F$502)</f>
        <v/>
      </c>
      <c r="H339" s="14">
        <f>=IFERROR($B$14/$B$10,"")</f>
        <v/>
      </c>
      <c r="I339" s="15">
        <f>=IFERROR(G339/H339,"")</f>
        <v/>
      </c>
      <c r="J339" s="16" t="n"/>
      <c r="K339" s="11" t="n"/>
      <c r="L339" s="17" t="n"/>
    </row>
    <row r="340" ht="18" customHeight="1">
      <c r="A340" s="10" t="n"/>
      <c r="B340" s="10" t="n"/>
      <c r="C340" s="10" t="n"/>
      <c r="D340" s="11" t="n"/>
      <c r="E340" s="12" t="n"/>
      <c r="F340" s="13" t="n"/>
      <c r="G340" s="14">
        <f>=SUMIF($C$17:$C$502,C340,$F$17:$F$502)</f>
        <v/>
      </c>
      <c r="H340" s="14">
        <f>=IFERROR($B$14/$B$10,"")</f>
        <v/>
      </c>
      <c r="I340" s="15">
        <f>=IFERROR(G340/H340,"")</f>
        <v/>
      </c>
      <c r="J340" s="16" t="n"/>
      <c r="K340" s="11" t="n"/>
      <c r="L340" s="17" t="n"/>
    </row>
    <row r="341" ht="18" customHeight="1">
      <c r="A341" s="10" t="n"/>
      <c r="B341" s="10" t="n"/>
      <c r="C341" s="10" t="n"/>
      <c r="D341" s="11" t="n"/>
      <c r="E341" s="12" t="n"/>
      <c r="F341" s="13" t="n"/>
      <c r="G341" s="14">
        <f>=SUMIF($C$17:$C$502,C341,$F$17:$F$502)</f>
        <v/>
      </c>
      <c r="H341" s="14">
        <f>=IFERROR($B$14/$B$10,"")</f>
        <v/>
      </c>
      <c r="I341" s="15">
        <f>=IFERROR(G341/H341,"")</f>
        <v/>
      </c>
      <c r="J341" s="16" t="n"/>
      <c r="K341" s="11" t="n"/>
      <c r="L341" s="17" t="n"/>
    </row>
    <row r="342" ht="18" customHeight="1">
      <c r="A342" s="10" t="n"/>
      <c r="B342" s="10" t="n"/>
      <c r="C342" s="10" t="n"/>
      <c r="D342" s="11" t="n"/>
      <c r="E342" s="12" t="n"/>
      <c r="F342" s="13" t="n"/>
      <c r="G342" s="14">
        <f>=SUMIF($C$17:$C$502,C342,$F$17:$F$502)</f>
        <v/>
      </c>
      <c r="H342" s="14">
        <f>=IFERROR($B$14/$B$10,"")</f>
        <v/>
      </c>
      <c r="I342" s="15">
        <f>=IFERROR(G342/H342,"")</f>
        <v/>
      </c>
      <c r="J342" s="16" t="n"/>
      <c r="K342" s="11" t="n"/>
      <c r="L342" s="17" t="n"/>
    </row>
    <row r="343" ht="18" customHeight="1">
      <c r="A343" s="10" t="n"/>
      <c r="B343" s="10" t="n"/>
      <c r="C343" s="10" t="n"/>
      <c r="D343" s="11" t="n"/>
      <c r="E343" s="12" t="n"/>
      <c r="F343" s="13" t="n"/>
      <c r="G343" s="14">
        <f>=SUMIF($C$17:$C$502,C343,$F$17:$F$502)</f>
        <v/>
      </c>
      <c r="H343" s="14">
        <f>=IFERROR($B$14/$B$10,"")</f>
        <v/>
      </c>
      <c r="I343" s="15">
        <f>=IFERROR(G343/H343,"")</f>
        <v/>
      </c>
      <c r="J343" s="16" t="n"/>
      <c r="K343" s="11" t="n"/>
      <c r="L343" s="17" t="n"/>
    </row>
    <row r="344" ht="18" customHeight="1">
      <c r="A344" s="10" t="n"/>
      <c r="B344" s="10" t="n"/>
      <c r="C344" s="10" t="n"/>
      <c r="D344" s="11" t="n"/>
      <c r="E344" s="12" t="n"/>
      <c r="F344" s="13" t="n"/>
      <c r="G344" s="14">
        <f>=SUMIF($C$17:$C$502,C344,$F$17:$F$502)</f>
        <v/>
      </c>
      <c r="H344" s="14">
        <f>=IFERROR($B$14/$B$10,"")</f>
        <v/>
      </c>
      <c r="I344" s="15">
        <f>=IFERROR(G344/H344,"")</f>
        <v/>
      </c>
      <c r="J344" s="16" t="n"/>
      <c r="K344" s="11" t="n"/>
      <c r="L344" s="17" t="n"/>
    </row>
    <row r="345" ht="18" customHeight="1">
      <c r="A345" s="10" t="n"/>
      <c r="B345" s="10" t="n"/>
      <c r="C345" s="10" t="n"/>
      <c r="D345" s="11" t="n"/>
      <c r="E345" s="12" t="n"/>
      <c r="F345" s="13" t="n"/>
      <c r="G345" s="14">
        <f>=SUMIF($C$17:$C$502,C345,$F$17:$F$502)</f>
        <v/>
      </c>
      <c r="H345" s="14">
        <f>=IFERROR($B$14/$B$10,"")</f>
        <v/>
      </c>
      <c r="I345" s="15">
        <f>=IFERROR(G345/H345,"")</f>
        <v/>
      </c>
      <c r="J345" s="16" t="n"/>
      <c r="K345" s="11" t="n"/>
      <c r="L345" s="17" t="n"/>
    </row>
    <row r="346" ht="18" customHeight="1">
      <c r="A346" s="10" t="n"/>
      <c r="B346" s="10" t="n"/>
      <c r="C346" s="10" t="n"/>
      <c r="D346" s="11" t="n"/>
      <c r="E346" s="12" t="n"/>
      <c r="F346" s="13" t="n"/>
      <c r="G346" s="14">
        <f>=SUMIF($C$17:$C$502,C346,$F$17:$F$502)</f>
        <v/>
      </c>
      <c r="H346" s="14">
        <f>=IFERROR($B$14/$B$10,"")</f>
        <v/>
      </c>
      <c r="I346" s="15">
        <f>=IFERROR(G346/H346,"")</f>
        <v/>
      </c>
      <c r="J346" s="16" t="n"/>
      <c r="K346" s="11" t="n"/>
      <c r="L346" s="17" t="n"/>
    </row>
    <row r="347" ht="18" customHeight="1">
      <c r="A347" s="10" t="n"/>
      <c r="B347" s="10" t="n"/>
      <c r="C347" s="10" t="n"/>
      <c r="D347" s="11" t="n"/>
      <c r="E347" s="12" t="n"/>
      <c r="F347" s="13" t="n"/>
      <c r="G347" s="14">
        <f>=SUMIF($C$17:$C$502,C347,$F$17:$F$502)</f>
        <v/>
      </c>
      <c r="H347" s="14">
        <f>=IFERROR($B$14/$B$10,"")</f>
        <v/>
      </c>
      <c r="I347" s="15">
        <f>=IFERROR(G347/H347,"")</f>
        <v/>
      </c>
      <c r="J347" s="16" t="n"/>
      <c r="K347" s="11" t="n"/>
      <c r="L347" s="17" t="n"/>
    </row>
    <row r="348" ht="18" customHeight="1">
      <c r="A348" s="10" t="n"/>
      <c r="B348" s="10" t="n"/>
      <c r="C348" s="10" t="n"/>
      <c r="D348" s="11" t="n"/>
      <c r="E348" s="12" t="n"/>
      <c r="F348" s="13" t="n"/>
      <c r="G348" s="14">
        <f>=SUMIF($C$17:$C$502,C348,$F$17:$F$502)</f>
        <v/>
      </c>
      <c r="H348" s="14">
        <f>=IFERROR($B$14/$B$10,"")</f>
        <v/>
      </c>
      <c r="I348" s="15">
        <f>=IFERROR(G348/H348,"")</f>
        <v/>
      </c>
      <c r="J348" s="16" t="n"/>
      <c r="K348" s="11" t="n"/>
      <c r="L348" s="17" t="n"/>
    </row>
    <row r="349" ht="18" customHeight="1">
      <c r="A349" s="10" t="n"/>
      <c r="B349" s="10" t="n"/>
      <c r="C349" s="10" t="n"/>
      <c r="D349" s="11" t="n"/>
      <c r="E349" s="12" t="n"/>
      <c r="F349" s="13" t="n"/>
      <c r="G349" s="14">
        <f>=SUMIF($C$17:$C$502,C349,$F$17:$F$502)</f>
        <v/>
      </c>
      <c r="H349" s="14">
        <f>=IFERROR($B$14/$B$10,"")</f>
        <v/>
      </c>
      <c r="I349" s="15">
        <f>=IFERROR(G349/H349,"")</f>
        <v/>
      </c>
      <c r="J349" s="16" t="n"/>
      <c r="K349" s="11" t="n"/>
      <c r="L349" s="17" t="n"/>
    </row>
    <row r="350" ht="18" customHeight="1">
      <c r="A350" s="10" t="n"/>
      <c r="B350" s="10" t="n"/>
      <c r="C350" s="10" t="n"/>
      <c r="D350" s="11" t="n"/>
      <c r="E350" s="12" t="n"/>
      <c r="F350" s="13" t="n"/>
      <c r="G350" s="14">
        <f>=SUMIF($C$17:$C$502,C350,$F$17:$F$502)</f>
        <v/>
      </c>
      <c r="H350" s="14">
        <f>=IFERROR($B$14/$B$10,"")</f>
        <v/>
      </c>
      <c r="I350" s="15">
        <f>=IFERROR(G350/H350,"")</f>
        <v/>
      </c>
      <c r="J350" s="16" t="n"/>
      <c r="K350" s="11" t="n"/>
      <c r="L350" s="17" t="n"/>
    </row>
    <row r="351" ht="18" customHeight="1">
      <c r="A351" s="10" t="n"/>
      <c r="B351" s="10" t="n"/>
      <c r="C351" s="10" t="n"/>
      <c r="D351" s="11" t="n"/>
      <c r="E351" s="12" t="n"/>
      <c r="F351" s="13" t="n"/>
      <c r="G351" s="14">
        <f>=SUMIF($C$17:$C$502,C351,$F$17:$F$502)</f>
        <v/>
      </c>
      <c r="H351" s="14">
        <f>=IFERROR($B$14/$B$10,"")</f>
        <v/>
      </c>
      <c r="I351" s="15">
        <f>=IFERROR(G351/H351,"")</f>
        <v/>
      </c>
      <c r="J351" s="16" t="n"/>
      <c r="K351" s="11" t="n"/>
      <c r="L351" s="17" t="n"/>
    </row>
    <row r="352" ht="18" customHeight="1">
      <c r="A352" s="10" t="n"/>
      <c r="B352" s="10" t="n"/>
      <c r="C352" s="10" t="n"/>
      <c r="D352" s="11" t="n"/>
      <c r="E352" s="12" t="n"/>
      <c r="F352" s="13" t="n"/>
      <c r="G352" s="14">
        <f>=SUMIF($C$17:$C$502,C352,$F$17:$F$502)</f>
        <v/>
      </c>
      <c r="H352" s="14">
        <f>=IFERROR($B$14/$B$10,"")</f>
        <v/>
      </c>
      <c r="I352" s="15">
        <f>=IFERROR(G352/H352,"")</f>
        <v/>
      </c>
      <c r="J352" s="16" t="n"/>
      <c r="K352" s="11" t="n"/>
      <c r="L352" s="17" t="n"/>
    </row>
    <row r="353" ht="18" customHeight="1">
      <c r="A353" s="10" t="n"/>
      <c r="B353" s="10" t="n"/>
      <c r="C353" s="10" t="n"/>
      <c r="D353" s="11" t="n"/>
      <c r="E353" s="12" t="n"/>
      <c r="F353" s="13" t="n"/>
      <c r="G353" s="14">
        <f>=SUMIF($C$17:$C$502,C353,$F$17:$F$502)</f>
        <v/>
      </c>
      <c r="H353" s="14">
        <f>=IFERROR($B$14/$B$10,"")</f>
        <v/>
      </c>
      <c r="I353" s="15">
        <f>=IFERROR(G353/H353,"")</f>
        <v/>
      </c>
      <c r="J353" s="16" t="n"/>
      <c r="K353" s="11" t="n"/>
      <c r="L353" s="17" t="n"/>
    </row>
    <row r="354" ht="18" customHeight="1">
      <c r="A354" s="10" t="n"/>
      <c r="B354" s="10" t="n"/>
      <c r="C354" s="10" t="n"/>
      <c r="D354" s="11" t="n"/>
      <c r="E354" s="12" t="n"/>
      <c r="F354" s="13" t="n"/>
      <c r="G354" s="14">
        <f>=SUMIF($C$17:$C$502,C354,$F$17:$F$502)</f>
        <v/>
      </c>
      <c r="H354" s="14">
        <f>=IFERROR($B$14/$B$10,"")</f>
        <v/>
      </c>
      <c r="I354" s="15">
        <f>=IFERROR(G354/H354,"")</f>
        <v/>
      </c>
      <c r="J354" s="16" t="n"/>
      <c r="K354" s="11" t="n"/>
      <c r="L354" s="17" t="n"/>
    </row>
    <row r="355" ht="18" customHeight="1">
      <c r="A355" s="10" t="n"/>
      <c r="B355" s="10" t="n"/>
      <c r="C355" s="10" t="n"/>
      <c r="D355" s="11" t="n"/>
      <c r="E355" s="12" t="n"/>
      <c r="F355" s="13" t="n"/>
      <c r="G355" s="14">
        <f>=SUMIF($C$17:$C$502,C355,$F$17:$F$502)</f>
        <v/>
      </c>
      <c r="H355" s="14">
        <f>=IFERROR($B$14/$B$10,"")</f>
        <v/>
      </c>
      <c r="I355" s="15">
        <f>=IFERROR(G355/H355,"")</f>
        <v/>
      </c>
      <c r="J355" s="16" t="n"/>
      <c r="K355" s="11" t="n"/>
      <c r="L355" s="17" t="n"/>
    </row>
    <row r="356" ht="18" customHeight="1">
      <c r="A356" s="10" t="n"/>
      <c r="B356" s="10" t="n"/>
      <c r="C356" s="10" t="n"/>
      <c r="D356" s="11" t="n"/>
      <c r="E356" s="12" t="n"/>
      <c r="F356" s="13" t="n"/>
      <c r="G356" s="14">
        <f>=SUMIF($C$17:$C$502,C356,$F$17:$F$502)</f>
        <v/>
      </c>
      <c r="H356" s="14">
        <f>=IFERROR($B$14/$B$10,"")</f>
        <v/>
      </c>
      <c r="I356" s="15">
        <f>=IFERROR(G356/H356,"")</f>
        <v/>
      </c>
      <c r="J356" s="16" t="n"/>
      <c r="K356" s="11" t="n"/>
      <c r="L356" s="17" t="n"/>
    </row>
    <row r="357" ht="18" customHeight="1">
      <c r="A357" s="10" t="n"/>
      <c r="B357" s="10" t="n"/>
      <c r="C357" s="10" t="n"/>
      <c r="D357" s="11" t="n"/>
      <c r="E357" s="12" t="n"/>
      <c r="F357" s="13" t="n"/>
      <c r="G357" s="14">
        <f>=SUMIF($C$17:$C$502,C357,$F$17:$F$502)</f>
        <v/>
      </c>
      <c r="H357" s="14">
        <f>=IFERROR($B$14/$B$10,"")</f>
        <v/>
      </c>
      <c r="I357" s="15">
        <f>=IFERROR(G357/H357,"")</f>
        <v/>
      </c>
      <c r="J357" s="16" t="n"/>
      <c r="K357" s="11" t="n"/>
      <c r="L357" s="17" t="n"/>
    </row>
    <row r="358" ht="18" customHeight="1">
      <c r="A358" s="10" t="n"/>
      <c r="B358" s="10" t="n"/>
      <c r="C358" s="10" t="n"/>
      <c r="D358" s="11" t="n"/>
      <c r="E358" s="12" t="n"/>
      <c r="F358" s="13" t="n"/>
      <c r="G358" s="14">
        <f>=SUMIF($C$17:$C$502,C358,$F$17:$F$502)</f>
        <v/>
      </c>
      <c r="H358" s="14">
        <f>=IFERROR($B$14/$B$10,"")</f>
        <v/>
      </c>
      <c r="I358" s="15">
        <f>=IFERROR(G358/H358,"")</f>
        <v/>
      </c>
      <c r="J358" s="16" t="n"/>
      <c r="K358" s="11" t="n"/>
      <c r="L358" s="17" t="n"/>
    </row>
    <row r="359" ht="18" customHeight="1">
      <c r="A359" s="10" t="n"/>
      <c r="B359" s="10" t="n"/>
      <c r="C359" s="10" t="n"/>
      <c r="D359" s="11" t="n"/>
      <c r="E359" s="12" t="n"/>
      <c r="F359" s="13" t="n"/>
      <c r="G359" s="14">
        <f>=SUMIF($C$17:$C$502,C359,$F$17:$F$502)</f>
        <v/>
      </c>
      <c r="H359" s="14">
        <f>=IFERROR($B$14/$B$10,"")</f>
        <v/>
      </c>
      <c r="I359" s="15">
        <f>=IFERROR(G359/H359,"")</f>
        <v/>
      </c>
      <c r="J359" s="16" t="n"/>
      <c r="K359" s="11" t="n"/>
      <c r="L359" s="17" t="n"/>
    </row>
    <row r="360" ht="18" customHeight="1">
      <c r="A360" s="10" t="n"/>
      <c r="B360" s="10" t="n"/>
      <c r="C360" s="10" t="n"/>
      <c r="D360" s="11" t="n"/>
      <c r="E360" s="12" t="n"/>
      <c r="F360" s="13" t="n"/>
      <c r="G360" s="14">
        <f>=SUMIF($C$17:$C$502,C360,$F$17:$F$502)</f>
        <v/>
      </c>
      <c r="H360" s="14">
        <f>=IFERROR($B$14/$B$10,"")</f>
        <v/>
      </c>
      <c r="I360" s="15">
        <f>=IFERROR(G360/H360,"")</f>
        <v/>
      </c>
      <c r="J360" s="16" t="n"/>
      <c r="K360" s="11" t="n"/>
      <c r="L360" s="17" t="n"/>
    </row>
    <row r="361" ht="18" customHeight="1">
      <c r="A361" s="10" t="n"/>
      <c r="B361" s="10" t="n"/>
      <c r="C361" s="10" t="n"/>
      <c r="D361" s="11" t="n"/>
      <c r="E361" s="12" t="n"/>
      <c r="F361" s="13" t="n"/>
      <c r="G361" s="14">
        <f>=SUMIF($C$17:$C$502,C361,$F$17:$F$502)</f>
        <v/>
      </c>
      <c r="H361" s="14">
        <f>=IFERROR($B$14/$B$10,"")</f>
        <v/>
      </c>
      <c r="I361" s="15">
        <f>=IFERROR(G361/H361,"")</f>
        <v/>
      </c>
      <c r="J361" s="16" t="n"/>
      <c r="K361" s="11" t="n"/>
      <c r="L361" s="17" t="n"/>
    </row>
    <row r="362" ht="18" customHeight="1">
      <c r="A362" s="10" t="n"/>
      <c r="B362" s="10" t="n"/>
      <c r="C362" s="10" t="n"/>
      <c r="D362" s="11" t="n"/>
      <c r="E362" s="12" t="n"/>
      <c r="F362" s="13" t="n"/>
      <c r="G362" s="14">
        <f>=SUMIF($C$17:$C$502,C362,$F$17:$F$502)</f>
        <v/>
      </c>
      <c r="H362" s="14">
        <f>=IFERROR($B$14/$B$10,"")</f>
        <v/>
      </c>
      <c r="I362" s="15">
        <f>=IFERROR(G362/H362,"")</f>
        <v/>
      </c>
      <c r="J362" s="16" t="n"/>
      <c r="K362" s="11" t="n"/>
      <c r="L362" s="17" t="n"/>
    </row>
    <row r="363" ht="18" customHeight="1">
      <c r="A363" s="10" t="n"/>
      <c r="B363" s="10" t="n"/>
      <c r="C363" s="10" t="n"/>
      <c r="D363" s="11" t="n"/>
      <c r="E363" s="12" t="n"/>
      <c r="F363" s="13" t="n"/>
      <c r="G363" s="14">
        <f>=SUMIF($C$17:$C$502,C363,$F$17:$F$502)</f>
        <v/>
      </c>
      <c r="H363" s="14">
        <f>=IFERROR($B$14/$B$10,"")</f>
        <v/>
      </c>
      <c r="I363" s="15">
        <f>=IFERROR(G363/H363,"")</f>
        <v/>
      </c>
      <c r="J363" s="16" t="n"/>
      <c r="K363" s="11" t="n"/>
      <c r="L363" s="17" t="n"/>
    </row>
    <row r="364" ht="18" customHeight="1">
      <c r="A364" s="10" t="n"/>
      <c r="B364" s="10" t="n"/>
      <c r="C364" s="10" t="n"/>
      <c r="D364" s="11" t="n"/>
      <c r="E364" s="12" t="n"/>
      <c r="F364" s="13" t="n"/>
      <c r="G364" s="14">
        <f>=SUMIF($C$17:$C$502,C364,$F$17:$F$502)</f>
        <v/>
      </c>
      <c r="H364" s="14">
        <f>=IFERROR($B$14/$B$10,"")</f>
        <v/>
      </c>
      <c r="I364" s="15">
        <f>=IFERROR(G364/H364,"")</f>
        <v/>
      </c>
      <c r="J364" s="16" t="n"/>
      <c r="K364" s="11" t="n"/>
      <c r="L364" s="17" t="n"/>
    </row>
    <row r="365" ht="18" customHeight="1">
      <c r="A365" s="10" t="n"/>
      <c r="B365" s="10" t="n"/>
      <c r="C365" s="10" t="n"/>
      <c r="D365" s="11" t="n"/>
      <c r="E365" s="12" t="n"/>
      <c r="F365" s="13" t="n"/>
      <c r="G365" s="14">
        <f>=SUMIF($C$17:$C$502,C365,$F$17:$F$502)</f>
        <v/>
      </c>
      <c r="H365" s="14">
        <f>=IFERROR($B$14/$B$10,"")</f>
        <v/>
      </c>
      <c r="I365" s="15">
        <f>=IFERROR(G365/H365,"")</f>
        <v/>
      </c>
      <c r="J365" s="16" t="n"/>
      <c r="K365" s="11" t="n"/>
      <c r="L365" s="17" t="n"/>
    </row>
    <row r="366" ht="18" customHeight="1">
      <c r="A366" s="10" t="n"/>
      <c r="B366" s="10" t="n"/>
      <c r="C366" s="10" t="n"/>
      <c r="D366" s="11" t="n"/>
      <c r="E366" s="12" t="n"/>
      <c r="F366" s="13" t="n"/>
      <c r="G366" s="14">
        <f>=SUMIF($C$17:$C$502,C366,$F$17:$F$502)</f>
        <v/>
      </c>
      <c r="H366" s="14">
        <f>=IFERROR($B$14/$B$10,"")</f>
        <v/>
      </c>
      <c r="I366" s="15">
        <f>=IFERROR(G366/H366,"")</f>
        <v/>
      </c>
      <c r="J366" s="16" t="n"/>
      <c r="K366" s="11" t="n"/>
      <c r="L366" s="17" t="n"/>
    </row>
    <row r="367" ht="18" customHeight="1">
      <c r="A367" s="10" t="n"/>
      <c r="B367" s="10" t="n"/>
      <c r="C367" s="10" t="n"/>
      <c r="D367" s="11" t="n"/>
      <c r="E367" s="12" t="n"/>
      <c r="F367" s="13" t="n"/>
      <c r="G367" s="14">
        <f>=SUMIF($C$17:$C$502,C367,$F$17:$F$502)</f>
        <v/>
      </c>
      <c r="H367" s="14">
        <f>=IFERROR($B$14/$B$10,"")</f>
        <v/>
      </c>
      <c r="I367" s="15">
        <f>=IFERROR(G367/H367,"")</f>
        <v/>
      </c>
      <c r="J367" s="16" t="n"/>
      <c r="K367" s="11" t="n"/>
      <c r="L367" s="17" t="n"/>
    </row>
    <row r="368" ht="18" customHeight="1">
      <c r="A368" s="10" t="n"/>
      <c r="B368" s="10" t="n"/>
      <c r="C368" s="10" t="n"/>
      <c r="D368" s="11" t="n"/>
      <c r="E368" s="12" t="n"/>
      <c r="F368" s="13" t="n"/>
      <c r="G368" s="14">
        <f>=SUMIF($C$17:$C$502,C368,$F$17:$F$502)</f>
        <v/>
      </c>
      <c r="H368" s="14">
        <f>=IFERROR($B$14/$B$10,"")</f>
        <v/>
      </c>
      <c r="I368" s="15">
        <f>=IFERROR(G368/H368,"")</f>
        <v/>
      </c>
      <c r="J368" s="16" t="n"/>
      <c r="K368" s="11" t="n"/>
      <c r="L368" s="17" t="n"/>
    </row>
    <row r="369" ht="18" customHeight="1">
      <c r="A369" s="10" t="n"/>
      <c r="B369" s="10" t="n"/>
      <c r="C369" s="10" t="n"/>
      <c r="D369" s="11" t="n"/>
      <c r="E369" s="12" t="n"/>
      <c r="F369" s="13" t="n"/>
      <c r="G369" s="14">
        <f>=SUMIF($C$17:$C$502,C369,$F$17:$F$502)</f>
        <v/>
      </c>
      <c r="H369" s="14">
        <f>=IFERROR($B$14/$B$10,"")</f>
        <v/>
      </c>
      <c r="I369" s="15">
        <f>=IFERROR(G369/H369,"")</f>
        <v/>
      </c>
      <c r="J369" s="16" t="n"/>
      <c r="K369" s="11" t="n"/>
      <c r="L369" s="17" t="n"/>
    </row>
    <row r="370" ht="18" customHeight="1">
      <c r="A370" s="10" t="n"/>
      <c r="B370" s="10" t="n"/>
      <c r="C370" s="10" t="n"/>
      <c r="D370" s="11" t="n"/>
      <c r="E370" s="12" t="n"/>
      <c r="F370" s="13" t="n"/>
      <c r="G370" s="14">
        <f>=SUMIF($C$17:$C$502,C370,$F$17:$F$502)</f>
        <v/>
      </c>
      <c r="H370" s="14">
        <f>=IFERROR($B$14/$B$10,"")</f>
        <v/>
      </c>
      <c r="I370" s="15">
        <f>=IFERROR(G370/H370,"")</f>
        <v/>
      </c>
      <c r="J370" s="16" t="n"/>
      <c r="K370" s="11" t="n"/>
      <c r="L370" s="17" t="n"/>
    </row>
    <row r="371" ht="18" customHeight="1">
      <c r="A371" s="10" t="n"/>
      <c r="B371" s="10" t="n"/>
      <c r="C371" s="10" t="n"/>
      <c r="D371" s="11" t="n"/>
      <c r="E371" s="12" t="n"/>
      <c r="F371" s="13" t="n"/>
      <c r="G371" s="14">
        <f>=SUMIF($C$17:$C$502,C371,$F$17:$F$502)</f>
        <v/>
      </c>
      <c r="H371" s="14">
        <f>=IFERROR($B$14/$B$10,"")</f>
        <v/>
      </c>
      <c r="I371" s="15">
        <f>=IFERROR(G371/H371,"")</f>
        <v/>
      </c>
      <c r="J371" s="16" t="n"/>
      <c r="K371" s="11" t="n"/>
      <c r="L371" s="17" t="n"/>
    </row>
    <row r="372" ht="18" customHeight="1">
      <c r="A372" s="10" t="n"/>
      <c r="B372" s="10" t="n"/>
      <c r="C372" s="10" t="n"/>
      <c r="D372" s="11" t="n"/>
      <c r="E372" s="12" t="n"/>
      <c r="F372" s="13" t="n"/>
      <c r="G372" s="14">
        <f>=SUMIF($C$17:$C$502,C372,$F$17:$F$502)</f>
        <v/>
      </c>
      <c r="H372" s="14">
        <f>=IFERROR($B$14/$B$10,"")</f>
        <v/>
      </c>
      <c r="I372" s="15">
        <f>=IFERROR(G372/H372,"")</f>
        <v/>
      </c>
      <c r="J372" s="16" t="n"/>
      <c r="K372" s="11" t="n"/>
      <c r="L372" s="17" t="n"/>
    </row>
    <row r="373" ht="18" customHeight="1">
      <c r="A373" s="10" t="n"/>
      <c r="B373" s="10" t="n"/>
      <c r="C373" s="10" t="n"/>
      <c r="D373" s="11" t="n"/>
      <c r="E373" s="12" t="n"/>
      <c r="F373" s="13" t="n"/>
      <c r="G373" s="14">
        <f>=SUMIF($C$17:$C$502,C373,$F$17:$F$502)</f>
        <v/>
      </c>
      <c r="H373" s="14">
        <f>=IFERROR($B$14/$B$10,"")</f>
        <v/>
      </c>
      <c r="I373" s="15">
        <f>=IFERROR(G373/H373,"")</f>
        <v/>
      </c>
      <c r="J373" s="16" t="n"/>
      <c r="K373" s="11" t="n"/>
      <c r="L373" s="17" t="n"/>
    </row>
    <row r="374" ht="18" customHeight="1">
      <c r="A374" s="10" t="n"/>
      <c r="B374" s="10" t="n"/>
      <c r="C374" s="10" t="n"/>
      <c r="D374" s="11" t="n"/>
      <c r="E374" s="12" t="n"/>
      <c r="F374" s="13" t="n"/>
      <c r="G374" s="14">
        <f>=SUMIF($C$17:$C$502,C374,$F$17:$F$502)</f>
        <v/>
      </c>
      <c r="H374" s="14">
        <f>=IFERROR($B$14/$B$10,"")</f>
        <v/>
      </c>
      <c r="I374" s="15">
        <f>=IFERROR(G374/H374,"")</f>
        <v/>
      </c>
      <c r="J374" s="16" t="n"/>
      <c r="K374" s="11" t="n"/>
      <c r="L374" s="17" t="n"/>
    </row>
    <row r="375" ht="18" customHeight="1">
      <c r="A375" s="10" t="n"/>
      <c r="B375" s="10" t="n"/>
      <c r="C375" s="10" t="n"/>
      <c r="D375" s="11" t="n"/>
      <c r="E375" s="12" t="n"/>
      <c r="F375" s="13" t="n"/>
      <c r="G375" s="14">
        <f>=SUMIF($C$17:$C$502,C375,$F$17:$F$502)</f>
        <v/>
      </c>
      <c r="H375" s="14">
        <f>=IFERROR($B$14/$B$10,"")</f>
        <v/>
      </c>
      <c r="I375" s="15">
        <f>=IFERROR(G375/H375,"")</f>
        <v/>
      </c>
      <c r="J375" s="16" t="n"/>
      <c r="K375" s="11" t="n"/>
      <c r="L375" s="17" t="n"/>
    </row>
    <row r="376" ht="18" customHeight="1">
      <c r="A376" s="10" t="n"/>
      <c r="B376" s="10" t="n"/>
      <c r="C376" s="10" t="n"/>
      <c r="D376" s="11" t="n"/>
      <c r="E376" s="12" t="n"/>
      <c r="F376" s="13" t="n"/>
      <c r="G376" s="14">
        <f>=SUMIF($C$17:$C$502,C376,$F$17:$F$502)</f>
        <v/>
      </c>
      <c r="H376" s="14">
        <f>=IFERROR($B$14/$B$10,"")</f>
        <v/>
      </c>
      <c r="I376" s="15">
        <f>=IFERROR(G376/H376,"")</f>
        <v/>
      </c>
      <c r="J376" s="16" t="n"/>
      <c r="K376" s="11" t="n"/>
      <c r="L376" s="17" t="n"/>
    </row>
    <row r="377" ht="18" customHeight="1">
      <c r="A377" s="10" t="n"/>
      <c r="B377" s="10" t="n"/>
      <c r="C377" s="10" t="n"/>
      <c r="D377" s="11" t="n"/>
      <c r="E377" s="12" t="n"/>
      <c r="F377" s="13" t="n"/>
      <c r="G377" s="14">
        <f>=SUMIF($C$17:$C$502,C377,$F$17:$F$502)</f>
        <v/>
      </c>
      <c r="H377" s="14">
        <f>=IFERROR($B$14/$B$10,"")</f>
        <v/>
      </c>
      <c r="I377" s="15">
        <f>=IFERROR(G377/H377,"")</f>
        <v/>
      </c>
      <c r="J377" s="16" t="n"/>
      <c r="K377" s="11" t="n"/>
      <c r="L377" s="17" t="n"/>
    </row>
    <row r="378" ht="18" customHeight="1">
      <c r="A378" s="10" t="n"/>
      <c r="B378" s="10" t="n"/>
      <c r="C378" s="10" t="n"/>
      <c r="D378" s="11" t="n"/>
      <c r="E378" s="12" t="n"/>
      <c r="F378" s="13" t="n"/>
      <c r="G378" s="14">
        <f>=SUMIF($C$17:$C$502,C378,$F$17:$F$502)</f>
        <v/>
      </c>
      <c r="H378" s="14">
        <f>=IFERROR($B$14/$B$10,"")</f>
        <v/>
      </c>
      <c r="I378" s="15">
        <f>=IFERROR(G378/H378,"")</f>
        <v/>
      </c>
      <c r="J378" s="16" t="n"/>
      <c r="K378" s="11" t="n"/>
      <c r="L378" s="17" t="n"/>
    </row>
    <row r="379" ht="18" customHeight="1">
      <c r="A379" s="10" t="n"/>
      <c r="B379" s="10" t="n"/>
      <c r="C379" s="10" t="n"/>
      <c r="D379" s="11" t="n"/>
      <c r="E379" s="12" t="n"/>
      <c r="F379" s="13" t="n"/>
      <c r="G379" s="14">
        <f>=SUMIF($C$17:$C$502,C379,$F$17:$F$502)</f>
        <v/>
      </c>
      <c r="H379" s="14">
        <f>=IFERROR($B$14/$B$10,"")</f>
        <v/>
      </c>
      <c r="I379" s="15">
        <f>=IFERROR(G379/H379,"")</f>
        <v/>
      </c>
      <c r="J379" s="16" t="n"/>
      <c r="K379" s="11" t="n"/>
      <c r="L379" s="17" t="n"/>
    </row>
    <row r="380" ht="18" customHeight="1">
      <c r="A380" s="10" t="n"/>
      <c r="B380" s="10" t="n"/>
      <c r="C380" s="10" t="n"/>
      <c r="D380" s="11" t="n"/>
      <c r="E380" s="12" t="n"/>
      <c r="F380" s="13" t="n"/>
      <c r="G380" s="14">
        <f>=SUMIF($C$17:$C$502,C380,$F$17:$F$502)</f>
        <v/>
      </c>
      <c r="H380" s="14">
        <f>=IFERROR($B$14/$B$10,"")</f>
        <v/>
      </c>
      <c r="I380" s="15">
        <f>=IFERROR(G380/H380,"")</f>
        <v/>
      </c>
      <c r="J380" s="16" t="n"/>
      <c r="K380" s="11" t="n"/>
      <c r="L380" s="17" t="n"/>
    </row>
    <row r="381" ht="18" customHeight="1">
      <c r="A381" s="10" t="n"/>
      <c r="B381" s="10" t="n"/>
      <c r="C381" s="10" t="n"/>
      <c r="D381" s="11" t="n"/>
      <c r="E381" s="12" t="n"/>
      <c r="F381" s="13" t="n"/>
      <c r="G381" s="14">
        <f>=SUMIF($C$17:$C$502,C381,$F$17:$F$502)</f>
        <v/>
      </c>
      <c r="H381" s="14">
        <f>=IFERROR($B$14/$B$10,"")</f>
        <v/>
      </c>
      <c r="I381" s="15">
        <f>=IFERROR(G381/H381,"")</f>
        <v/>
      </c>
      <c r="J381" s="16" t="n"/>
      <c r="K381" s="11" t="n"/>
      <c r="L381" s="17" t="n"/>
    </row>
    <row r="382" ht="18" customHeight="1">
      <c r="A382" s="10" t="n"/>
      <c r="B382" s="10" t="n"/>
      <c r="C382" s="10" t="n"/>
      <c r="D382" s="11" t="n"/>
      <c r="E382" s="12" t="n"/>
      <c r="F382" s="13" t="n"/>
      <c r="G382" s="14">
        <f>=SUMIF($C$17:$C$502,C382,$F$17:$F$502)</f>
        <v/>
      </c>
      <c r="H382" s="14">
        <f>=IFERROR($B$14/$B$10,"")</f>
        <v/>
      </c>
      <c r="I382" s="15">
        <f>=IFERROR(G382/H382,"")</f>
        <v/>
      </c>
      <c r="J382" s="16" t="n"/>
      <c r="K382" s="11" t="n"/>
      <c r="L382" s="17" t="n"/>
    </row>
    <row r="383" ht="18" customHeight="1">
      <c r="A383" s="10" t="n"/>
      <c r="B383" s="10" t="n"/>
      <c r="C383" s="10" t="n"/>
      <c r="D383" s="11" t="n"/>
      <c r="E383" s="12" t="n"/>
      <c r="F383" s="13" t="n"/>
      <c r="G383" s="14">
        <f>=SUMIF($C$17:$C$502,C383,$F$17:$F$502)</f>
        <v/>
      </c>
      <c r="H383" s="14">
        <f>=IFERROR($B$14/$B$10,"")</f>
        <v/>
      </c>
      <c r="I383" s="15">
        <f>=IFERROR(G383/H383,"")</f>
        <v/>
      </c>
      <c r="J383" s="16" t="n"/>
      <c r="K383" s="11" t="n"/>
      <c r="L383" s="17" t="n"/>
    </row>
    <row r="384" ht="18" customHeight="1">
      <c r="A384" s="10" t="n"/>
      <c r="B384" s="10" t="n"/>
      <c r="C384" s="10" t="n"/>
      <c r="D384" s="11" t="n"/>
      <c r="E384" s="12" t="n"/>
      <c r="F384" s="13" t="n"/>
      <c r="G384" s="14">
        <f>=SUMIF($C$17:$C$502,C384,$F$17:$F$502)</f>
        <v/>
      </c>
      <c r="H384" s="14">
        <f>=IFERROR($B$14/$B$10,"")</f>
        <v/>
      </c>
      <c r="I384" s="15">
        <f>=IFERROR(G384/H384,"")</f>
        <v/>
      </c>
      <c r="J384" s="16" t="n"/>
      <c r="K384" s="11" t="n"/>
      <c r="L384" s="17" t="n"/>
    </row>
    <row r="385" ht="18" customHeight="1">
      <c r="A385" s="10" t="n"/>
      <c r="B385" s="10" t="n"/>
      <c r="C385" s="10" t="n"/>
      <c r="D385" s="11" t="n"/>
      <c r="E385" s="12" t="n"/>
      <c r="F385" s="13" t="n"/>
      <c r="G385" s="14">
        <f>=SUMIF($C$17:$C$502,C385,$F$17:$F$502)</f>
        <v/>
      </c>
      <c r="H385" s="14">
        <f>=IFERROR($B$14/$B$10,"")</f>
        <v/>
      </c>
      <c r="I385" s="15">
        <f>=IFERROR(G385/H385,"")</f>
        <v/>
      </c>
      <c r="J385" s="16" t="n"/>
      <c r="K385" s="11" t="n"/>
      <c r="L385" s="17" t="n"/>
    </row>
    <row r="386" ht="18" customHeight="1">
      <c r="A386" s="10" t="n"/>
      <c r="B386" s="10" t="n"/>
      <c r="C386" s="10" t="n"/>
      <c r="D386" s="11" t="n"/>
      <c r="E386" s="12" t="n"/>
      <c r="F386" s="13" t="n"/>
      <c r="G386" s="14">
        <f>=SUMIF($C$17:$C$502,C386,$F$17:$F$502)</f>
        <v/>
      </c>
      <c r="H386" s="14">
        <f>=IFERROR($B$14/$B$10,"")</f>
        <v/>
      </c>
      <c r="I386" s="15">
        <f>=IFERROR(G386/H386,"")</f>
        <v/>
      </c>
      <c r="J386" s="16" t="n"/>
      <c r="K386" s="11" t="n"/>
      <c r="L386" s="17" t="n"/>
    </row>
    <row r="387" ht="18" customHeight="1">
      <c r="A387" s="10" t="n"/>
      <c r="B387" s="10" t="n"/>
      <c r="C387" s="10" t="n"/>
      <c r="D387" s="11" t="n"/>
      <c r="E387" s="12" t="n"/>
      <c r="F387" s="13" t="n"/>
      <c r="G387" s="14">
        <f>=SUMIF($C$17:$C$502,C387,$F$17:$F$502)</f>
        <v/>
      </c>
      <c r="H387" s="14">
        <f>=IFERROR($B$14/$B$10,"")</f>
        <v/>
      </c>
      <c r="I387" s="15">
        <f>=IFERROR(G387/H387,"")</f>
        <v/>
      </c>
      <c r="J387" s="16" t="n"/>
      <c r="K387" s="11" t="n"/>
      <c r="L387" s="17" t="n"/>
    </row>
    <row r="388" ht="18" customHeight="1">
      <c r="A388" s="10" t="n"/>
      <c r="B388" s="10" t="n"/>
      <c r="C388" s="10" t="n"/>
      <c r="D388" s="11" t="n"/>
      <c r="E388" s="12" t="n"/>
      <c r="F388" s="13" t="n"/>
      <c r="G388" s="14">
        <f>=SUMIF($C$17:$C$502,C388,$F$17:$F$502)</f>
        <v/>
      </c>
      <c r="H388" s="14">
        <f>=IFERROR($B$14/$B$10,"")</f>
        <v/>
      </c>
      <c r="I388" s="15">
        <f>=IFERROR(G388/H388,"")</f>
        <v/>
      </c>
      <c r="J388" s="16" t="n"/>
      <c r="K388" s="11" t="n"/>
      <c r="L388" s="17" t="n"/>
    </row>
    <row r="389" ht="18" customHeight="1">
      <c r="A389" s="10" t="n"/>
      <c r="B389" s="10" t="n"/>
      <c r="C389" s="10" t="n"/>
      <c r="D389" s="11" t="n"/>
      <c r="E389" s="12" t="n"/>
      <c r="F389" s="13" t="n"/>
      <c r="G389" s="14">
        <f>=SUMIF($C$17:$C$502,C389,$F$17:$F$502)</f>
        <v/>
      </c>
      <c r="H389" s="14">
        <f>=IFERROR($B$14/$B$10,"")</f>
        <v/>
      </c>
      <c r="I389" s="15">
        <f>=IFERROR(G389/H389,"")</f>
        <v/>
      </c>
      <c r="J389" s="16" t="n"/>
      <c r="K389" s="11" t="n"/>
      <c r="L389" s="17" t="n"/>
    </row>
    <row r="390" ht="18" customHeight="1">
      <c r="A390" s="10" t="n"/>
      <c r="B390" s="10" t="n"/>
      <c r="C390" s="10" t="n"/>
      <c r="D390" s="11" t="n"/>
      <c r="E390" s="12" t="n"/>
      <c r="F390" s="13" t="n"/>
      <c r="G390" s="14">
        <f>=SUMIF($C$17:$C$502,C390,$F$17:$F$502)</f>
        <v/>
      </c>
      <c r="H390" s="14">
        <f>=IFERROR($B$14/$B$10,"")</f>
        <v/>
      </c>
      <c r="I390" s="15">
        <f>=IFERROR(G390/H390,"")</f>
        <v/>
      </c>
      <c r="J390" s="16" t="n"/>
      <c r="K390" s="11" t="n"/>
      <c r="L390" s="17" t="n"/>
    </row>
    <row r="391" ht="18" customHeight="1">
      <c r="A391" s="10" t="n"/>
      <c r="B391" s="10" t="n"/>
      <c r="C391" s="10" t="n"/>
      <c r="D391" s="11" t="n"/>
      <c r="E391" s="12" t="n"/>
      <c r="F391" s="13" t="n"/>
      <c r="G391" s="14">
        <f>=SUMIF($C$17:$C$502,C391,$F$17:$F$502)</f>
        <v/>
      </c>
      <c r="H391" s="14">
        <f>=IFERROR($B$14/$B$10,"")</f>
        <v/>
      </c>
      <c r="I391" s="15">
        <f>=IFERROR(G391/H391,"")</f>
        <v/>
      </c>
      <c r="J391" s="16" t="n"/>
      <c r="K391" s="11" t="n"/>
      <c r="L391" s="17" t="n"/>
    </row>
    <row r="392" ht="18" customHeight="1">
      <c r="A392" s="10" t="n"/>
      <c r="B392" s="10" t="n"/>
      <c r="C392" s="10" t="n"/>
      <c r="D392" s="11" t="n"/>
      <c r="E392" s="12" t="n"/>
      <c r="F392" s="13" t="n"/>
      <c r="G392" s="14">
        <f>=SUMIF($C$17:$C$502,C392,$F$17:$F$502)</f>
        <v/>
      </c>
      <c r="H392" s="14">
        <f>=IFERROR($B$14/$B$10,"")</f>
        <v/>
      </c>
      <c r="I392" s="15">
        <f>=IFERROR(G392/H392,"")</f>
        <v/>
      </c>
      <c r="J392" s="16" t="n"/>
      <c r="K392" s="11" t="n"/>
      <c r="L392" s="17" t="n"/>
    </row>
    <row r="393" ht="18" customHeight="1">
      <c r="A393" s="10" t="n"/>
      <c r="B393" s="10" t="n"/>
      <c r="C393" s="10" t="n"/>
      <c r="D393" s="11" t="n"/>
      <c r="E393" s="12" t="n"/>
      <c r="F393" s="13" t="n"/>
      <c r="G393" s="14">
        <f>=SUMIF($C$17:$C$502,C393,$F$17:$F$502)</f>
        <v/>
      </c>
      <c r="H393" s="14">
        <f>=IFERROR($B$14/$B$10,"")</f>
        <v/>
      </c>
      <c r="I393" s="15">
        <f>=IFERROR(G393/H393,"")</f>
        <v/>
      </c>
      <c r="J393" s="16" t="n"/>
      <c r="K393" s="11" t="n"/>
      <c r="L393" s="17" t="n"/>
    </row>
    <row r="394" ht="18" customHeight="1">
      <c r="A394" s="10" t="n"/>
      <c r="B394" s="10" t="n"/>
      <c r="C394" s="10" t="n"/>
      <c r="D394" s="11" t="n"/>
      <c r="E394" s="12" t="n"/>
      <c r="F394" s="13" t="n"/>
      <c r="G394" s="14">
        <f>=SUMIF($C$17:$C$502,C394,$F$17:$F$502)</f>
        <v/>
      </c>
      <c r="H394" s="14">
        <f>=IFERROR($B$14/$B$10,"")</f>
        <v/>
      </c>
      <c r="I394" s="15">
        <f>=IFERROR(G394/H394,"")</f>
        <v/>
      </c>
      <c r="J394" s="16" t="n"/>
      <c r="K394" s="11" t="n"/>
      <c r="L394" s="17" t="n"/>
    </row>
    <row r="395" ht="18" customHeight="1">
      <c r="A395" s="10" t="n"/>
      <c r="B395" s="10" t="n"/>
      <c r="C395" s="10" t="n"/>
      <c r="D395" s="11" t="n"/>
      <c r="E395" s="12" t="n"/>
      <c r="F395" s="13" t="n"/>
      <c r="G395" s="14">
        <f>=SUMIF($C$17:$C$502,C395,$F$17:$F$502)</f>
        <v/>
      </c>
      <c r="H395" s="14">
        <f>=IFERROR($B$14/$B$10,"")</f>
        <v/>
      </c>
      <c r="I395" s="15">
        <f>=IFERROR(G395/H395,"")</f>
        <v/>
      </c>
      <c r="J395" s="16" t="n"/>
      <c r="K395" s="11" t="n"/>
      <c r="L395" s="17" t="n"/>
    </row>
    <row r="396" ht="18" customHeight="1">
      <c r="A396" s="10" t="n"/>
      <c r="B396" s="10" t="n"/>
      <c r="C396" s="10" t="n"/>
      <c r="D396" s="11" t="n"/>
      <c r="E396" s="12" t="n"/>
      <c r="F396" s="13" t="n"/>
      <c r="G396" s="14">
        <f>=SUMIF($C$17:$C$502,C396,$F$17:$F$502)</f>
        <v/>
      </c>
      <c r="H396" s="14">
        <f>=IFERROR($B$14/$B$10,"")</f>
        <v/>
      </c>
      <c r="I396" s="15">
        <f>=IFERROR(G396/H396,"")</f>
        <v/>
      </c>
      <c r="J396" s="16" t="n"/>
      <c r="K396" s="11" t="n"/>
      <c r="L396" s="17" t="n"/>
    </row>
    <row r="397" ht="18" customHeight="1">
      <c r="A397" s="10" t="n"/>
      <c r="B397" s="10" t="n"/>
      <c r="C397" s="10" t="n"/>
      <c r="D397" s="11" t="n"/>
      <c r="E397" s="12" t="n"/>
      <c r="F397" s="13" t="n"/>
      <c r="G397" s="14">
        <f>=SUMIF($C$17:$C$502,C397,$F$17:$F$502)</f>
        <v/>
      </c>
      <c r="H397" s="14">
        <f>=IFERROR($B$14/$B$10,"")</f>
        <v/>
      </c>
      <c r="I397" s="15">
        <f>=IFERROR(G397/H397,"")</f>
        <v/>
      </c>
      <c r="J397" s="16" t="n"/>
      <c r="K397" s="11" t="n"/>
      <c r="L397" s="17" t="n"/>
    </row>
    <row r="398" ht="18" customHeight="1">
      <c r="A398" s="10" t="n"/>
      <c r="B398" s="10" t="n"/>
      <c r="C398" s="10" t="n"/>
      <c r="D398" s="11" t="n"/>
      <c r="E398" s="12" t="n"/>
      <c r="F398" s="13" t="n"/>
      <c r="G398" s="14">
        <f>=SUMIF($C$17:$C$502,C398,$F$17:$F$502)</f>
        <v/>
      </c>
      <c r="H398" s="14">
        <f>=IFERROR($B$14/$B$10,"")</f>
        <v/>
      </c>
      <c r="I398" s="15">
        <f>=IFERROR(G398/H398,"")</f>
        <v/>
      </c>
      <c r="J398" s="16" t="n"/>
      <c r="K398" s="11" t="n"/>
      <c r="L398" s="17" t="n"/>
    </row>
    <row r="399" ht="18" customHeight="1">
      <c r="A399" s="10" t="n"/>
      <c r="B399" s="10" t="n"/>
      <c r="C399" s="10" t="n"/>
      <c r="D399" s="11" t="n"/>
      <c r="E399" s="12" t="n"/>
      <c r="F399" s="13" t="n"/>
      <c r="G399" s="14">
        <f>=SUMIF($C$17:$C$502,C399,$F$17:$F$502)</f>
        <v/>
      </c>
      <c r="H399" s="14">
        <f>=IFERROR($B$14/$B$10,"")</f>
        <v/>
      </c>
      <c r="I399" s="15">
        <f>=IFERROR(G399/H399,"")</f>
        <v/>
      </c>
      <c r="J399" s="16" t="n"/>
      <c r="K399" s="11" t="n"/>
      <c r="L399" s="17" t="n"/>
    </row>
    <row r="400" ht="18" customHeight="1">
      <c r="A400" s="10" t="n"/>
      <c r="B400" s="10" t="n"/>
      <c r="C400" s="10" t="n"/>
      <c r="D400" s="11" t="n"/>
      <c r="E400" s="12" t="n"/>
      <c r="F400" s="13" t="n"/>
      <c r="G400" s="14">
        <f>=SUMIF($C$17:$C$502,C400,$F$17:$F$502)</f>
        <v/>
      </c>
      <c r="H400" s="14">
        <f>=IFERROR($B$14/$B$10,"")</f>
        <v/>
      </c>
      <c r="I400" s="15">
        <f>=IFERROR(G400/H400,"")</f>
        <v/>
      </c>
      <c r="J400" s="16" t="n"/>
      <c r="K400" s="11" t="n"/>
      <c r="L400" s="17" t="n"/>
    </row>
    <row r="401" ht="18" customHeight="1">
      <c r="A401" s="10" t="n"/>
      <c r="B401" s="10" t="n"/>
      <c r="C401" s="10" t="n"/>
      <c r="D401" s="11" t="n"/>
      <c r="E401" s="12" t="n"/>
      <c r="F401" s="13" t="n"/>
      <c r="G401" s="14">
        <f>=SUMIF($C$17:$C$502,C401,$F$17:$F$502)</f>
        <v/>
      </c>
      <c r="H401" s="14">
        <f>=IFERROR($B$14/$B$10,"")</f>
        <v/>
      </c>
      <c r="I401" s="15">
        <f>=IFERROR(G401/H401,"")</f>
        <v/>
      </c>
      <c r="J401" s="16" t="n"/>
      <c r="K401" s="11" t="n"/>
      <c r="L401" s="17" t="n"/>
    </row>
    <row r="402" ht="18" customHeight="1">
      <c r="A402" s="10" t="n"/>
      <c r="B402" s="10" t="n"/>
      <c r="C402" s="10" t="n"/>
      <c r="D402" s="11" t="n"/>
      <c r="E402" s="12" t="n"/>
      <c r="F402" s="13" t="n"/>
      <c r="G402" s="14">
        <f>=SUMIF($C$17:$C$502,C402,$F$17:$F$502)</f>
        <v/>
      </c>
      <c r="H402" s="14">
        <f>=IFERROR($B$14/$B$10,"")</f>
        <v/>
      </c>
      <c r="I402" s="15">
        <f>=IFERROR(G402/H402,"")</f>
        <v/>
      </c>
      <c r="J402" s="16" t="n"/>
      <c r="K402" s="11" t="n"/>
      <c r="L402" s="17" t="n"/>
    </row>
    <row r="403" ht="18" customHeight="1">
      <c r="A403" s="10" t="n"/>
      <c r="B403" s="10" t="n"/>
      <c r="C403" s="10" t="n"/>
      <c r="D403" s="11" t="n"/>
      <c r="E403" s="12" t="n"/>
      <c r="F403" s="13" t="n"/>
      <c r="G403" s="14">
        <f>=SUMIF($C$17:$C$502,C403,$F$17:$F$502)</f>
        <v/>
      </c>
      <c r="H403" s="14">
        <f>=IFERROR($B$14/$B$10,"")</f>
        <v/>
      </c>
      <c r="I403" s="15">
        <f>=IFERROR(G403/H403,"")</f>
        <v/>
      </c>
      <c r="J403" s="16" t="n"/>
      <c r="K403" s="11" t="n"/>
      <c r="L403" s="17" t="n"/>
    </row>
    <row r="404" ht="18" customHeight="1">
      <c r="A404" s="10" t="n"/>
      <c r="B404" s="10" t="n"/>
      <c r="C404" s="10" t="n"/>
      <c r="D404" s="11" t="n"/>
      <c r="E404" s="12" t="n"/>
      <c r="F404" s="13" t="n"/>
      <c r="G404" s="14">
        <f>=SUMIF($C$17:$C$502,C404,$F$17:$F$502)</f>
        <v/>
      </c>
      <c r="H404" s="14">
        <f>=IFERROR($B$14/$B$10,"")</f>
        <v/>
      </c>
      <c r="I404" s="15">
        <f>=IFERROR(G404/H404,"")</f>
        <v/>
      </c>
      <c r="J404" s="16" t="n"/>
      <c r="K404" s="11" t="n"/>
      <c r="L404" s="17" t="n"/>
    </row>
    <row r="405" ht="18" customHeight="1">
      <c r="A405" s="10" t="n"/>
      <c r="B405" s="10" t="n"/>
      <c r="C405" s="10" t="n"/>
      <c r="D405" s="11" t="n"/>
      <c r="E405" s="12" t="n"/>
      <c r="F405" s="13" t="n"/>
      <c r="G405" s="14">
        <f>=SUMIF($C$17:$C$502,C405,$F$17:$F$502)</f>
        <v/>
      </c>
      <c r="H405" s="14">
        <f>=IFERROR($B$14/$B$10,"")</f>
        <v/>
      </c>
      <c r="I405" s="15">
        <f>=IFERROR(G405/H405,"")</f>
        <v/>
      </c>
      <c r="J405" s="16" t="n"/>
      <c r="K405" s="11" t="n"/>
      <c r="L405" s="17" t="n"/>
    </row>
    <row r="406" ht="18" customHeight="1">
      <c r="A406" s="10" t="n"/>
      <c r="B406" s="10" t="n"/>
      <c r="C406" s="10" t="n"/>
      <c r="D406" s="11" t="n"/>
      <c r="E406" s="12" t="n"/>
      <c r="F406" s="13" t="n"/>
      <c r="G406" s="14">
        <f>=SUMIF($C$17:$C$502,C406,$F$17:$F$502)</f>
        <v/>
      </c>
      <c r="H406" s="14">
        <f>=IFERROR($B$14/$B$10,"")</f>
        <v/>
      </c>
      <c r="I406" s="15">
        <f>=IFERROR(G406/H406,"")</f>
        <v/>
      </c>
      <c r="J406" s="16" t="n"/>
      <c r="K406" s="11" t="n"/>
      <c r="L406" s="17" t="n"/>
    </row>
    <row r="407" ht="18" customHeight="1">
      <c r="A407" s="10" t="n"/>
      <c r="B407" s="10" t="n"/>
      <c r="C407" s="10" t="n"/>
      <c r="D407" s="11" t="n"/>
      <c r="E407" s="12" t="n"/>
      <c r="F407" s="13" t="n"/>
      <c r="G407" s="14">
        <f>=SUMIF($C$17:$C$502,C407,$F$17:$F$502)</f>
        <v/>
      </c>
      <c r="H407" s="14">
        <f>=IFERROR($B$14/$B$10,"")</f>
        <v/>
      </c>
      <c r="I407" s="15">
        <f>=IFERROR(G407/H407,"")</f>
        <v/>
      </c>
      <c r="J407" s="16" t="n"/>
      <c r="K407" s="11" t="n"/>
      <c r="L407" s="17" t="n"/>
    </row>
    <row r="408" ht="18" customHeight="1">
      <c r="A408" s="10" t="n"/>
      <c r="B408" s="10" t="n"/>
      <c r="C408" s="10" t="n"/>
      <c r="D408" s="11" t="n"/>
      <c r="E408" s="12" t="n"/>
      <c r="F408" s="13" t="n"/>
      <c r="G408" s="14">
        <f>=SUMIF($C$17:$C$502,C408,$F$17:$F$502)</f>
        <v/>
      </c>
      <c r="H408" s="14">
        <f>=IFERROR($B$14/$B$10,"")</f>
        <v/>
      </c>
      <c r="I408" s="15">
        <f>=IFERROR(G408/H408,"")</f>
        <v/>
      </c>
      <c r="J408" s="16" t="n"/>
      <c r="K408" s="11" t="n"/>
      <c r="L408" s="17" t="n"/>
    </row>
    <row r="409" ht="18" customHeight="1">
      <c r="A409" s="10" t="n"/>
      <c r="B409" s="10" t="n"/>
      <c r="C409" s="10" t="n"/>
      <c r="D409" s="11" t="n"/>
      <c r="E409" s="12" t="n"/>
      <c r="F409" s="13" t="n"/>
      <c r="G409" s="14">
        <f>=SUMIF($C$17:$C$502,C409,$F$17:$F$502)</f>
        <v/>
      </c>
      <c r="H409" s="14">
        <f>=IFERROR($B$14/$B$10,"")</f>
        <v/>
      </c>
      <c r="I409" s="15">
        <f>=IFERROR(G409/H409,"")</f>
        <v/>
      </c>
      <c r="J409" s="16" t="n"/>
      <c r="K409" s="11" t="n"/>
      <c r="L409" s="17" t="n"/>
    </row>
    <row r="410" ht="18" customHeight="1">
      <c r="A410" s="10" t="n"/>
      <c r="B410" s="10" t="n"/>
      <c r="C410" s="10" t="n"/>
      <c r="D410" s="11" t="n"/>
      <c r="E410" s="12" t="n"/>
      <c r="F410" s="13" t="n"/>
      <c r="G410" s="14">
        <f>=SUMIF($C$17:$C$502,C410,$F$17:$F$502)</f>
        <v/>
      </c>
      <c r="H410" s="14">
        <f>=IFERROR($B$14/$B$10,"")</f>
        <v/>
      </c>
      <c r="I410" s="15">
        <f>=IFERROR(G410/H410,"")</f>
        <v/>
      </c>
      <c r="J410" s="16" t="n"/>
      <c r="K410" s="11" t="n"/>
      <c r="L410" s="17" t="n"/>
    </row>
    <row r="411" ht="18" customHeight="1">
      <c r="A411" s="10" t="n"/>
      <c r="B411" s="10" t="n"/>
      <c r="C411" s="10" t="n"/>
      <c r="D411" s="11" t="n"/>
      <c r="E411" s="12" t="n"/>
      <c r="F411" s="13" t="n"/>
      <c r="G411" s="14">
        <f>=SUMIF($C$17:$C$502,C411,$F$17:$F$502)</f>
        <v/>
      </c>
      <c r="H411" s="14">
        <f>=IFERROR($B$14/$B$10,"")</f>
        <v/>
      </c>
      <c r="I411" s="15">
        <f>=IFERROR(G411/H411,"")</f>
        <v/>
      </c>
      <c r="J411" s="16" t="n"/>
      <c r="K411" s="11" t="n"/>
      <c r="L411" s="17" t="n"/>
    </row>
    <row r="412" ht="18" customHeight="1">
      <c r="A412" s="10" t="n"/>
      <c r="B412" s="10" t="n"/>
      <c r="C412" s="10" t="n"/>
      <c r="D412" s="11" t="n"/>
      <c r="E412" s="12" t="n"/>
      <c r="F412" s="13" t="n"/>
      <c r="G412" s="14">
        <f>=SUMIF($C$17:$C$502,C412,$F$17:$F$502)</f>
        <v/>
      </c>
      <c r="H412" s="14">
        <f>=IFERROR($B$14/$B$10,"")</f>
        <v/>
      </c>
      <c r="I412" s="15">
        <f>=IFERROR(G412/H412,"")</f>
        <v/>
      </c>
      <c r="J412" s="16" t="n"/>
      <c r="K412" s="11" t="n"/>
      <c r="L412" s="17" t="n"/>
    </row>
    <row r="413" ht="18" customHeight="1">
      <c r="A413" s="10" t="n"/>
      <c r="B413" s="10" t="n"/>
      <c r="C413" s="10" t="n"/>
      <c r="D413" s="11" t="n"/>
      <c r="E413" s="12" t="n"/>
      <c r="F413" s="13" t="n"/>
      <c r="G413" s="14">
        <f>=SUMIF($C$17:$C$502,C413,$F$17:$F$502)</f>
        <v/>
      </c>
      <c r="H413" s="14">
        <f>=IFERROR($B$14/$B$10,"")</f>
        <v/>
      </c>
      <c r="I413" s="15">
        <f>=IFERROR(G413/H413,"")</f>
        <v/>
      </c>
      <c r="J413" s="16" t="n"/>
      <c r="K413" s="11" t="n"/>
      <c r="L413" s="17" t="n"/>
    </row>
    <row r="414" ht="18" customHeight="1">
      <c r="A414" s="10" t="n"/>
      <c r="B414" s="10" t="n"/>
      <c r="C414" s="10" t="n"/>
      <c r="D414" s="11" t="n"/>
      <c r="E414" s="12" t="n"/>
      <c r="F414" s="13" t="n"/>
      <c r="G414" s="14">
        <f>=SUMIF($C$17:$C$502,C414,$F$17:$F$502)</f>
        <v/>
      </c>
      <c r="H414" s="14">
        <f>=IFERROR($B$14/$B$10,"")</f>
        <v/>
      </c>
      <c r="I414" s="15">
        <f>=IFERROR(G414/H414,"")</f>
        <v/>
      </c>
      <c r="J414" s="16" t="n"/>
      <c r="K414" s="11" t="n"/>
      <c r="L414" s="17" t="n"/>
    </row>
    <row r="415" ht="18" customHeight="1">
      <c r="A415" s="10" t="n"/>
      <c r="B415" s="10" t="n"/>
      <c r="C415" s="10" t="n"/>
      <c r="D415" s="11" t="n"/>
      <c r="E415" s="12" t="n"/>
      <c r="F415" s="13" t="n"/>
      <c r="G415" s="14">
        <f>=SUMIF($C$17:$C$502,C415,$F$17:$F$502)</f>
        <v/>
      </c>
      <c r="H415" s="14">
        <f>=IFERROR($B$14/$B$10,"")</f>
        <v/>
      </c>
      <c r="I415" s="15">
        <f>=IFERROR(G415/H415,"")</f>
        <v/>
      </c>
      <c r="J415" s="16" t="n"/>
      <c r="K415" s="11" t="n"/>
      <c r="L415" s="17" t="n"/>
    </row>
    <row r="416" ht="18" customHeight="1">
      <c r="A416" s="10" t="n"/>
      <c r="B416" s="10" t="n"/>
      <c r="C416" s="10" t="n"/>
      <c r="D416" s="11" t="n"/>
      <c r="E416" s="12" t="n"/>
      <c r="F416" s="13" t="n"/>
      <c r="G416" s="14">
        <f>=SUMIF($C$17:$C$502,C416,$F$17:$F$502)</f>
        <v/>
      </c>
      <c r="H416" s="14">
        <f>=IFERROR($B$14/$B$10,"")</f>
        <v/>
      </c>
      <c r="I416" s="15">
        <f>=IFERROR(G416/H416,"")</f>
        <v/>
      </c>
      <c r="J416" s="16" t="n"/>
      <c r="K416" s="11" t="n"/>
      <c r="L416" s="17" t="n"/>
    </row>
    <row r="417" ht="18" customHeight="1">
      <c r="A417" s="10" t="n"/>
      <c r="B417" s="10" t="n"/>
      <c r="C417" s="10" t="n"/>
      <c r="D417" s="11" t="n"/>
      <c r="E417" s="12" t="n"/>
      <c r="F417" s="13" t="n"/>
      <c r="G417" s="14">
        <f>=SUMIF($C$17:$C$502,C417,$F$17:$F$502)</f>
        <v/>
      </c>
      <c r="H417" s="14">
        <f>=IFERROR($B$14/$B$10,"")</f>
        <v/>
      </c>
      <c r="I417" s="15">
        <f>=IFERROR(G417/H417,"")</f>
        <v/>
      </c>
      <c r="J417" s="16" t="n"/>
      <c r="K417" s="11" t="n"/>
      <c r="L417" s="17" t="n"/>
    </row>
    <row r="418" ht="18" customHeight="1">
      <c r="A418" s="10" t="n"/>
      <c r="B418" s="10" t="n"/>
      <c r="C418" s="10" t="n"/>
      <c r="D418" s="11" t="n"/>
      <c r="E418" s="12" t="n"/>
      <c r="F418" s="13" t="n"/>
      <c r="G418" s="14">
        <f>=SUMIF($C$17:$C$502,C418,$F$17:$F$502)</f>
        <v/>
      </c>
      <c r="H418" s="14">
        <f>=IFERROR($B$14/$B$10,"")</f>
        <v/>
      </c>
      <c r="I418" s="15">
        <f>=IFERROR(G418/H418,"")</f>
        <v/>
      </c>
      <c r="J418" s="16" t="n"/>
      <c r="K418" s="11" t="n"/>
      <c r="L418" s="17" t="n"/>
    </row>
    <row r="419" ht="18" customHeight="1">
      <c r="A419" s="10" t="n"/>
      <c r="B419" s="10" t="n"/>
      <c r="C419" s="10" t="n"/>
      <c r="D419" s="11" t="n"/>
      <c r="E419" s="12" t="n"/>
      <c r="F419" s="13" t="n"/>
      <c r="G419" s="14">
        <f>=SUMIF($C$17:$C$502,C419,$F$17:$F$502)</f>
        <v/>
      </c>
      <c r="H419" s="14">
        <f>=IFERROR($B$14/$B$10,"")</f>
        <v/>
      </c>
      <c r="I419" s="15">
        <f>=IFERROR(G419/H419,"")</f>
        <v/>
      </c>
      <c r="J419" s="16" t="n"/>
      <c r="K419" s="11" t="n"/>
      <c r="L419" s="17" t="n"/>
    </row>
    <row r="420" ht="18" customHeight="1">
      <c r="A420" s="10" t="n"/>
      <c r="B420" s="10" t="n"/>
      <c r="C420" s="10" t="n"/>
      <c r="D420" s="11" t="n"/>
      <c r="E420" s="12" t="n"/>
      <c r="F420" s="13" t="n"/>
      <c r="G420" s="14">
        <f>=SUMIF($C$17:$C$502,C420,$F$17:$F$502)</f>
        <v/>
      </c>
      <c r="H420" s="14">
        <f>=IFERROR($B$14/$B$10,"")</f>
        <v/>
      </c>
      <c r="I420" s="15">
        <f>=IFERROR(G420/H420,"")</f>
        <v/>
      </c>
      <c r="J420" s="16" t="n"/>
      <c r="K420" s="11" t="n"/>
      <c r="L420" s="17" t="n"/>
    </row>
    <row r="421" ht="18" customHeight="1">
      <c r="A421" s="10" t="n"/>
      <c r="B421" s="10" t="n"/>
      <c r="C421" s="10" t="n"/>
      <c r="D421" s="11" t="n"/>
      <c r="E421" s="12" t="n"/>
      <c r="F421" s="13" t="n"/>
      <c r="G421" s="14">
        <f>=SUMIF($C$17:$C$502,C421,$F$17:$F$502)</f>
        <v/>
      </c>
      <c r="H421" s="14">
        <f>=IFERROR($B$14/$B$10,"")</f>
        <v/>
      </c>
      <c r="I421" s="15">
        <f>=IFERROR(G421/H421,"")</f>
        <v/>
      </c>
      <c r="J421" s="16" t="n"/>
      <c r="K421" s="11" t="n"/>
      <c r="L421" s="17" t="n"/>
    </row>
    <row r="422" ht="18" customHeight="1">
      <c r="A422" s="10" t="n"/>
      <c r="B422" s="10" t="n"/>
      <c r="C422" s="10" t="n"/>
      <c r="D422" s="11" t="n"/>
      <c r="E422" s="12" t="n"/>
      <c r="F422" s="13" t="n"/>
      <c r="G422" s="14">
        <f>=SUMIF($C$17:$C$502,C422,$F$17:$F$502)</f>
        <v/>
      </c>
      <c r="H422" s="14">
        <f>=IFERROR($B$14/$B$10,"")</f>
        <v/>
      </c>
      <c r="I422" s="15">
        <f>=IFERROR(G422/H422,"")</f>
        <v/>
      </c>
      <c r="J422" s="16" t="n"/>
      <c r="K422" s="11" t="n"/>
      <c r="L422" s="17" t="n"/>
    </row>
    <row r="423" ht="18" customHeight="1">
      <c r="A423" s="10" t="n"/>
      <c r="B423" s="10" t="n"/>
      <c r="C423" s="10" t="n"/>
      <c r="D423" s="11" t="n"/>
      <c r="E423" s="12" t="n"/>
      <c r="F423" s="13" t="n"/>
      <c r="G423" s="14">
        <f>=SUMIF($C$17:$C$502,C423,$F$17:$F$502)</f>
        <v/>
      </c>
      <c r="H423" s="14">
        <f>=IFERROR($B$14/$B$10,"")</f>
        <v/>
      </c>
      <c r="I423" s="15">
        <f>=IFERROR(G423/H423,"")</f>
        <v/>
      </c>
      <c r="J423" s="16" t="n"/>
      <c r="K423" s="11" t="n"/>
      <c r="L423" s="17" t="n"/>
    </row>
    <row r="424" ht="18" customHeight="1">
      <c r="A424" s="10" t="n"/>
      <c r="B424" s="10" t="n"/>
      <c r="C424" s="10" t="n"/>
      <c r="D424" s="11" t="n"/>
      <c r="E424" s="12" t="n"/>
      <c r="F424" s="13" t="n"/>
      <c r="G424" s="14">
        <f>=SUMIF($C$17:$C$502,C424,$F$17:$F$502)</f>
        <v/>
      </c>
      <c r="H424" s="14">
        <f>=IFERROR($B$14/$B$10,"")</f>
        <v/>
      </c>
      <c r="I424" s="15">
        <f>=IFERROR(G424/H424,"")</f>
        <v/>
      </c>
      <c r="J424" s="16" t="n"/>
      <c r="K424" s="11" t="n"/>
      <c r="L424" s="17" t="n"/>
    </row>
    <row r="425" ht="18" customHeight="1">
      <c r="A425" s="10" t="n"/>
      <c r="B425" s="10" t="n"/>
      <c r="C425" s="10" t="n"/>
      <c r="D425" s="11" t="n"/>
      <c r="E425" s="12" t="n"/>
      <c r="F425" s="13" t="n"/>
      <c r="G425" s="14">
        <f>=SUMIF($C$17:$C$502,C425,$F$17:$F$502)</f>
        <v/>
      </c>
      <c r="H425" s="14">
        <f>=IFERROR($B$14/$B$10,"")</f>
        <v/>
      </c>
      <c r="I425" s="15">
        <f>=IFERROR(G425/H425,"")</f>
        <v/>
      </c>
      <c r="J425" s="16" t="n"/>
      <c r="K425" s="11" t="n"/>
      <c r="L425" s="17" t="n"/>
    </row>
    <row r="426" ht="18" customHeight="1">
      <c r="A426" s="10" t="n"/>
      <c r="B426" s="10" t="n"/>
      <c r="C426" s="10" t="n"/>
      <c r="D426" s="11" t="n"/>
      <c r="E426" s="12" t="n"/>
      <c r="F426" s="13" t="n"/>
      <c r="G426" s="14">
        <f>=SUMIF($C$17:$C$502,C426,$F$17:$F$502)</f>
        <v/>
      </c>
      <c r="H426" s="14">
        <f>=IFERROR($B$14/$B$10,"")</f>
        <v/>
      </c>
      <c r="I426" s="15">
        <f>=IFERROR(G426/H426,"")</f>
        <v/>
      </c>
      <c r="J426" s="16" t="n"/>
      <c r="K426" s="11" t="n"/>
      <c r="L426" s="17" t="n"/>
    </row>
    <row r="427" ht="18" customHeight="1">
      <c r="A427" s="10" t="n"/>
      <c r="B427" s="10" t="n"/>
      <c r="C427" s="10" t="n"/>
      <c r="D427" s="11" t="n"/>
      <c r="E427" s="12" t="n"/>
      <c r="F427" s="13" t="n"/>
      <c r="G427" s="14">
        <f>=SUMIF($C$17:$C$502,C427,$F$17:$F$502)</f>
        <v/>
      </c>
      <c r="H427" s="14">
        <f>=IFERROR($B$14/$B$10,"")</f>
        <v/>
      </c>
      <c r="I427" s="15">
        <f>=IFERROR(G427/H427,"")</f>
        <v/>
      </c>
      <c r="J427" s="16" t="n"/>
      <c r="K427" s="11" t="n"/>
      <c r="L427" s="17" t="n"/>
    </row>
    <row r="428" ht="18" customHeight="1">
      <c r="A428" s="10" t="n"/>
      <c r="B428" s="10" t="n"/>
      <c r="C428" s="10" t="n"/>
      <c r="D428" s="11" t="n"/>
      <c r="E428" s="12" t="n"/>
      <c r="F428" s="13" t="n"/>
      <c r="G428" s="14">
        <f>=SUMIF($C$17:$C$502,C428,$F$17:$F$502)</f>
        <v/>
      </c>
      <c r="H428" s="14">
        <f>=IFERROR($B$14/$B$10,"")</f>
        <v/>
      </c>
      <c r="I428" s="15">
        <f>=IFERROR(G428/H428,"")</f>
        <v/>
      </c>
      <c r="J428" s="16" t="n"/>
      <c r="K428" s="11" t="n"/>
      <c r="L428" s="17" t="n"/>
    </row>
    <row r="429" ht="18" customHeight="1">
      <c r="A429" s="10" t="n"/>
      <c r="B429" s="10" t="n"/>
      <c r="C429" s="10" t="n"/>
      <c r="D429" s="11" t="n"/>
      <c r="E429" s="12" t="n"/>
      <c r="F429" s="13" t="n"/>
      <c r="G429" s="14">
        <f>=SUMIF($C$17:$C$502,C429,$F$17:$F$502)</f>
        <v/>
      </c>
      <c r="H429" s="14">
        <f>=IFERROR($B$14/$B$10,"")</f>
        <v/>
      </c>
      <c r="I429" s="15">
        <f>=IFERROR(G429/H429,"")</f>
        <v/>
      </c>
      <c r="J429" s="16" t="n"/>
      <c r="K429" s="11" t="n"/>
      <c r="L429" s="17" t="n"/>
    </row>
    <row r="430" ht="18" customHeight="1">
      <c r="A430" s="10" t="n"/>
      <c r="B430" s="10" t="n"/>
      <c r="C430" s="10" t="n"/>
      <c r="D430" s="11" t="n"/>
      <c r="E430" s="12" t="n"/>
      <c r="F430" s="13" t="n"/>
      <c r="G430" s="14">
        <f>=SUMIF($C$17:$C$502,C430,$F$17:$F$502)</f>
        <v/>
      </c>
      <c r="H430" s="14">
        <f>=IFERROR($B$14/$B$10,"")</f>
        <v/>
      </c>
      <c r="I430" s="15">
        <f>=IFERROR(G430/H430,"")</f>
        <v/>
      </c>
      <c r="J430" s="16" t="n"/>
      <c r="K430" s="11" t="n"/>
      <c r="L430" s="17" t="n"/>
    </row>
    <row r="431" ht="18" customHeight="1">
      <c r="A431" s="10" t="n"/>
      <c r="B431" s="10" t="n"/>
      <c r="C431" s="10" t="n"/>
      <c r="D431" s="11" t="n"/>
      <c r="E431" s="12" t="n"/>
      <c r="F431" s="13" t="n"/>
      <c r="G431" s="14">
        <f>=SUMIF($C$17:$C$502,C431,$F$17:$F$502)</f>
        <v/>
      </c>
      <c r="H431" s="14">
        <f>=IFERROR($B$14/$B$10,"")</f>
        <v/>
      </c>
      <c r="I431" s="15">
        <f>=IFERROR(G431/H431,"")</f>
        <v/>
      </c>
      <c r="J431" s="16" t="n"/>
      <c r="K431" s="11" t="n"/>
      <c r="L431" s="17" t="n"/>
    </row>
    <row r="432" ht="18" customHeight="1">
      <c r="A432" s="10" t="n"/>
      <c r="B432" s="10" t="n"/>
      <c r="C432" s="10" t="n"/>
      <c r="D432" s="11" t="n"/>
      <c r="E432" s="12" t="n"/>
      <c r="F432" s="13" t="n"/>
      <c r="G432" s="14">
        <f>=SUMIF($C$17:$C$502,C432,$F$17:$F$502)</f>
        <v/>
      </c>
      <c r="H432" s="14">
        <f>=IFERROR($B$14/$B$10,"")</f>
        <v/>
      </c>
      <c r="I432" s="15">
        <f>=IFERROR(G432/H432,"")</f>
        <v/>
      </c>
      <c r="J432" s="16" t="n"/>
      <c r="K432" s="11" t="n"/>
      <c r="L432" s="17" t="n"/>
    </row>
    <row r="433" ht="18" customHeight="1">
      <c r="A433" s="10" t="n"/>
      <c r="B433" s="10" t="n"/>
      <c r="C433" s="10" t="n"/>
      <c r="D433" s="11" t="n"/>
      <c r="E433" s="12" t="n"/>
      <c r="F433" s="13" t="n"/>
      <c r="G433" s="14">
        <f>=SUMIF($C$17:$C$502,C433,$F$17:$F$502)</f>
        <v/>
      </c>
      <c r="H433" s="14">
        <f>=IFERROR($B$14/$B$10,"")</f>
        <v/>
      </c>
      <c r="I433" s="15">
        <f>=IFERROR(G433/H433,"")</f>
        <v/>
      </c>
      <c r="J433" s="16" t="n"/>
      <c r="K433" s="11" t="n"/>
      <c r="L433" s="17" t="n"/>
    </row>
    <row r="434" ht="18" customHeight="1">
      <c r="A434" s="10" t="n"/>
      <c r="B434" s="10" t="n"/>
      <c r="C434" s="10" t="n"/>
      <c r="D434" s="11" t="n"/>
      <c r="E434" s="12" t="n"/>
      <c r="F434" s="13" t="n"/>
      <c r="G434" s="14">
        <f>=SUMIF($C$17:$C$502,C434,$F$17:$F$502)</f>
        <v/>
      </c>
      <c r="H434" s="14">
        <f>=IFERROR($B$14/$B$10,"")</f>
        <v/>
      </c>
      <c r="I434" s="15">
        <f>=IFERROR(G434/H434,"")</f>
        <v/>
      </c>
      <c r="J434" s="16" t="n"/>
      <c r="K434" s="11" t="n"/>
      <c r="L434" s="17" t="n"/>
    </row>
    <row r="435" ht="18" customHeight="1">
      <c r="A435" s="10" t="n"/>
      <c r="B435" s="10" t="n"/>
      <c r="C435" s="10" t="n"/>
      <c r="D435" s="11" t="n"/>
      <c r="E435" s="12" t="n"/>
      <c r="F435" s="13" t="n"/>
      <c r="G435" s="14">
        <f>=SUMIF($C$17:$C$502,C435,$F$17:$F$502)</f>
        <v/>
      </c>
      <c r="H435" s="14">
        <f>=IFERROR($B$14/$B$10,"")</f>
        <v/>
      </c>
      <c r="I435" s="15">
        <f>=IFERROR(G435/H435,"")</f>
        <v/>
      </c>
      <c r="J435" s="16" t="n"/>
      <c r="K435" s="11" t="n"/>
      <c r="L435" s="17" t="n"/>
    </row>
    <row r="436" ht="18" customHeight="1">
      <c r="A436" s="10" t="n"/>
      <c r="B436" s="10" t="n"/>
      <c r="C436" s="10" t="n"/>
      <c r="D436" s="11" t="n"/>
      <c r="E436" s="12" t="n"/>
      <c r="F436" s="13" t="n"/>
      <c r="G436" s="14">
        <f>=SUMIF($C$17:$C$502,C436,$F$17:$F$502)</f>
        <v/>
      </c>
      <c r="H436" s="14">
        <f>=IFERROR($B$14/$B$10,"")</f>
        <v/>
      </c>
      <c r="I436" s="15">
        <f>=IFERROR(G436/H436,"")</f>
        <v/>
      </c>
      <c r="J436" s="16" t="n"/>
      <c r="K436" s="11" t="n"/>
      <c r="L436" s="17" t="n"/>
    </row>
    <row r="437" ht="18" customHeight="1">
      <c r="A437" s="10" t="n"/>
      <c r="B437" s="10" t="n"/>
      <c r="C437" s="10" t="n"/>
      <c r="D437" s="11" t="n"/>
      <c r="E437" s="12" t="n"/>
      <c r="F437" s="13" t="n"/>
      <c r="G437" s="14">
        <f>=SUMIF($C$17:$C$502,C437,$F$17:$F$502)</f>
        <v/>
      </c>
      <c r="H437" s="14">
        <f>=IFERROR($B$14/$B$10,"")</f>
        <v/>
      </c>
      <c r="I437" s="15">
        <f>=IFERROR(G437/H437,"")</f>
        <v/>
      </c>
      <c r="J437" s="16" t="n"/>
      <c r="K437" s="11" t="n"/>
      <c r="L437" s="17" t="n"/>
    </row>
    <row r="438" ht="18" customHeight="1">
      <c r="A438" s="10" t="n"/>
      <c r="B438" s="10" t="n"/>
      <c r="C438" s="10" t="n"/>
      <c r="D438" s="11" t="n"/>
      <c r="E438" s="12" t="n"/>
      <c r="F438" s="13" t="n"/>
      <c r="G438" s="14">
        <f>=SUMIF($C$17:$C$502,C438,$F$17:$F$502)</f>
        <v/>
      </c>
      <c r="H438" s="14">
        <f>=IFERROR($B$14/$B$10,"")</f>
        <v/>
      </c>
      <c r="I438" s="15">
        <f>=IFERROR(G438/H438,"")</f>
        <v/>
      </c>
      <c r="J438" s="16" t="n"/>
      <c r="K438" s="11" t="n"/>
      <c r="L438" s="17" t="n"/>
    </row>
    <row r="439" ht="18" customHeight="1">
      <c r="A439" s="10" t="n"/>
      <c r="B439" s="10" t="n"/>
      <c r="C439" s="10" t="n"/>
      <c r="D439" s="11" t="n"/>
      <c r="E439" s="12" t="n"/>
      <c r="F439" s="13" t="n"/>
      <c r="G439" s="14">
        <f>=SUMIF($C$17:$C$502,C439,$F$17:$F$502)</f>
        <v/>
      </c>
      <c r="H439" s="14">
        <f>=IFERROR($B$14/$B$10,"")</f>
        <v/>
      </c>
      <c r="I439" s="15">
        <f>=IFERROR(G439/H439,"")</f>
        <v/>
      </c>
      <c r="J439" s="16" t="n"/>
      <c r="K439" s="11" t="n"/>
      <c r="L439" s="17" t="n"/>
    </row>
    <row r="440" ht="18" customHeight="1">
      <c r="A440" s="10" t="n"/>
      <c r="B440" s="10" t="n"/>
      <c r="C440" s="10" t="n"/>
      <c r="D440" s="11" t="n"/>
      <c r="E440" s="12" t="n"/>
      <c r="F440" s="13" t="n"/>
      <c r="G440" s="14">
        <f>=SUMIF($C$17:$C$502,C440,$F$17:$F$502)</f>
        <v/>
      </c>
      <c r="H440" s="14">
        <f>=IFERROR($B$14/$B$10,"")</f>
        <v/>
      </c>
      <c r="I440" s="15">
        <f>=IFERROR(G440/H440,"")</f>
        <v/>
      </c>
      <c r="J440" s="16" t="n"/>
      <c r="K440" s="11" t="n"/>
      <c r="L440" s="17" t="n"/>
    </row>
    <row r="441" ht="18" customHeight="1">
      <c r="A441" s="10" t="n"/>
      <c r="B441" s="10" t="n"/>
      <c r="C441" s="10" t="n"/>
      <c r="D441" s="11" t="n"/>
      <c r="E441" s="12" t="n"/>
      <c r="F441" s="13" t="n"/>
      <c r="G441" s="14">
        <f>=SUMIF($C$17:$C$502,C441,$F$17:$F$502)</f>
        <v/>
      </c>
      <c r="H441" s="14">
        <f>=IFERROR($B$14/$B$10,"")</f>
        <v/>
      </c>
      <c r="I441" s="15">
        <f>=IFERROR(G441/H441,"")</f>
        <v/>
      </c>
      <c r="J441" s="16" t="n"/>
      <c r="K441" s="11" t="n"/>
      <c r="L441" s="17" t="n"/>
    </row>
    <row r="442" ht="18" customHeight="1">
      <c r="A442" s="10" t="n"/>
      <c r="B442" s="10" t="n"/>
      <c r="C442" s="10" t="n"/>
      <c r="D442" s="11" t="n"/>
      <c r="E442" s="12" t="n"/>
      <c r="F442" s="13" t="n"/>
      <c r="G442" s="14">
        <f>=SUMIF($C$17:$C$502,C442,$F$17:$F$502)</f>
        <v/>
      </c>
      <c r="H442" s="14">
        <f>=IFERROR($B$14/$B$10,"")</f>
        <v/>
      </c>
      <c r="I442" s="15">
        <f>=IFERROR(G442/H442,"")</f>
        <v/>
      </c>
      <c r="J442" s="16" t="n"/>
      <c r="K442" s="11" t="n"/>
      <c r="L442" s="17" t="n"/>
    </row>
    <row r="443" ht="18" customHeight="1">
      <c r="A443" s="10" t="n"/>
      <c r="B443" s="10" t="n"/>
      <c r="C443" s="10" t="n"/>
      <c r="D443" s="11" t="n"/>
      <c r="E443" s="12" t="n"/>
      <c r="F443" s="13" t="n"/>
      <c r="G443" s="14">
        <f>=SUMIF($C$17:$C$502,C443,$F$17:$F$502)</f>
        <v/>
      </c>
      <c r="H443" s="14">
        <f>=IFERROR($B$14/$B$10,"")</f>
        <v/>
      </c>
      <c r="I443" s="15">
        <f>=IFERROR(G443/H443,"")</f>
        <v/>
      </c>
      <c r="J443" s="16" t="n"/>
      <c r="K443" s="11" t="n"/>
      <c r="L443" s="17" t="n"/>
    </row>
    <row r="444" ht="18" customHeight="1">
      <c r="A444" s="10" t="n"/>
      <c r="B444" s="10" t="n"/>
      <c r="C444" s="10" t="n"/>
      <c r="D444" s="11" t="n"/>
      <c r="E444" s="12" t="n"/>
      <c r="F444" s="13" t="n"/>
      <c r="G444" s="14">
        <f>=SUMIF($C$17:$C$502,C444,$F$17:$F$502)</f>
        <v/>
      </c>
      <c r="H444" s="14">
        <f>=IFERROR($B$14/$B$10,"")</f>
        <v/>
      </c>
      <c r="I444" s="15">
        <f>=IFERROR(G444/H444,"")</f>
        <v/>
      </c>
      <c r="J444" s="16" t="n"/>
      <c r="K444" s="11" t="n"/>
      <c r="L444" s="17" t="n"/>
    </row>
    <row r="445" ht="18" customHeight="1">
      <c r="A445" s="10" t="n"/>
      <c r="B445" s="10" t="n"/>
      <c r="C445" s="10" t="n"/>
      <c r="D445" s="11" t="n"/>
      <c r="E445" s="12" t="n"/>
      <c r="F445" s="13" t="n"/>
      <c r="G445" s="14">
        <f>=SUMIF($C$17:$C$502,C445,$F$17:$F$502)</f>
        <v/>
      </c>
      <c r="H445" s="14">
        <f>=IFERROR($B$14/$B$10,"")</f>
        <v/>
      </c>
      <c r="I445" s="15">
        <f>=IFERROR(G445/H445,"")</f>
        <v/>
      </c>
      <c r="J445" s="16" t="n"/>
      <c r="K445" s="11" t="n"/>
      <c r="L445" s="17" t="n"/>
    </row>
    <row r="446" ht="18" customHeight="1">
      <c r="A446" s="10" t="n"/>
      <c r="B446" s="10" t="n"/>
      <c r="C446" s="10" t="n"/>
      <c r="D446" s="11" t="n"/>
      <c r="E446" s="12" t="n"/>
      <c r="F446" s="13" t="n"/>
      <c r="G446" s="14">
        <f>=SUMIF($C$17:$C$502,C446,$F$17:$F$502)</f>
        <v/>
      </c>
      <c r="H446" s="14">
        <f>=IFERROR($B$14/$B$10,"")</f>
        <v/>
      </c>
      <c r="I446" s="15">
        <f>=IFERROR(G446/H446,"")</f>
        <v/>
      </c>
      <c r="J446" s="16" t="n"/>
      <c r="K446" s="11" t="n"/>
      <c r="L446" s="17" t="n"/>
    </row>
    <row r="447" ht="18" customHeight="1">
      <c r="A447" s="10" t="n"/>
      <c r="B447" s="10" t="n"/>
      <c r="C447" s="10" t="n"/>
      <c r="D447" s="11" t="n"/>
      <c r="E447" s="12" t="n"/>
      <c r="F447" s="13" t="n"/>
      <c r="G447" s="14">
        <f>=SUMIF($C$17:$C$502,C447,$F$17:$F$502)</f>
        <v/>
      </c>
      <c r="H447" s="14">
        <f>=IFERROR($B$14/$B$10,"")</f>
        <v/>
      </c>
      <c r="I447" s="15">
        <f>=IFERROR(G447/H447,"")</f>
        <v/>
      </c>
      <c r="J447" s="16" t="n"/>
      <c r="K447" s="11" t="n"/>
      <c r="L447" s="17" t="n"/>
    </row>
    <row r="448" ht="18" customHeight="1">
      <c r="A448" s="10" t="n"/>
      <c r="B448" s="10" t="n"/>
      <c r="C448" s="10" t="n"/>
      <c r="D448" s="11" t="n"/>
      <c r="E448" s="12" t="n"/>
      <c r="F448" s="13" t="n"/>
      <c r="G448" s="14">
        <f>=SUMIF($C$17:$C$502,C448,$F$17:$F$502)</f>
        <v/>
      </c>
      <c r="H448" s="14">
        <f>=IFERROR($B$14/$B$10,"")</f>
        <v/>
      </c>
      <c r="I448" s="15">
        <f>=IFERROR(G448/H448,"")</f>
        <v/>
      </c>
      <c r="J448" s="16" t="n"/>
      <c r="K448" s="11" t="n"/>
      <c r="L448" s="17" t="n"/>
    </row>
    <row r="449" ht="18" customHeight="1">
      <c r="A449" s="10" t="n"/>
      <c r="B449" s="10" t="n"/>
      <c r="C449" s="10" t="n"/>
      <c r="D449" s="11" t="n"/>
      <c r="E449" s="12" t="n"/>
      <c r="F449" s="13" t="n"/>
      <c r="G449" s="14">
        <f>=SUMIF($C$17:$C$502,C449,$F$17:$F$502)</f>
        <v/>
      </c>
      <c r="H449" s="14">
        <f>=IFERROR($B$14/$B$10,"")</f>
        <v/>
      </c>
      <c r="I449" s="15">
        <f>=IFERROR(G449/H449,"")</f>
        <v/>
      </c>
      <c r="J449" s="16" t="n"/>
      <c r="K449" s="11" t="n"/>
      <c r="L449" s="17" t="n"/>
    </row>
    <row r="450" ht="18" customHeight="1">
      <c r="A450" s="10" t="n"/>
      <c r="B450" s="10" t="n"/>
      <c r="C450" s="10" t="n"/>
      <c r="D450" s="11" t="n"/>
      <c r="E450" s="12" t="n"/>
      <c r="F450" s="13" t="n"/>
      <c r="G450" s="14">
        <f>=SUMIF($C$17:$C$502,C450,$F$17:$F$502)</f>
        <v/>
      </c>
      <c r="H450" s="14">
        <f>=IFERROR($B$14/$B$10,"")</f>
        <v/>
      </c>
      <c r="I450" s="15">
        <f>=IFERROR(G450/H450,"")</f>
        <v/>
      </c>
      <c r="J450" s="16" t="n"/>
      <c r="K450" s="11" t="n"/>
      <c r="L450" s="17" t="n"/>
    </row>
    <row r="451" ht="18" customHeight="1">
      <c r="A451" s="10" t="n"/>
      <c r="B451" s="10" t="n"/>
      <c r="C451" s="10" t="n"/>
      <c r="D451" s="11" t="n"/>
      <c r="E451" s="12" t="n"/>
      <c r="F451" s="13" t="n"/>
      <c r="G451" s="14">
        <f>=SUMIF($C$17:$C$502,C451,$F$17:$F$502)</f>
        <v/>
      </c>
      <c r="H451" s="14">
        <f>=IFERROR($B$14/$B$10,"")</f>
        <v/>
      </c>
      <c r="I451" s="15">
        <f>=IFERROR(G451/H451,"")</f>
        <v/>
      </c>
      <c r="J451" s="16" t="n"/>
      <c r="K451" s="11" t="n"/>
      <c r="L451" s="17" t="n"/>
    </row>
    <row r="452" ht="18" customHeight="1">
      <c r="A452" s="10" t="n"/>
      <c r="B452" s="10" t="n"/>
      <c r="C452" s="10" t="n"/>
      <c r="D452" s="11" t="n"/>
      <c r="E452" s="12" t="n"/>
      <c r="F452" s="13" t="n"/>
      <c r="G452" s="14">
        <f>=SUMIF($C$17:$C$502,C452,$F$17:$F$502)</f>
        <v/>
      </c>
      <c r="H452" s="14">
        <f>=IFERROR($B$14/$B$10,"")</f>
        <v/>
      </c>
      <c r="I452" s="15">
        <f>=IFERROR(G452/H452,"")</f>
        <v/>
      </c>
      <c r="J452" s="16" t="n"/>
      <c r="K452" s="11" t="n"/>
      <c r="L452" s="17" t="n"/>
    </row>
    <row r="453" ht="18" customHeight="1">
      <c r="A453" s="10" t="n"/>
      <c r="B453" s="10" t="n"/>
      <c r="C453" s="10" t="n"/>
      <c r="D453" s="11" t="n"/>
      <c r="E453" s="12" t="n"/>
      <c r="F453" s="13" t="n"/>
      <c r="G453" s="14">
        <f>=SUMIF($C$17:$C$502,C453,$F$17:$F$502)</f>
        <v/>
      </c>
      <c r="H453" s="14">
        <f>=IFERROR($B$14/$B$10,"")</f>
        <v/>
      </c>
      <c r="I453" s="15">
        <f>=IFERROR(G453/H453,"")</f>
        <v/>
      </c>
      <c r="J453" s="16" t="n"/>
      <c r="K453" s="11" t="n"/>
      <c r="L453" s="17" t="n"/>
    </row>
    <row r="454" ht="18" customHeight="1">
      <c r="A454" s="10" t="n"/>
      <c r="B454" s="10" t="n"/>
      <c r="C454" s="10" t="n"/>
      <c r="D454" s="11" t="n"/>
      <c r="E454" s="12" t="n"/>
      <c r="F454" s="13" t="n"/>
      <c r="G454" s="14">
        <f>=SUMIF($C$17:$C$502,C454,$F$17:$F$502)</f>
        <v/>
      </c>
      <c r="H454" s="14">
        <f>=IFERROR($B$14/$B$10,"")</f>
        <v/>
      </c>
      <c r="I454" s="15">
        <f>=IFERROR(G454/H454,"")</f>
        <v/>
      </c>
      <c r="J454" s="16" t="n"/>
      <c r="K454" s="11" t="n"/>
      <c r="L454" s="17" t="n"/>
    </row>
    <row r="455" ht="18" customHeight="1">
      <c r="A455" s="10" t="n"/>
      <c r="B455" s="10" t="n"/>
      <c r="C455" s="10" t="n"/>
      <c r="D455" s="11" t="n"/>
      <c r="E455" s="12" t="n"/>
      <c r="F455" s="13" t="n"/>
      <c r="G455" s="14">
        <f>=SUMIF($C$17:$C$502,C455,$F$17:$F$502)</f>
        <v/>
      </c>
      <c r="H455" s="14">
        <f>=IFERROR($B$14/$B$10,"")</f>
        <v/>
      </c>
      <c r="I455" s="15">
        <f>=IFERROR(G455/H455,"")</f>
        <v/>
      </c>
      <c r="J455" s="16" t="n"/>
      <c r="K455" s="11" t="n"/>
      <c r="L455" s="17" t="n"/>
    </row>
    <row r="456" ht="18" customHeight="1">
      <c r="A456" s="10" t="n"/>
      <c r="B456" s="10" t="n"/>
      <c r="C456" s="10" t="n"/>
      <c r="D456" s="11" t="n"/>
      <c r="E456" s="12" t="n"/>
      <c r="F456" s="13" t="n"/>
      <c r="G456" s="14">
        <f>=SUMIF($C$17:$C$502,C456,$F$17:$F$502)</f>
        <v/>
      </c>
      <c r="H456" s="14">
        <f>=IFERROR($B$14/$B$10,"")</f>
        <v/>
      </c>
      <c r="I456" s="15">
        <f>=IFERROR(G456/H456,"")</f>
        <v/>
      </c>
      <c r="J456" s="16" t="n"/>
      <c r="K456" s="11" t="n"/>
      <c r="L456" s="17" t="n"/>
    </row>
    <row r="457" ht="18" customHeight="1">
      <c r="A457" s="10" t="n"/>
      <c r="B457" s="10" t="n"/>
      <c r="C457" s="10" t="n"/>
      <c r="D457" s="11" t="n"/>
      <c r="E457" s="12" t="n"/>
      <c r="F457" s="13" t="n"/>
      <c r="G457" s="14">
        <f>=SUMIF($C$17:$C$502,C457,$F$17:$F$502)</f>
        <v/>
      </c>
      <c r="H457" s="14">
        <f>=IFERROR($B$14/$B$10,"")</f>
        <v/>
      </c>
      <c r="I457" s="15">
        <f>=IFERROR(G457/H457,"")</f>
        <v/>
      </c>
      <c r="J457" s="16" t="n"/>
      <c r="K457" s="11" t="n"/>
      <c r="L457" s="17" t="n"/>
    </row>
    <row r="458" ht="18" customHeight="1">
      <c r="A458" s="10" t="n"/>
      <c r="B458" s="10" t="n"/>
      <c r="C458" s="10" t="n"/>
      <c r="D458" s="11" t="n"/>
      <c r="E458" s="12" t="n"/>
      <c r="F458" s="13" t="n"/>
      <c r="G458" s="14">
        <f>=SUMIF($C$17:$C$502,C458,$F$17:$F$502)</f>
        <v/>
      </c>
      <c r="H458" s="14">
        <f>=IFERROR($B$14/$B$10,"")</f>
        <v/>
      </c>
      <c r="I458" s="15">
        <f>=IFERROR(G458/H458,"")</f>
        <v/>
      </c>
      <c r="J458" s="16" t="n"/>
      <c r="K458" s="11" t="n"/>
      <c r="L458" s="17" t="n"/>
    </row>
    <row r="459" ht="18" customHeight="1">
      <c r="A459" s="10" t="n"/>
      <c r="B459" s="10" t="n"/>
      <c r="C459" s="10" t="n"/>
      <c r="D459" s="11" t="n"/>
      <c r="E459" s="12" t="n"/>
      <c r="F459" s="13" t="n"/>
      <c r="G459" s="14">
        <f>=SUMIF($C$17:$C$502,C459,$F$17:$F$502)</f>
        <v/>
      </c>
      <c r="H459" s="14">
        <f>=IFERROR($B$14/$B$10,"")</f>
        <v/>
      </c>
      <c r="I459" s="15">
        <f>=IFERROR(G459/H459,"")</f>
        <v/>
      </c>
      <c r="J459" s="16" t="n"/>
      <c r="K459" s="11" t="n"/>
      <c r="L459" s="17" t="n"/>
    </row>
    <row r="460" ht="18" customHeight="1">
      <c r="A460" s="10" t="n"/>
      <c r="B460" s="10" t="n"/>
      <c r="C460" s="10" t="n"/>
      <c r="D460" s="11" t="n"/>
      <c r="E460" s="12" t="n"/>
      <c r="F460" s="13" t="n"/>
      <c r="G460" s="14">
        <f>=SUMIF($C$17:$C$502,C460,$F$17:$F$502)</f>
        <v/>
      </c>
      <c r="H460" s="14">
        <f>=IFERROR($B$14/$B$10,"")</f>
        <v/>
      </c>
      <c r="I460" s="15">
        <f>=IFERROR(G460/H460,"")</f>
        <v/>
      </c>
      <c r="J460" s="16" t="n"/>
      <c r="K460" s="11" t="n"/>
      <c r="L460" s="17" t="n"/>
    </row>
    <row r="461" ht="18" customHeight="1">
      <c r="A461" s="10" t="n"/>
      <c r="B461" s="10" t="n"/>
      <c r="C461" s="10" t="n"/>
      <c r="D461" s="11" t="n"/>
      <c r="E461" s="12" t="n"/>
      <c r="F461" s="13" t="n"/>
      <c r="G461" s="14">
        <f>=SUMIF($C$17:$C$502,C461,$F$17:$F$502)</f>
        <v/>
      </c>
      <c r="H461" s="14">
        <f>=IFERROR($B$14/$B$10,"")</f>
        <v/>
      </c>
      <c r="I461" s="15">
        <f>=IFERROR(G461/H461,"")</f>
        <v/>
      </c>
      <c r="J461" s="16" t="n"/>
      <c r="K461" s="11" t="n"/>
      <c r="L461" s="17" t="n"/>
    </row>
    <row r="462" ht="18" customHeight="1">
      <c r="A462" s="10" t="n"/>
      <c r="B462" s="10" t="n"/>
      <c r="C462" s="10" t="n"/>
      <c r="D462" s="11" t="n"/>
      <c r="E462" s="12" t="n"/>
      <c r="F462" s="13" t="n"/>
      <c r="G462" s="14">
        <f>=SUMIF($C$17:$C$502,C462,$F$17:$F$502)</f>
        <v/>
      </c>
      <c r="H462" s="14">
        <f>=IFERROR($B$14/$B$10,"")</f>
        <v/>
      </c>
      <c r="I462" s="15">
        <f>=IFERROR(G462/H462,"")</f>
        <v/>
      </c>
      <c r="J462" s="16" t="n"/>
      <c r="K462" s="11" t="n"/>
      <c r="L462" s="17" t="n"/>
    </row>
    <row r="463" ht="18" customHeight="1">
      <c r="A463" s="10" t="n"/>
      <c r="B463" s="10" t="n"/>
      <c r="C463" s="10" t="n"/>
      <c r="D463" s="11" t="n"/>
      <c r="E463" s="12" t="n"/>
      <c r="F463" s="13" t="n"/>
      <c r="G463" s="14">
        <f>=SUMIF($C$17:$C$502,C463,$F$17:$F$502)</f>
        <v/>
      </c>
      <c r="H463" s="14">
        <f>=IFERROR($B$14/$B$10,"")</f>
        <v/>
      </c>
      <c r="I463" s="15">
        <f>=IFERROR(G463/H463,"")</f>
        <v/>
      </c>
      <c r="J463" s="16" t="n"/>
      <c r="K463" s="11" t="n"/>
      <c r="L463" s="17" t="n"/>
    </row>
    <row r="464" ht="18" customHeight="1">
      <c r="A464" s="10" t="n"/>
      <c r="B464" s="10" t="n"/>
      <c r="C464" s="10" t="n"/>
      <c r="D464" s="11" t="n"/>
      <c r="E464" s="12" t="n"/>
      <c r="F464" s="13" t="n"/>
      <c r="G464" s="14">
        <f>=SUMIF($C$17:$C$502,C464,$F$17:$F$502)</f>
        <v/>
      </c>
      <c r="H464" s="14">
        <f>=IFERROR($B$14/$B$10,"")</f>
        <v/>
      </c>
      <c r="I464" s="15">
        <f>=IFERROR(G464/H464,"")</f>
        <v/>
      </c>
      <c r="J464" s="16" t="n"/>
      <c r="K464" s="11" t="n"/>
      <c r="L464" s="17" t="n"/>
    </row>
    <row r="465" ht="18" customHeight="1">
      <c r="A465" s="10" t="n"/>
      <c r="B465" s="10" t="n"/>
      <c r="C465" s="10" t="n"/>
      <c r="D465" s="11" t="n"/>
      <c r="E465" s="12" t="n"/>
      <c r="F465" s="13" t="n"/>
      <c r="G465" s="14">
        <f>=SUMIF($C$17:$C$502,C465,$F$17:$F$502)</f>
        <v/>
      </c>
      <c r="H465" s="14">
        <f>=IFERROR($B$14/$B$10,"")</f>
        <v/>
      </c>
      <c r="I465" s="15">
        <f>=IFERROR(G465/H465,"")</f>
        <v/>
      </c>
      <c r="J465" s="16" t="n"/>
      <c r="K465" s="11" t="n"/>
      <c r="L465" s="17" t="n"/>
    </row>
    <row r="466" ht="18" customHeight="1">
      <c r="A466" s="10" t="n"/>
      <c r="B466" s="10" t="n"/>
      <c r="C466" s="10" t="n"/>
      <c r="D466" s="11" t="n"/>
      <c r="E466" s="12" t="n"/>
      <c r="F466" s="13" t="n"/>
      <c r="G466" s="14">
        <f>=SUMIF($C$17:$C$502,C466,$F$17:$F$502)</f>
        <v/>
      </c>
      <c r="H466" s="14">
        <f>=IFERROR($B$14/$B$10,"")</f>
        <v/>
      </c>
      <c r="I466" s="15">
        <f>=IFERROR(G466/H466,"")</f>
        <v/>
      </c>
      <c r="J466" s="16" t="n"/>
      <c r="K466" s="11" t="n"/>
      <c r="L466" s="17" t="n"/>
    </row>
    <row r="467" ht="18" customHeight="1">
      <c r="A467" s="10" t="n"/>
      <c r="B467" s="10" t="n"/>
      <c r="C467" s="10" t="n"/>
      <c r="D467" s="11" t="n"/>
      <c r="E467" s="12" t="n"/>
      <c r="F467" s="13" t="n"/>
      <c r="G467" s="14">
        <f>=SUMIF($C$17:$C$502,C467,$F$17:$F$502)</f>
        <v/>
      </c>
      <c r="H467" s="14">
        <f>=IFERROR($B$14/$B$10,"")</f>
        <v/>
      </c>
      <c r="I467" s="15">
        <f>=IFERROR(G467/H467,"")</f>
        <v/>
      </c>
      <c r="J467" s="16" t="n"/>
      <c r="K467" s="11" t="n"/>
      <c r="L467" s="17" t="n"/>
    </row>
    <row r="468" ht="18" customHeight="1">
      <c r="A468" s="10" t="n"/>
      <c r="B468" s="10" t="n"/>
      <c r="C468" s="10" t="n"/>
      <c r="D468" s="11" t="n"/>
      <c r="E468" s="12" t="n"/>
      <c r="F468" s="13" t="n"/>
      <c r="G468" s="14">
        <f>=SUMIF($C$17:$C$502,C468,$F$17:$F$502)</f>
        <v/>
      </c>
      <c r="H468" s="14">
        <f>=IFERROR($B$14/$B$10,"")</f>
        <v/>
      </c>
      <c r="I468" s="15">
        <f>=IFERROR(G468/H468,"")</f>
        <v/>
      </c>
      <c r="J468" s="16" t="n"/>
      <c r="K468" s="11" t="n"/>
      <c r="L468" s="17" t="n"/>
    </row>
    <row r="469" ht="18" customHeight="1">
      <c r="A469" s="10" t="n"/>
      <c r="B469" s="10" t="n"/>
      <c r="C469" s="10" t="n"/>
      <c r="D469" s="11" t="n"/>
      <c r="E469" s="12" t="n"/>
      <c r="F469" s="13" t="n"/>
      <c r="G469" s="14">
        <f>=SUMIF($C$17:$C$502,C469,$F$17:$F$502)</f>
        <v/>
      </c>
      <c r="H469" s="14">
        <f>=IFERROR($B$14/$B$10,"")</f>
        <v/>
      </c>
      <c r="I469" s="15">
        <f>=IFERROR(G469/H469,"")</f>
        <v/>
      </c>
      <c r="J469" s="16" t="n"/>
      <c r="K469" s="11" t="n"/>
      <c r="L469" s="17" t="n"/>
    </row>
    <row r="470" ht="18" customHeight="1">
      <c r="A470" s="10" t="n"/>
      <c r="B470" s="10" t="n"/>
      <c r="C470" s="10" t="n"/>
      <c r="D470" s="11" t="n"/>
      <c r="E470" s="12" t="n"/>
      <c r="F470" s="13" t="n"/>
      <c r="G470" s="14">
        <f>=SUMIF($C$17:$C$502,C470,$F$17:$F$502)</f>
        <v/>
      </c>
      <c r="H470" s="14">
        <f>=IFERROR($B$14/$B$10,"")</f>
        <v/>
      </c>
      <c r="I470" s="15">
        <f>=IFERROR(G470/H470,"")</f>
        <v/>
      </c>
      <c r="J470" s="16" t="n"/>
      <c r="K470" s="11" t="n"/>
      <c r="L470" s="17" t="n"/>
    </row>
    <row r="471" ht="18" customHeight="1">
      <c r="A471" s="10" t="n"/>
      <c r="B471" s="10" t="n"/>
      <c r="C471" s="10" t="n"/>
      <c r="D471" s="11" t="n"/>
      <c r="E471" s="12" t="n"/>
      <c r="F471" s="13" t="n"/>
      <c r="G471" s="14">
        <f>=SUMIF($C$17:$C$502,C471,$F$17:$F$502)</f>
        <v/>
      </c>
      <c r="H471" s="14">
        <f>=IFERROR($B$14/$B$10,"")</f>
        <v/>
      </c>
      <c r="I471" s="15">
        <f>=IFERROR(G471/H471,"")</f>
        <v/>
      </c>
      <c r="J471" s="16" t="n"/>
      <c r="K471" s="11" t="n"/>
      <c r="L471" s="17" t="n"/>
    </row>
    <row r="472" ht="18" customHeight="1">
      <c r="A472" s="10" t="n"/>
      <c r="B472" s="10" t="n"/>
      <c r="C472" s="10" t="n"/>
      <c r="D472" s="11" t="n"/>
      <c r="E472" s="12" t="n"/>
      <c r="F472" s="13" t="n"/>
      <c r="G472" s="14">
        <f>=SUMIF($C$17:$C$502,C472,$F$17:$F$502)</f>
        <v/>
      </c>
      <c r="H472" s="14">
        <f>=IFERROR($B$14/$B$10,"")</f>
        <v/>
      </c>
      <c r="I472" s="15">
        <f>=IFERROR(G472/H472,"")</f>
        <v/>
      </c>
      <c r="J472" s="16" t="n"/>
      <c r="K472" s="11" t="n"/>
      <c r="L472" s="17" t="n"/>
    </row>
    <row r="473" ht="18" customHeight="1">
      <c r="A473" s="10" t="n"/>
      <c r="B473" s="10" t="n"/>
      <c r="C473" s="10" t="n"/>
      <c r="D473" s="11" t="n"/>
      <c r="E473" s="12" t="n"/>
      <c r="F473" s="13" t="n"/>
      <c r="G473" s="14">
        <f>=SUMIF($C$17:$C$502,C473,$F$17:$F$502)</f>
        <v/>
      </c>
      <c r="H473" s="14">
        <f>=IFERROR($B$14/$B$10,"")</f>
        <v/>
      </c>
      <c r="I473" s="15">
        <f>=IFERROR(G473/H473,"")</f>
        <v/>
      </c>
      <c r="J473" s="16" t="n"/>
      <c r="K473" s="11" t="n"/>
      <c r="L473" s="17" t="n"/>
    </row>
    <row r="474" ht="18" customHeight="1">
      <c r="A474" s="10" t="n"/>
      <c r="B474" s="10" t="n"/>
      <c r="C474" s="10" t="n"/>
      <c r="D474" s="11" t="n"/>
      <c r="E474" s="12" t="n"/>
      <c r="F474" s="13" t="n"/>
      <c r="G474" s="14">
        <f>=SUMIF($C$17:$C$502,C474,$F$17:$F$502)</f>
        <v/>
      </c>
      <c r="H474" s="14">
        <f>=IFERROR($B$14/$B$10,"")</f>
        <v/>
      </c>
      <c r="I474" s="15">
        <f>=IFERROR(G474/H474,"")</f>
        <v/>
      </c>
      <c r="J474" s="16" t="n"/>
      <c r="K474" s="11" t="n"/>
      <c r="L474" s="17" t="n"/>
    </row>
    <row r="475" ht="18" customHeight="1">
      <c r="A475" s="10" t="n"/>
      <c r="B475" s="10" t="n"/>
      <c r="C475" s="10" t="n"/>
      <c r="D475" s="11" t="n"/>
      <c r="E475" s="12" t="n"/>
      <c r="F475" s="13" t="n"/>
      <c r="G475" s="14">
        <f>=SUMIF($C$17:$C$502,C475,$F$17:$F$502)</f>
        <v/>
      </c>
      <c r="H475" s="14">
        <f>=IFERROR($B$14/$B$10,"")</f>
        <v/>
      </c>
      <c r="I475" s="15">
        <f>=IFERROR(G475/H475,"")</f>
        <v/>
      </c>
      <c r="J475" s="16" t="n"/>
      <c r="K475" s="11" t="n"/>
      <c r="L475" s="17" t="n"/>
    </row>
    <row r="476" ht="18" customHeight="1">
      <c r="A476" s="10" t="n"/>
      <c r="B476" s="10" t="n"/>
      <c r="C476" s="10" t="n"/>
      <c r="D476" s="11" t="n"/>
      <c r="E476" s="12" t="n"/>
      <c r="F476" s="13" t="n"/>
      <c r="G476" s="14">
        <f>=SUMIF($C$17:$C$502,C476,$F$17:$F$502)</f>
        <v/>
      </c>
      <c r="H476" s="14">
        <f>=IFERROR($B$14/$B$10,"")</f>
        <v/>
      </c>
      <c r="I476" s="15">
        <f>=IFERROR(G476/H476,"")</f>
        <v/>
      </c>
      <c r="J476" s="16" t="n"/>
      <c r="K476" s="11" t="n"/>
      <c r="L476" s="17" t="n"/>
    </row>
    <row r="477" ht="18" customHeight="1">
      <c r="A477" s="10" t="n"/>
      <c r="B477" s="10" t="n"/>
      <c r="C477" s="10" t="n"/>
      <c r="D477" s="11" t="n"/>
      <c r="E477" s="12" t="n"/>
      <c r="F477" s="13" t="n"/>
      <c r="G477" s="14">
        <f>=SUMIF($C$17:$C$502,C477,$F$17:$F$502)</f>
        <v/>
      </c>
      <c r="H477" s="14">
        <f>=IFERROR($B$14/$B$10,"")</f>
        <v/>
      </c>
      <c r="I477" s="15">
        <f>=IFERROR(G477/H477,"")</f>
        <v/>
      </c>
      <c r="J477" s="16" t="n"/>
      <c r="K477" s="11" t="n"/>
      <c r="L477" s="17" t="n"/>
    </row>
    <row r="478" ht="18" customHeight="1">
      <c r="A478" s="10" t="n"/>
      <c r="B478" s="10" t="n"/>
      <c r="C478" s="10" t="n"/>
      <c r="D478" s="11" t="n"/>
      <c r="E478" s="12" t="n"/>
      <c r="F478" s="13" t="n"/>
      <c r="G478" s="14">
        <f>=SUMIF($C$17:$C$502,C478,$F$17:$F$502)</f>
        <v/>
      </c>
      <c r="H478" s="14">
        <f>=IFERROR($B$14/$B$10,"")</f>
        <v/>
      </c>
      <c r="I478" s="15">
        <f>=IFERROR(G478/H478,"")</f>
        <v/>
      </c>
      <c r="J478" s="16" t="n"/>
      <c r="K478" s="11" t="n"/>
      <c r="L478" s="17" t="n"/>
    </row>
    <row r="479" ht="18" customHeight="1">
      <c r="A479" s="10" t="n"/>
      <c r="B479" s="10" t="n"/>
      <c r="C479" s="10" t="n"/>
      <c r="D479" s="11" t="n"/>
      <c r="E479" s="12" t="n"/>
      <c r="F479" s="13" t="n"/>
      <c r="G479" s="14">
        <f>=SUMIF($C$17:$C$502,C479,$F$17:$F$502)</f>
        <v/>
      </c>
      <c r="H479" s="14">
        <f>=IFERROR($B$14/$B$10,"")</f>
        <v/>
      </c>
      <c r="I479" s="15">
        <f>=IFERROR(G479/H479,"")</f>
        <v/>
      </c>
      <c r="J479" s="16" t="n"/>
      <c r="K479" s="11" t="n"/>
      <c r="L479" s="17" t="n"/>
    </row>
    <row r="480" ht="18" customHeight="1">
      <c r="A480" s="10" t="n"/>
      <c r="B480" s="10" t="n"/>
      <c r="C480" s="10" t="n"/>
      <c r="D480" s="11" t="n"/>
      <c r="E480" s="12" t="n"/>
      <c r="F480" s="13" t="n"/>
      <c r="G480" s="14">
        <f>=SUMIF($C$17:$C$502,C480,$F$17:$F$502)</f>
        <v/>
      </c>
      <c r="H480" s="14">
        <f>=IFERROR($B$14/$B$10,"")</f>
        <v/>
      </c>
      <c r="I480" s="15">
        <f>=IFERROR(G480/H480,"")</f>
        <v/>
      </c>
      <c r="J480" s="16" t="n"/>
      <c r="K480" s="11" t="n"/>
      <c r="L480" s="17" t="n"/>
    </row>
    <row r="481" ht="18" customHeight="1">
      <c r="A481" s="10" t="n"/>
      <c r="B481" s="10" t="n"/>
      <c r="C481" s="10" t="n"/>
      <c r="D481" s="11" t="n"/>
      <c r="E481" s="12" t="n"/>
      <c r="F481" s="13" t="n"/>
      <c r="G481" s="14">
        <f>=SUMIF($C$17:$C$502,C481,$F$17:$F$502)</f>
        <v/>
      </c>
      <c r="H481" s="14">
        <f>=IFERROR($B$14/$B$10,"")</f>
        <v/>
      </c>
      <c r="I481" s="15">
        <f>=IFERROR(G481/H481,"")</f>
        <v/>
      </c>
      <c r="J481" s="16" t="n"/>
      <c r="K481" s="11" t="n"/>
      <c r="L481" s="17" t="n"/>
    </row>
    <row r="482" ht="18" customHeight="1">
      <c r="A482" s="10" t="n"/>
      <c r="B482" s="10" t="n"/>
      <c r="C482" s="10" t="n"/>
      <c r="D482" s="11" t="n"/>
      <c r="E482" s="12" t="n"/>
      <c r="F482" s="13" t="n"/>
      <c r="G482" s="14">
        <f>=SUMIF($C$17:$C$502,C482,$F$17:$F$502)</f>
        <v/>
      </c>
      <c r="H482" s="14">
        <f>=IFERROR($B$14/$B$10,"")</f>
        <v/>
      </c>
      <c r="I482" s="15">
        <f>=IFERROR(G482/H482,"")</f>
        <v/>
      </c>
      <c r="J482" s="16" t="n"/>
      <c r="K482" s="11" t="n"/>
      <c r="L482" s="17" t="n"/>
    </row>
    <row r="483" ht="18" customHeight="1">
      <c r="A483" s="10" t="n"/>
      <c r="B483" s="10" t="n"/>
      <c r="C483" s="10" t="n"/>
      <c r="D483" s="11" t="n"/>
      <c r="E483" s="12" t="n"/>
      <c r="F483" s="13" t="n"/>
      <c r="G483" s="14">
        <f>=SUMIF($C$17:$C$502,C483,$F$17:$F$502)</f>
        <v/>
      </c>
      <c r="H483" s="14">
        <f>=IFERROR($B$14/$B$10,"")</f>
        <v/>
      </c>
      <c r="I483" s="15">
        <f>=IFERROR(G483/H483,"")</f>
        <v/>
      </c>
      <c r="J483" s="16" t="n"/>
      <c r="K483" s="11" t="n"/>
      <c r="L483" s="17" t="n"/>
    </row>
    <row r="484" ht="18" customHeight="1">
      <c r="A484" s="10" t="n"/>
      <c r="B484" s="10" t="n"/>
      <c r="C484" s="10" t="n"/>
      <c r="D484" s="11" t="n"/>
      <c r="E484" s="12" t="n"/>
      <c r="F484" s="13" t="n"/>
      <c r="G484" s="14">
        <f>=SUMIF($C$17:$C$502,C484,$F$17:$F$502)</f>
        <v/>
      </c>
      <c r="H484" s="14">
        <f>=IFERROR($B$14/$B$10,"")</f>
        <v/>
      </c>
      <c r="I484" s="15">
        <f>=IFERROR(G484/H484,"")</f>
        <v/>
      </c>
      <c r="J484" s="16" t="n"/>
      <c r="K484" s="11" t="n"/>
      <c r="L484" s="17" t="n"/>
    </row>
    <row r="485" ht="18" customHeight="1">
      <c r="A485" s="10" t="n"/>
      <c r="B485" s="10" t="n"/>
      <c r="C485" s="10" t="n"/>
      <c r="D485" s="11" t="n"/>
      <c r="E485" s="12" t="n"/>
      <c r="F485" s="13" t="n"/>
      <c r="G485" s="14">
        <f>=SUMIF($C$17:$C$502,C485,$F$17:$F$502)</f>
        <v/>
      </c>
      <c r="H485" s="14">
        <f>=IFERROR($B$14/$B$10,"")</f>
        <v/>
      </c>
      <c r="I485" s="15">
        <f>=IFERROR(G485/H485,"")</f>
        <v/>
      </c>
      <c r="J485" s="16" t="n"/>
      <c r="K485" s="11" t="n"/>
      <c r="L485" s="17" t="n"/>
    </row>
    <row r="486" ht="18" customHeight="1">
      <c r="A486" s="10" t="n"/>
      <c r="B486" s="10" t="n"/>
      <c r="C486" s="10" t="n"/>
      <c r="D486" s="11" t="n"/>
      <c r="E486" s="12" t="n"/>
      <c r="F486" s="13" t="n"/>
      <c r="G486" s="14">
        <f>=SUMIF($C$17:$C$502,C486,$F$17:$F$502)</f>
        <v/>
      </c>
      <c r="H486" s="14">
        <f>=IFERROR($B$14/$B$10,"")</f>
        <v/>
      </c>
      <c r="I486" s="15">
        <f>=IFERROR(G486/H486,"")</f>
        <v/>
      </c>
      <c r="J486" s="16" t="n"/>
      <c r="K486" s="11" t="n"/>
      <c r="L486" s="17" t="n"/>
    </row>
    <row r="487" ht="18" customHeight="1">
      <c r="A487" s="10" t="n"/>
      <c r="B487" s="10" t="n"/>
      <c r="C487" s="10" t="n"/>
      <c r="D487" s="11" t="n"/>
      <c r="E487" s="12" t="n"/>
      <c r="F487" s="13" t="n"/>
      <c r="G487" s="14">
        <f>=SUMIF($C$17:$C$502,C487,$F$17:$F$502)</f>
        <v/>
      </c>
      <c r="H487" s="14">
        <f>=IFERROR($B$14/$B$10,"")</f>
        <v/>
      </c>
      <c r="I487" s="15">
        <f>=IFERROR(G487/H487,"")</f>
        <v/>
      </c>
      <c r="J487" s="16" t="n"/>
      <c r="K487" s="11" t="n"/>
      <c r="L487" s="17" t="n"/>
    </row>
    <row r="488" ht="18" customHeight="1">
      <c r="A488" s="10" t="n"/>
      <c r="B488" s="10" t="n"/>
      <c r="C488" s="10" t="n"/>
      <c r="D488" s="11" t="n"/>
      <c r="E488" s="12" t="n"/>
      <c r="F488" s="13" t="n"/>
      <c r="G488" s="14">
        <f>=SUMIF($C$17:$C$502,C488,$F$17:$F$502)</f>
        <v/>
      </c>
      <c r="H488" s="14">
        <f>=IFERROR($B$14/$B$10,"")</f>
        <v/>
      </c>
      <c r="I488" s="15">
        <f>=IFERROR(G488/H488,"")</f>
        <v/>
      </c>
      <c r="J488" s="16" t="n"/>
      <c r="K488" s="11" t="n"/>
      <c r="L488" s="17" t="n"/>
    </row>
    <row r="489" ht="18" customHeight="1">
      <c r="A489" s="10" t="n"/>
      <c r="B489" s="10" t="n"/>
      <c r="C489" s="10" t="n"/>
      <c r="D489" s="11" t="n"/>
      <c r="E489" s="12" t="n"/>
      <c r="F489" s="13" t="n"/>
      <c r="G489" s="14">
        <f>=SUMIF($C$17:$C$502,C489,$F$17:$F$502)</f>
        <v/>
      </c>
      <c r="H489" s="14">
        <f>=IFERROR($B$14/$B$10,"")</f>
        <v/>
      </c>
      <c r="I489" s="15">
        <f>=IFERROR(G489/H489,"")</f>
        <v/>
      </c>
      <c r="J489" s="16" t="n"/>
      <c r="K489" s="11" t="n"/>
      <c r="L489" s="17" t="n"/>
    </row>
    <row r="490" ht="18" customHeight="1">
      <c r="A490" s="10" t="n"/>
      <c r="B490" s="10" t="n"/>
      <c r="C490" s="10" t="n"/>
      <c r="D490" s="11" t="n"/>
      <c r="E490" s="12" t="n"/>
      <c r="F490" s="13" t="n"/>
      <c r="G490" s="14">
        <f>=SUMIF($C$17:$C$502,C490,$F$17:$F$502)</f>
        <v/>
      </c>
      <c r="H490" s="14">
        <f>=IFERROR($B$14/$B$10,"")</f>
        <v/>
      </c>
      <c r="I490" s="15">
        <f>=IFERROR(G490/H490,"")</f>
        <v/>
      </c>
      <c r="J490" s="16" t="n"/>
      <c r="K490" s="11" t="n"/>
      <c r="L490" s="17" t="n"/>
    </row>
    <row r="491" ht="18" customHeight="1">
      <c r="A491" s="10" t="n"/>
      <c r="B491" s="10" t="n"/>
      <c r="C491" s="10" t="n"/>
      <c r="D491" s="11" t="n"/>
      <c r="E491" s="12" t="n"/>
      <c r="F491" s="13" t="n"/>
      <c r="G491" s="14">
        <f>=SUMIF($C$17:$C$502,C491,$F$17:$F$502)</f>
        <v/>
      </c>
      <c r="H491" s="14">
        <f>=IFERROR($B$14/$B$10,"")</f>
        <v/>
      </c>
      <c r="I491" s="15">
        <f>=IFERROR(G491/H491,"")</f>
        <v/>
      </c>
      <c r="J491" s="16" t="n"/>
      <c r="K491" s="11" t="n"/>
      <c r="L491" s="17" t="n"/>
    </row>
    <row r="492" ht="18" customHeight="1">
      <c r="A492" s="10" t="n"/>
      <c r="B492" s="10" t="n"/>
      <c r="C492" s="10" t="n"/>
      <c r="D492" s="11" t="n"/>
      <c r="E492" s="12" t="n"/>
      <c r="F492" s="13" t="n"/>
      <c r="G492" s="14">
        <f>=SUMIF($C$17:$C$502,C492,$F$17:$F$502)</f>
        <v/>
      </c>
      <c r="H492" s="14">
        <f>=IFERROR($B$14/$B$10,"")</f>
        <v/>
      </c>
      <c r="I492" s="15">
        <f>=IFERROR(G492/H492,"")</f>
        <v/>
      </c>
      <c r="J492" s="16" t="n"/>
      <c r="K492" s="11" t="n"/>
      <c r="L492" s="17" t="n"/>
    </row>
    <row r="493" ht="18" customHeight="1">
      <c r="A493" s="10" t="n"/>
      <c r="B493" s="10" t="n"/>
      <c r="C493" s="10" t="n"/>
      <c r="D493" s="11" t="n"/>
      <c r="E493" s="12" t="n"/>
      <c r="F493" s="13" t="n"/>
      <c r="G493" s="14">
        <f>=SUMIF($C$17:$C$502,C493,$F$17:$F$502)</f>
        <v/>
      </c>
      <c r="H493" s="14">
        <f>=IFERROR($B$14/$B$10,"")</f>
        <v/>
      </c>
      <c r="I493" s="15">
        <f>=IFERROR(G493/H493,"")</f>
        <v/>
      </c>
      <c r="J493" s="16" t="n"/>
      <c r="K493" s="11" t="n"/>
      <c r="L493" s="17" t="n"/>
    </row>
    <row r="494" ht="18" customHeight="1">
      <c r="A494" s="10" t="n"/>
      <c r="B494" s="10" t="n"/>
      <c r="C494" s="10" t="n"/>
      <c r="D494" s="11" t="n"/>
      <c r="E494" s="12" t="n"/>
      <c r="F494" s="13" t="n"/>
      <c r="G494" s="14">
        <f>=SUMIF($C$17:$C$502,C494,$F$17:$F$502)</f>
        <v/>
      </c>
      <c r="H494" s="14">
        <f>=IFERROR($B$14/$B$10,"")</f>
        <v/>
      </c>
      <c r="I494" s="15">
        <f>=IFERROR(G494/H494,"")</f>
        <v/>
      </c>
      <c r="J494" s="16" t="n"/>
      <c r="K494" s="11" t="n"/>
      <c r="L494" s="17" t="n"/>
    </row>
    <row r="495" ht="18" customHeight="1">
      <c r="A495" s="10" t="n"/>
      <c r="B495" s="10" t="n"/>
      <c r="C495" s="10" t="n"/>
      <c r="D495" s="11" t="n"/>
      <c r="E495" s="12" t="n"/>
      <c r="F495" s="13" t="n"/>
      <c r="G495" s="14">
        <f>=SUMIF($C$17:$C$502,C495,$F$17:$F$502)</f>
        <v/>
      </c>
      <c r="H495" s="14">
        <f>=IFERROR($B$14/$B$10,"")</f>
        <v/>
      </c>
      <c r="I495" s="15">
        <f>=IFERROR(G495/H495,"")</f>
        <v/>
      </c>
      <c r="J495" s="16" t="n"/>
      <c r="K495" s="11" t="n"/>
      <c r="L495" s="17" t="n"/>
    </row>
    <row r="496" ht="18" customHeight="1">
      <c r="A496" s="10" t="n"/>
      <c r="B496" s="10" t="n"/>
      <c r="C496" s="10" t="n"/>
      <c r="D496" s="11" t="n"/>
      <c r="E496" s="12" t="n"/>
      <c r="F496" s="13" t="n"/>
      <c r="G496" s="14">
        <f>=SUMIF($C$17:$C$502,C496,$F$17:$F$502)</f>
        <v/>
      </c>
      <c r="H496" s="14">
        <f>=IFERROR($B$14/$B$10,"")</f>
        <v/>
      </c>
      <c r="I496" s="15">
        <f>=IFERROR(G496/H496,"")</f>
        <v/>
      </c>
      <c r="J496" s="16" t="n"/>
      <c r="K496" s="11" t="n"/>
      <c r="L496" s="17" t="n"/>
    </row>
    <row r="497" ht="18" customHeight="1">
      <c r="A497" s="10" t="n"/>
      <c r="B497" s="10" t="n"/>
      <c r="C497" s="10" t="n"/>
      <c r="D497" s="11" t="n"/>
      <c r="E497" s="12" t="n"/>
      <c r="F497" s="13" t="n"/>
      <c r="G497" s="14">
        <f>=SUMIF($C$17:$C$502,C497,$F$17:$F$502)</f>
        <v/>
      </c>
      <c r="H497" s="14">
        <f>=IFERROR($B$14/$B$10,"")</f>
        <v/>
      </c>
      <c r="I497" s="15">
        <f>=IFERROR(G497/H497,"")</f>
        <v/>
      </c>
      <c r="J497" s="16" t="n"/>
      <c r="K497" s="11" t="n"/>
      <c r="L497" s="17" t="n"/>
    </row>
    <row r="498" ht="18" customHeight="1">
      <c r="A498" s="10" t="n"/>
      <c r="B498" s="10" t="n"/>
      <c r="C498" s="10" t="n"/>
      <c r="D498" s="11" t="n"/>
      <c r="E498" s="12" t="n"/>
      <c r="F498" s="13" t="n"/>
      <c r="G498" s="14">
        <f>=SUMIF($C$17:$C$502,C498,$F$17:$F$502)</f>
        <v/>
      </c>
      <c r="H498" s="14">
        <f>=IFERROR($B$14/$B$10,"")</f>
        <v/>
      </c>
      <c r="I498" s="15">
        <f>=IFERROR(G498/H498,"")</f>
        <v/>
      </c>
      <c r="J498" s="16" t="n"/>
      <c r="K498" s="11" t="n"/>
      <c r="L498" s="17" t="n"/>
    </row>
    <row r="499" ht="18" customHeight="1">
      <c r="A499" s="10" t="n"/>
      <c r="B499" s="10" t="n"/>
      <c r="C499" s="10" t="n"/>
      <c r="D499" s="11" t="n"/>
      <c r="E499" s="12" t="n"/>
      <c r="F499" s="13" t="n"/>
      <c r="G499" s="14">
        <f>=SUMIF($C$17:$C$502,C499,$F$17:$F$502)</f>
        <v/>
      </c>
      <c r="H499" s="14">
        <f>=IFERROR($B$14/$B$10,"")</f>
        <v/>
      </c>
      <c r="I499" s="15">
        <f>=IFERROR(G499/H499,"")</f>
        <v/>
      </c>
      <c r="J499" s="16" t="n"/>
      <c r="K499" s="11" t="n"/>
      <c r="L499" s="17" t="n"/>
    </row>
    <row r="500" ht="18" customHeight="1">
      <c r="A500" s="10" t="n"/>
      <c r="B500" s="10" t="n"/>
      <c r="C500" s="10" t="n"/>
      <c r="D500" s="11" t="n"/>
      <c r="E500" s="12" t="n"/>
      <c r="F500" s="13" t="n"/>
      <c r="G500" s="14">
        <f>=SUMIF($C$17:$C$502,C500,$F$17:$F$502)</f>
        <v/>
      </c>
      <c r="H500" s="14">
        <f>=IFERROR($B$14/$B$10,"")</f>
        <v/>
      </c>
      <c r="I500" s="15">
        <f>=IFERROR(G500/H500,"")</f>
        <v/>
      </c>
      <c r="J500" s="16" t="n"/>
      <c r="K500" s="11" t="n"/>
      <c r="L500" s="17" t="n"/>
    </row>
    <row r="501" ht="18" customHeight="1">
      <c r="A501" s="10" t="n"/>
      <c r="B501" s="10" t="n"/>
      <c r="C501" s="10" t="n"/>
      <c r="D501" s="11" t="n"/>
      <c r="E501" s="12" t="n"/>
      <c r="F501" s="13" t="n"/>
      <c r="G501" s="14">
        <f>=SUMIF($C$17:$C$502,C501,$F$17:$F$502)</f>
        <v/>
      </c>
      <c r="H501" s="14">
        <f>=IFERROR($B$14/$B$10,"")</f>
        <v/>
      </c>
      <c r="I501" s="15">
        <f>=IFERROR(G501/H501,"")</f>
        <v/>
      </c>
      <c r="J501" s="16" t="n"/>
      <c r="K501" s="11" t="n"/>
      <c r="L501" s="17" t="n"/>
    </row>
    <row r="502" ht="18" customHeight="1">
      <c r="A502" s="10" t="n"/>
      <c r="B502" s="10" t="n"/>
      <c r="C502" s="10" t="n"/>
      <c r="D502" s="11" t="n"/>
      <c r="E502" s="12" t="n"/>
      <c r="F502" s="13" t="n"/>
      <c r="G502" s="14">
        <f>=SUMIF($C$17:$C$502,C502,$F$17:$F$502)</f>
        <v/>
      </c>
      <c r="H502" s="14">
        <f>=IFERROR($B$14/$B$10,"")</f>
        <v/>
      </c>
      <c r="I502" s="15">
        <f>=IFERROR(G502/H502,"")</f>
        <v/>
      </c>
      <c r="J502" s="16" t="n"/>
      <c r="K502" s="11" t="n"/>
      <c r="L502" s="17" t="n"/>
    </row>
  </sheetData>
  <mergeCells count="13">
    <mergeCell ref="C5:L5"/>
    <mergeCell ref="C13:L13"/>
    <mergeCell ref="C8:L8"/>
    <mergeCell ref="C9:L9"/>
    <mergeCell ref="C4:L4"/>
    <mergeCell ref="A1:L1"/>
    <mergeCell ref="C3:L3"/>
    <mergeCell ref="C11:L11"/>
    <mergeCell ref="C7:L7"/>
    <mergeCell ref="C12:L12"/>
    <mergeCell ref="C6:L6"/>
    <mergeCell ref="C10:L10"/>
    <mergeCell ref="C14:L14"/>
  </mergeCells>
  <dataValidations count="5">
    <dataValidation sqref="A17:A502" showDropDown="0" showInputMessage="0" showErrorMessage="0" allowBlank="1" type="list">
      <formula1>Config!$B$1:$B$50</formula1>
    </dataValidation>
    <dataValidation sqref="B17:B502" showDropDown="0" showInputMessage="0" showErrorMessage="0" allowBlank="1" type="list">
      <formula1>Config!$I$1:$I$2</formula1>
    </dataValidation>
    <dataValidation sqref="C17:C502" showDropDown="0" showInputMessage="0" showErrorMessage="0" allowBlank="1" type="list">
      <formula1>Config!$A$1:$A$100</formula1>
    </dataValidation>
    <dataValidation sqref="E17:E502" showDropDown="0" showInputMessage="0" showErrorMessage="0" allowBlank="1" type="list">
      <formula1>Config!$E$1:$E$138</formula1>
    </dataValidation>
    <dataValidation sqref="L17:L502" showDropDown="0" showInputMessage="0" showErrorMessage="0" allowBlank="1" type="list">
      <formula1>Config!$H$1:$H$224</formula1>
    </dataValidation>
  </dataValidations>
  <pageMargins left="0.7" right="0.7" top="0.75" bottom="0.75" header="0.3" footer="0.3"/>
  <pageSetup orientation="portrait" scale="100" fitToHeight="1" fitToWidth="1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24"/>
  <sheetViews>
    <sheetView workbookViewId="0">
      <selection activeCell="A1" sqref="A1"/>
    </sheetView>
  </sheetViews>
  <sheetFormatPr baseColWidth="8" defaultRowHeight="15" outlineLevelRow="0"/>
  <sheetData>
    <row r="1">
      <c r="A1" t="inlineStr">
        <is>
          <t>WS01</t>
        </is>
      </c>
      <c r="B1" t="inlineStr">
        <is>
          <t>G1</t>
        </is>
      </c>
      <c r="C1" t="inlineStr">
        <is>
          <t>OP-0011</t>
        </is>
      </c>
      <c r="D1" t="inlineStr">
        <is>
          <t>Cleaning</t>
        </is>
      </c>
      <c r="E1" t="inlineStr">
        <is>
          <t>OP-0011 | Cleaning</t>
        </is>
      </c>
      <c r="F1" t="inlineStr">
        <is>
          <t>LPDS95761</t>
        </is>
      </c>
      <c r="G1" t="inlineStr">
        <is>
          <t>A FATHIMA</t>
        </is>
      </c>
      <c r="H1" t="inlineStr">
        <is>
          <t>LPDS95761 | A FATHIMA</t>
        </is>
      </c>
      <c r="I1" t="inlineStr">
        <is>
          <t>☐</t>
        </is>
      </c>
    </row>
    <row r="2">
      <c r="A2" t="inlineStr">
        <is>
          <t>WS02</t>
        </is>
      </c>
      <c r="B2" t="inlineStr">
        <is>
          <t>G2</t>
        </is>
      </c>
      <c r="C2" t="inlineStr">
        <is>
          <t>OP-0014</t>
        </is>
      </c>
      <c r="D2" t="inlineStr">
        <is>
          <t>Heating</t>
        </is>
      </c>
      <c r="E2" t="inlineStr">
        <is>
          <t>OP-0014 | Heating</t>
        </is>
      </c>
      <c r="F2" t="inlineStr">
        <is>
          <t>LPDS95657</t>
        </is>
      </c>
      <c r="G2" t="inlineStr">
        <is>
          <t>A JOTHI</t>
        </is>
      </c>
      <c r="H2" t="inlineStr">
        <is>
          <t>LPDS95657 | A JOTHI</t>
        </is>
      </c>
      <c r="I2" t="inlineStr">
        <is>
          <t>☑</t>
        </is>
      </c>
    </row>
    <row r="3">
      <c r="A3" t="inlineStr">
        <is>
          <t>WS03</t>
        </is>
      </c>
      <c r="B3" t="inlineStr">
        <is>
          <t>G3</t>
        </is>
      </c>
      <c r="C3" t="inlineStr">
        <is>
          <t>OP-0015</t>
        </is>
      </c>
      <c r="D3" t="inlineStr">
        <is>
          <t>board with lining attatching &amp;  1st primer</t>
        </is>
      </c>
      <c r="E3" t="inlineStr">
        <is>
          <t>OP-0015 | board with lining attatching &amp;  1st primer</t>
        </is>
      </c>
      <c r="F3" t="inlineStr">
        <is>
          <t>LPD11959</t>
        </is>
      </c>
      <c r="G3" t="inlineStr">
        <is>
          <t>A MEENAKSHI</t>
        </is>
      </c>
      <c r="H3" t="inlineStr">
        <is>
          <t>LPD11959 | A MEENAKSHI</t>
        </is>
      </c>
    </row>
    <row r="4">
      <c r="A4" t="inlineStr">
        <is>
          <t>WS04</t>
        </is>
      </c>
      <c r="B4" t="inlineStr">
        <is>
          <t>G4</t>
        </is>
      </c>
      <c r="C4" t="inlineStr">
        <is>
          <t>OP-0016</t>
        </is>
      </c>
      <c r="D4" t="inlineStr">
        <is>
          <t>die process</t>
        </is>
      </c>
      <c r="E4" t="inlineStr">
        <is>
          <t>OP-0016 | die process</t>
        </is>
      </c>
      <c r="F4" t="inlineStr">
        <is>
          <t>LPD02946</t>
        </is>
      </c>
      <c r="G4" t="inlineStr">
        <is>
          <t>A. ALEMELU</t>
        </is>
      </c>
      <c r="H4" t="inlineStr">
        <is>
          <t>LPD02946 | A. ALEMELU</t>
        </is>
      </c>
    </row>
    <row r="5">
      <c r="A5" t="inlineStr">
        <is>
          <t>WS05</t>
        </is>
      </c>
      <c r="B5" t="inlineStr">
        <is>
          <t>G5</t>
        </is>
      </c>
      <c r="C5" t="inlineStr">
        <is>
          <t>OP-0017</t>
        </is>
      </c>
      <c r="D5" t="inlineStr">
        <is>
          <t>Pasting on patti (5*1 Nos)</t>
        </is>
      </c>
      <c r="E5" t="inlineStr">
        <is>
          <t>OP-0017 | Pasting on patti (5*1 Nos)</t>
        </is>
      </c>
      <c r="F5" t="inlineStr">
        <is>
          <t>LPD07479</t>
        </is>
      </c>
      <c r="G5" t="inlineStr">
        <is>
          <t>A. CHANMA</t>
        </is>
      </c>
      <c r="H5" t="inlineStr">
        <is>
          <t>LPD07479 | A. CHANMA</t>
        </is>
      </c>
    </row>
    <row r="6">
      <c r="A6" t="inlineStr">
        <is>
          <t>WS06</t>
        </is>
      </c>
      <c r="B6" t="inlineStr">
        <is>
          <t>G6</t>
        </is>
      </c>
      <c r="C6" t="inlineStr">
        <is>
          <t>OP-0018</t>
        </is>
      </c>
      <c r="D6" t="inlineStr">
        <is>
          <t>Attaching step patti (4*1 Nos)</t>
        </is>
      </c>
      <c r="E6" t="inlineStr">
        <is>
          <t>OP-0018 | Attaching step patti (4*1 Nos)</t>
        </is>
      </c>
      <c r="F6" t="inlineStr">
        <is>
          <t>LPD10419</t>
        </is>
      </c>
      <c r="G6" t="inlineStr">
        <is>
          <t>A. FARHANA BEGAM</t>
        </is>
      </c>
      <c r="H6" t="inlineStr">
        <is>
          <t>LPD10419 | A. FARHANA BEGAM</t>
        </is>
      </c>
    </row>
    <row r="7">
      <c r="A7" t="inlineStr">
        <is>
          <t>WS07</t>
        </is>
      </c>
      <c r="B7" t="inlineStr">
        <is>
          <t>G7</t>
        </is>
      </c>
      <c r="C7" t="inlineStr">
        <is>
          <t>OP-0019</t>
        </is>
      </c>
      <c r="D7" t="inlineStr">
        <is>
          <t>Pasting on stamp &amp; pkt  (1-Nos)</t>
        </is>
      </c>
      <c r="E7" t="inlineStr">
        <is>
          <t>OP-0019 | Pasting on stamp &amp; pkt  (1-Nos)</t>
        </is>
      </c>
      <c r="F7" t="inlineStr">
        <is>
          <t>LPD07739</t>
        </is>
      </c>
      <c r="G7" t="inlineStr">
        <is>
          <t>A. JAMEELA</t>
        </is>
      </c>
      <c r="H7" t="inlineStr">
        <is>
          <t>LPD07739 | A. JAMEELA</t>
        </is>
      </c>
    </row>
    <row r="8">
      <c r="A8" t="inlineStr">
        <is>
          <t>WS08</t>
        </is>
      </c>
      <c r="B8" t="inlineStr">
        <is>
          <t>G8</t>
        </is>
      </c>
      <c r="C8" t="inlineStr">
        <is>
          <t>OP-0020</t>
        </is>
      </c>
      <c r="D8" t="inlineStr">
        <is>
          <t>Attaching stamp with cc pkt</t>
        </is>
      </c>
      <c r="E8" t="inlineStr">
        <is>
          <t>OP-0020 | Attaching stamp with cc pkt</t>
        </is>
      </c>
      <c r="F8" t="inlineStr">
        <is>
          <t>LPD00059</t>
        </is>
      </c>
      <c r="G8" t="inlineStr">
        <is>
          <t>A. NOORUN</t>
        </is>
      </c>
      <c r="H8" t="inlineStr">
        <is>
          <t>LPD00059 | A. NOORUN</t>
        </is>
      </c>
    </row>
    <row r="9">
      <c r="A9" t="inlineStr">
        <is>
          <t>WS09</t>
        </is>
      </c>
      <c r="B9" t="inlineStr">
        <is>
          <t>G9</t>
        </is>
      </c>
      <c r="C9" t="inlineStr">
        <is>
          <t>OP-0021</t>
        </is>
      </c>
      <c r="D9" t="inlineStr">
        <is>
          <t>Pasting on patti (4*1 Nos)</t>
        </is>
      </c>
      <c r="E9" t="inlineStr">
        <is>
          <t>OP-0021 | Pasting on patti (4*1 Nos)</t>
        </is>
      </c>
      <c r="F9" t="inlineStr">
        <is>
          <t>LPD03353</t>
        </is>
      </c>
      <c r="G9" t="inlineStr">
        <is>
          <t>A. RAFI</t>
        </is>
      </c>
      <c r="H9" t="inlineStr">
        <is>
          <t>LPD03353 | A. RAFI</t>
        </is>
      </c>
    </row>
    <row r="10">
      <c r="A10" t="inlineStr">
        <is>
          <t>WS10</t>
        </is>
      </c>
      <c r="B10" t="inlineStr">
        <is>
          <t>G10</t>
        </is>
      </c>
      <c r="C10" t="inlineStr">
        <is>
          <t>OP-0022</t>
        </is>
      </c>
      <c r="D10" t="inlineStr">
        <is>
          <t>Attaching step patti (3*1 Nos)</t>
        </is>
      </c>
      <c r="E10" t="inlineStr">
        <is>
          <t>OP-0022 | Attaching step patti (3*1 Nos)</t>
        </is>
      </c>
      <c r="F10" t="inlineStr">
        <is>
          <t>LPD07294</t>
        </is>
      </c>
      <c r="G10" t="inlineStr">
        <is>
          <t>A. RAMEZA</t>
        </is>
      </c>
      <c r="H10" t="inlineStr">
        <is>
          <t>LPD07294 | A. RAMEZA</t>
        </is>
      </c>
    </row>
    <row r="11">
      <c r="A11" t="inlineStr">
        <is>
          <t>WS11</t>
        </is>
      </c>
      <c r="B11" t="inlineStr">
        <is>
          <t>G11</t>
        </is>
      </c>
      <c r="C11" t="inlineStr">
        <is>
          <t>OP-0023</t>
        </is>
      </c>
      <c r="D11" t="inlineStr">
        <is>
          <t>Stitching the lining (4*1 Nos)</t>
        </is>
      </c>
      <c r="E11" t="inlineStr">
        <is>
          <t>OP-0023 | Stitching the lining (4*1 Nos)</t>
        </is>
      </c>
      <c r="F11" t="inlineStr">
        <is>
          <t>LPD00601</t>
        </is>
      </c>
      <c r="G11" t="inlineStr">
        <is>
          <t>A. SADIKHA</t>
        </is>
      </c>
      <c r="H11" t="inlineStr">
        <is>
          <t>LPD00601 | A. SADIKHA</t>
        </is>
      </c>
    </row>
    <row r="12">
      <c r="A12" t="inlineStr">
        <is>
          <t>WS12</t>
        </is>
      </c>
      <c r="B12" t="inlineStr">
        <is>
          <t>G12</t>
        </is>
      </c>
      <c r="C12" t="inlineStr">
        <is>
          <t>OP-0024</t>
        </is>
      </c>
      <c r="D12" t="inlineStr">
        <is>
          <t>Stitching closing  lining (1*1 Nos)</t>
        </is>
      </c>
      <c r="E12" t="inlineStr">
        <is>
          <t>OP-0024 | Stitching closing  lining (1*1 Nos)</t>
        </is>
      </c>
      <c r="F12" t="inlineStr">
        <is>
          <t>LPD09996</t>
        </is>
      </c>
      <c r="G12" t="inlineStr">
        <is>
          <t>A. YASEEN BEE</t>
        </is>
      </c>
      <c r="H12" t="inlineStr">
        <is>
          <t>LPD09996 | A. YASEEN BEE</t>
        </is>
      </c>
    </row>
    <row r="13">
      <c r="A13" t="inlineStr">
        <is>
          <t>WS13</t>
        </is>
      </c>
      <c r="B13" t="inlineStr">
        <is>
          <t>G13</t>
        </is>
      </c>
      <c r="C13" t="inlineStr">
        <is>
          <t>OP-0025</t>
        </is>
      </c>
      <c r="D13" t="inlineStr">
        <is>
          <t>Stitching the lining (3*1 Nos)</t>
        </is>
      </c>
      <c r="E13" t="inlineStr">
        <is>
          <t>OP-0025 | Stitching the lining (3*1 Nos)</t>
        </is>
      </c>
      <c r="F13" t="inlineStr">
        <is>
          <t>LPD09047</t>
        </is>
      </c>
      <c r="G13" t="inlineStr">
        <is>
          <t>A. YUSUF</t>
        </is>
      </c>
      <c r="H13" t="inlineStr">
        <is>
          <t>LPD09047 | A. YUSUF</t>
        </is>
      </c>
    </row>
    <row r="14">
      <c r="A14" t="inlineStr">
        <is>
          <t>WS14</t>
        </is>
      </c>
      <c r="B14" t="inlineStr">
        <is>
          <t>G14</t>
        </is>
      </c>
      <c r="C14" t="inlineStr">
        <is>
          <t>OP-0026</t>
        </is>
      </c>
      <c r="D14" t="inlineStr">
        <is>
          <t>Stitching the lining (1*1 Nos)</t>
        </is>
      </c>
      <c r="E14" t="inlineStr">
        <is>
          <t>OP-0026 | Stitching the lining (1*1 Nos)</t>
        </is>
      </c>
      <c r="F14" t="inlineStr">
        <is>
          <t>LPD10751</t>
        </is>
      </c>
      <c r="G14" t="inlineStr">
        <is>
          <t>A. ZAKEER</t>
        </is>
      </c>
      <c r="H14" t="inlineStr">
        <is>
          <t>LPD10751 | A. ZAKEER</t>
        </is>
      </c>
    </row>
    <row r="15">
      <c r="A15" t="inlineStr">
        <is>
          <t>WS15</t>
        </is>
      </c>
      <c r="B15" t="inlineStr">
        <is>
          <t>G15</t>
        </is>
      </c>
      <c r="C15" t="inlineStr">
        <is>
          <t>OP-0027</t>
        </is>
      </c>
      <c r="D15" t="inlineStr">
        <is>
          <t>Recutting of cc pkt (1:2) 1-Nos</t>
        </is>
      </c>
      <c r="E15" t="inlineStr">
        <is>
          <t>OP-0027 | Recutting of cc pkt (1:2) 1-Nos</t>
        </is>
      </c>
      <c r="F15" t="inlineStr">
        <is>
          <t>LPD10530</t>
        </is>
      </c>
      <c r="G15" t="inlineStr">
        <is>
          <t>ABADUDIN</t>
        </is>
      </c>
      <c r="H15" t="inlineStr">
        <is>
          <t>LPD10530 | ABADUDIN</t>
        </is>
      </c>
    </row>
    <row r="16">
      <c r="A16" t="inlineStr">
        <is>
          <t>WS16</t>
        </is>
      </c>
      <c r="B16" t="inlineStr">
        <is>
          <t>G16</t>
        </is>
      </c>
      <c r="C16" t="inlineStr">
        <is>
          <t>OP-0028</t>
        </is>
      </c>
      <c r="D16" t="inlineStr">
        <is>
          <t>Recutting of center stay  (1:2)</t>
        </is>
      </c>
      <c r="E16" t="inlineStr">
        <is>
          <t>OP-0028 | Recutting of center stay  (1:2)</t>
        </is>
      </c>
      <c r="F16" t="inlineStr">
        <is>
          <t>LPDS95763</t>
        </is>
      </c>
      <c r="G16" t="inlineStr">
        <is>
          <t>ABDUL VAJEETH J</t>
        </is>
      </c>
      <c r="H16" t="inlineStr">
        <is>
          <t>LPDS95763 | ABDUL VAJEETH J</t>
        </is>
      </c>
    </row>
    <row r="17">
      <c r="A17" t="inlineStr">
        <is>
          <t>WS17</t>
        </is>
      </c>
      <c r="B17" t="inlineStr">
        <is>
          <t>G17</t>
        </is>
      </c>
      <c r="C17" t="inlineStr">
        <is>
          <t>OP-0029</t>
        </is>
      </c>
      <c r="D17" t="inlineStr">
        <is>
          <t>Pasting on lining (1-Nos)</t>
        </is>
      </c>
      <c r="E17" t="inlineStr">
        <is>
          <t>OP-0029 | Pasting on lining (1-Nos)</t>
        </is>
      </c>
      <c r="F17" t="inlineStr">
        <is>
          <t>LPD09926</t>
        </is>
      </c>
      <c r="G17" t="inlineStr">
        <is>
          <t>AKBAR</t>
        </is>
      </c>
      <c r="H17" t="inlineStr">
        <is>
          <t>LPD09926 | AKBAR</t>
        </is>
      </c>
    </row>
    <row r="18">
      <c r="A18" t="inlineStr">
        <is>
          <t>WS18</t>
        </is>
      </c>
      <c r="B18" t="inlineStr">
        <is>
          <t>G18</t>
        </is>
      </c>
      <c r="C18" t="inlineStr">
        <is>
          <t>OP-0030</t>
        </is>
      </c>
      <c r="D18" t="inlineStr">
        <is>
          <t>Attaching with lining closing(1-Nos)</t>
        </is>
      </c>
      <c r="E18" t="inlineStr">
        <is>
          <t>OP-0030 | Attaching with lining closing(1-Nos)</t>
        </is>
      </c>
      <c r="F18" t="inlineStr">
        <is>
          <t>LPD12274</t>
        </is>
      </c>
      <c r="G18" t="inlineStr">
        <is>
          <t>AKBAR MOLLA</t>
        </is>
      </c>
      <c r="H18" t="inlineStr">
        <is>
          <t>LPD12274 | AKBAR MOLLA</t>
        </is>
      </c>
    </row>
    <row r="19">
      <c r="A19" t="inlineStr">
        <is>
          <t>WS19</t>
        </is>
      </c>
      <c r="B19" t="inlineStr">
        <is>
          <t>G19</t>
        </is>
      </c>
      <c r="C19" t="inlineStr">
        <is>
          <t>OP-0031</t>
        </is>
      </c>
      <c r="D19" t="inlineStr">
        <is>
          <t>Pasting cover lining and cc pkt (1-Nos)</t>
        </is>
      </c>
      <c r="E19" t="inlineStr">
        <is>
          <t>OP-0031 | Pasting cover lining and cc pkt (1-Nos)</t>
        </is>
      </c>
      <c r="F19" t="inlineStr">
        <is>
          <t>LPDS94717</t>
        </is>
      </c>
      <c r="G19" t="inlineStr">
        <is>
          <t>AKMAL A</t>
        </is>
      </c>
      <c r="H19" t="inlineStr">
        <is>
          <t>LPDS94717 | AKMAL A</t>
        </is>
      </c>
    </row>
    <row r="20">
      <c r="A20" t="inlineStr">
        <is>
          <t>WS20</t>
        </is>
      </c>
      <c r="B20" t="inlineStr">
        <is>
          <t>G20</t>
        </is>
      </c>
      <c r="C20" t="inlineStr">
        <is>
          <t>OP-0032</t>
        </is>
      </c>
      <c r="D20" t="inlineStr">
        <is>
          <t>Attaching cover lining and cc pkt (1-Nos)</t>
        </is>
      </c>
      <c r="E20" t="inlineStr">
        <is>
          <t>OP-0032 | Attaching cover lining and cc pkt (1-Nos)</t>
        </is>
      </c>
      <c r="F20" t="inlineStr">
        <is>
          <t>LPD09146</t>
        </is>
      </c>
      <c r="G20" t="inlineStr">
        <is>
          <t>ALAMELU</t>
        </is>
      </c>
      <c r="H20" t="inlineStr">
        <is>
          <t>LPD09146 | ALAMELU</t>
        </is>
      </c>
    </row>
    <row r="21">
      <c r="A21" t="inlineStr">
        <is>
          <t>WS21</t>
        </is>
      </c>
      <c r="B21" t="inlineStr">
        <is>
          <t>G21</t>
        </is>
      </c>
      <c r="C21" t="inlineStr">
        <is>
          <t>OP-0033</t>
        </is>
      </c>
      <c r="D21" t="inlineStr">
        <is>
          <t>Pasting lining</t>
        </is>
      </c>
      <c r="E21" t="inlineStr">
        <is>
          <t>OP-0033 | Pasting lining</t>
        </is>
      </c>
      <c r="F21" t="inlineStr">
        <is>
          <t>LPD11823</t>
        </is>
      </c>
      <c r="G21" t="inlineStr">
        <is>
          <t>ALI AKBAR MOLYA</t>
        </is>
      </c>
      <c r="H21" t="inlineStr">
        <is>
          <t>LPD11823 | ALI AKBAR MOLYA</t>
        </is>
      </c>
    </row>
    <row r="22">
      <c r="A22" t="inlineStr">
        <is>
          <t>WS22</t>
        </is>
      </c>
      <c r="B22" t="inlineStr">
        <is>
          <t>G22</t>
        </is>
      </c>
      <c r="C22" t="inlineStr">
        <is>
          <t>OP-0034</t>
        </is>
      </c>
      <c r="D22" t="inlineStr">
        <is>
          <t>Lining folding</t>
        </is>
      </c>
      <c r="E22" t="inlineStr">
        <is>
          <t>OP-0034 | Lining folding</t>
        </is>
      </c>
      <c r="F22" t="inlineStr">
        <is>
          <t>LPD10099</t>
        </is>
      </c>
      <c r="G22" t="inlineStr">
        <is>
          <t>AMMU</t>
        </is>
      </c>
      <c r="H22" t="inlineStr">
        <is>
          <t>LPD10099 | AMMU</t>
        </is>
      </c>
    </row>
    <row r="23">
      <c r="A23" t="inlineStr">
        <is>
          <t>WS23</t>
        </is>
      </c>
      <c r="B23" t="inlineStr">
        <is>
          <t>G23</t>
        </is>
      </c>
      <c r="C23" t="inlineStr">
        <is>
          <t>OP-0035</t>
        </is>
      </c>
      <c r="D23" t="inlineStr">
        <is>
          <t>Pasting on lining &amp; beeding</t>
        </is>
      </c>
      <c r="E23" t="inlineStr">
        <is>
          <t>OP-0035 | Pasting on lining &amp; beeding</t>
        </is>
      </c>
      <c r="F23" t="inlineStr">
        <is>
          <t>LPDS95254</t>
        </is>
      </c>
      <c r="G23" t="inlineStr">
        <is>
          <t>AMREEN</t>
        </is>
      </c>
      <c r="H23" t="inlineStr">
        <is>
          <t>LPDS95254 | AMREEN</t>
        </is>
      </c>
    </row>
    <row r="24">
      <c r="A24" t="inlineStr">
        <is>
          <t>WS24</t>
        </is>
      </c>
      <c r="B24" t="inlineStr">
        <is>
          <t>G24</t>
        </is>
      </c>
      <c r="C24" t="inlineStr">
        <is>
          <t>OP-0036</t>
        </is>
      </c>
      <c r="D24" t="inlineStr">
        <is>
          <t>Attaching lining with beeding</t>
        </is>
      </c>
      <c r="E24" t="inlineStr">
        <is>
          <t>OP-0036 | Attaching lining with beeding</t>
        </is>
      </c>
      <c r="F24" t="inlineStr">
        <is>
          <t>LPD08664</t>
        </is>
      </c>
      <c r="G24" t="inlineStr">
        <is>
          <t>ANITHA</t>
        </is>
      </c>
      <c r="H24" t="inlineStr">
        <is>
          <t>LPD08664 | ANITHA</t>
        </is>
      </c>
    </row>
    <row r="25">
      <c r="A25" t="inlineStr">
        <is>
          <t>WS25</t>
        </is>
      </c>
      <c r="B25" t="inlineStr">
        <is>
          <t>G25</t>
        </is>
      </c>
      <c r="C25" t="inlineStr">
        <is>
          <t>OP-0037</t>
        </is>
      </c>
      <c r="D25" t="inlineStr">
        <is>
          <t>Pasting on patti</t>
        </is>
      </c>
      <c r="E25" t="inlineStr">
        <is>
          <t>OP-0037 | Pasting on patti</t>
        </is>
      </c>
      <c r="F25" t="inlineStr">
        <is>
          <t>LPD10617</t>
        </is>
      </c>
      <c r="G25" t="inlineStr">
        <is>
          <t>ANJALI</t>
        </is>
      </c>
      <c r="H25" t="inlineStr">
        <is>
          <t>LPD10617 | ANJALI</t>
        </is>
      </c>
    </row>
    <row r="26">
      <c r="A26" t="inlineStr">
        <is>
          <t>WS26</t>
        </is>
      </c>
      <c r="B26" t="inlineStr">
        <is>
          <t>G26</t>
        </is>
      </c>
      <c r="C26" t="inlineStr">
        <is>
          <t>OP-0038</t>
        </is>
      </c>
      <c r="D26" t="inlineStr">
        <is>
          <t>Attaching step patti (1*1Nos)</t>
        </is>
      </c>
      <c r="E26" t="inlineStr">
        <is>
          <t>OP-0038 | Attaching step patti (1*1Nos)</t>
        </is>
      </c>
      <c r="F26" t="inlineStr">
        <is>
          <t>LPDS95282</t>
        </is>
      </c>
      <c r="G26" t="inlineStr">
        <is>
          <t>ASEENA</t>
        </is>
      </c>
      <c r="H26" t="inlineStr">
        <is>
          <t>LPDS95282 | ASEENA</t>
        </is>
      </c>
    </row>
    <row r="27">
      <c r="A27" t="inlineStr">
        <is>
          <t>WS27</t>
        </is>
      </c>
      <c r="B27" t="inlineStr">
        <is>
          <t>G27</t>
        </is>
      </c>
      <c r="C27" t="inlineStr">
        <is>
          <t>OP-0039</t>
        </is>
      </c>
      <c r="D27" t="inlineStr">
        <is>
          <t>Pasting on window side patti lining</t>
        </is>
      </c>
      <c r="E27" t="inlineStr">
        <is>
          <t>OP-0039 | Pasting on window side patti lining</t>
        </is>
      </c>
      <c r="F27" t="inlineStr">
        <is>
          <t>LPDS95789</t>
        </is>
      </c>
      <c r="G27" t="inlineStr">
        <is>
          <t>ASLAM</t>
        </is>
      </c>
      <c r="H27" t="inlineStr">
        <is>
          <t>LPDS95789 | ASLAM</t>
        </is>
      </c>
    </row>
    <row r="28">
      <c r="A28" t="inlineStr">
        <is>
          <t>WS28</t>
        </is>
      </c>
      <c r="B28" t="inlineStr">
        <is>
          <t>G28</t>
        </is>
      </c>
      <c r="C28" t="inlineStr">
        <is>
          <t>OP-0040</t>
        </is>
      </c>
      <c r="D28" t="inlineStr">
        <is>
          <t>Pasting on cc pkt</t>
        </is>
      </c>
      <c r="E28" t="inlineStr">
        <is>
          <t>OP-0040 | Pasting on cc pkt</t>
        </is>
      </c>
      <c r="F28" t="inlineStr">
        <is>
          <t>LPD08506</t>
        </is>
      </c>
      <c r="G28" t="inlineStr">
        <is>
          <t>AYESHA</t>
        </is>
      </c>
      <c r="H28" t="inlineStr">
        <is>
          <t>LPD08506 | AYESHA</t>
        </is>
      </c>
    </row>
    <row r="29">
      <c r="A29" t="inlineStr">
        <is>
          <t>WS29</t>
        </is>
      </c>
      <c r="B29" t="inlineStr">
        <is>
          <t>G29</t>
        </is>
      </c>
      <c r="C29" t="inlineStr">
        <is>
          <t>OP-0041</t>
        </is>
      </c>
      <c r="D29" t="inlineStr">
        <is>
          <t>Attaching step patti (1Nos)</t>
        </is>
      </c>
      <c r="E29" t="inlineStr">
        <is>
          <t>OP-0041 | Attaching step patti (1Nos)</t>
        </is>
      </c>
      <c r="F29" t="inlineStr">
        <is>
          <t>LPD12275</t>
        </is>
      </c>
      <c r="G29" t="inlineStr">
        <is>
          <t>AYUB MOLLA</t>
        </is>
      </c>
      <c r="H29" t="inlineStr">
        <is>
          <t>LPD12275 | AYUB MOLLA</t>
        </is>
      </c>
    </row>
    <row r="30">
      <c r="A30" t="inlineStr">
        <is>
          <t>WS30</t>
        </is>
      </c>
      <c r="B30" t="inlineStr">
        <is>
          <t>G30</t>
        </is>
      </c>
      <c r="C30" t="inlineStr">
        <is>
          <t>OP-0042</t>
        </is>
      </c>
      <c r="D30" t="inlineStr">
        <is>
          <t>Pasting on window</t>
        </is>
      </c>
      <c r="E30" t="inlineStr">
        <is>
          <t>OP-0042 | Pasting on window</t>
        </is>
      </c>
      <c r="F30" t="inlineStr">
        <is>
          <t>LPDS93008</t>
        </is>
      </c>
      <c r="G30" t="inlineStr">
        <is>
          <t>B LATHA</t>
        </is>
      </c>
      <c r="H30" t="inlineStr">
        <is>
          <t>LPDS93008 | B LATHA</t>
        </is>
      </c>
    </row>
    <row r="31">
      <c r="A31" t="inlineStr">
        <is>
          <t>WS31</t>
        </is>
      </c>
      <c r="B31" t="inlineStr">
        <is>
          <t>G31</t>
        </is>
      </c>
      <c r="C31" t="inlineStr">
        <is>
          <t>OP-0043</t>
        </is>
      </c>
      <c r="D31" t="inlineStr">
        <is>
          <t>Attaching window with cc pkt</t>
        </is>
      </c>
      <c r="E31" t="inlineStr">
        <is>
          <t>OP-0043 | Attaching window with cc pkt</t>
        </is>
      </c>
      <c r="F31" t="inlineStr">
        <is>
          <t>LPD11365</t>
        </is>
      </c>
      <c r="G31" t="inlineStr">
        <is>
          <t>B. AMUDHA</t>
        </is>
      </c>
      <c r="H31" t="inlineStr">
        <is>
          <t>LPD11365 | B. AMUDHA</t>
        </is>
      </c>
    </row>
    <row r="32">
      <c r="A32" t="inlineStr">
        <is>
          <t>WS32</t>
        </is>
      </c>
      <c r="B32" t="inlineStr">
        <is>
          <t>G32</t>
        </is>
      </c>
      <c r="C32" t="inlineStr">
        <is>
          <t>OP-0044</t>
        </is>
      </c>
      <c r="D32" t="inlineStr">
        <is>
          <t>Stitching the window side</t>
        </is>
      </c>
      <c r="E32" t="inlineStr">
        <is>
          <t>OP-0044 | Stitching the window side</t>
        </is>
      </c>
      <c r="F32" t="inlineStr">
        <is>
          <t>LPD11677</t>
        </is>
      </c>
      <c r="G32" t="inlineStr">
        <is>
          <t>B. LAKSHMI</t>
        </is>
      </c>
      <c r="H32" t="inlineStr">
        <is>
          <t>LPD11677 | B. LAKSHMI</t>
        </is>
      </c>
    </row>
    <row r="33">
      <c r="A33" t="inlineStr">
        <is>
          <t>WS33</t>
        </is>
      </c>
      <c r="B33" t="inlineStr">
        <is>
          <t>G33</t>
        </is>
      </c>
      <c r="C33" t="inlineStr">
        <is>
          <t>OP-0045</t>
        </is>
      </c>
      <c r="D33" t="inlineStr">
        <is>
          <t>Stitching the cc pkt on Sides</t>
        </is>
      </c>
      <c r="E33" t="inlineStr">
        <is>
          <t>OP-0045 | Stitching the cc pkt on Sides</t>
        </is>
      </c>
      <c r="F33" t="inlineStr">
        <is>
          <t>LPD10728</t>
        </is>
      </c>
      <c r="G33" t="inlineStr">
        <is>
          <t>B. MUBARAK BASHA</t>
        </is>
      </c>
      <c r="H33" t="inlineStr">
        <is>
          <t>LPD10728 | B. MUBARAK BASHA</t>
        </is>
      </c>
    </row>
    <row r="34">
      <c r="A34" t="inlineStr">
        <is>
          <t>WS34</t>
        </is>
      </c>
      <c r="B34" t="inlineStr">
        <is>
          <t>G34</t>
        </is>
      </c>
      <c r="C34" t="inlineStr">
        <is>
          <t>OP-0046</t>
        </is>
      </c>
      <c r="D34" t="inlineStr">
        <is>
          <t>Stitching cc pkt lining side ( half stitch)</t>
        </is>
      </c>
      <c r="E34" t="inlineStr">
        <is>
          <t>OP-0046 | Stitching cc pkt lining side ( half stitch)</t>
        </is>
      </c>
      <c r="F34" t="inlineStr">
        <is>
          <t>LPD11308</t>
        </is>
      </c>
      <c r="G34" t="inlineStr">
        <is>
          <t>B. MUHAMMED NAWAZ</t>
        </is>
      </c>
      <c r="H34" t="inlineStr">
        <is>
          <t>LPD11308 | B. MUHAMMED NAWAZ</t>
        </is>
      </c>
    </row>
    <row r="35">
      <c r="A35" t="inlineStr">
        <is>
          <t>WS35</t>
        </is>
      </c>
      <c r="B35" t="inlineStr">
        <is>
          <t>G35</t>
        </is>
      </c>
      <c r="C35" t="inlineStr">
        <is>
          <t>OP-0047</t>
        </is>
      </c>
      <c r="D35" t="inlineStr">
        <is>
          <t>Thread pulling at both sides</t>
        </is>
      </c>
      <c r="E35" t="inlineStr">
        <is>
          <t>OP-0047 | Thread pulling at both sides</t>
        </is>
      </c>
      <c r="F35" t="inlineStr">
        <is>
          <t>LPD09951</t>
        </is>
      </c>
      <c r="G35" t="inlineStr">
        <is>
          <t>B. SHAHEEN</t>
        </is>
      </c>
      <c r="H35" t="inlineStr">
        <is>
          <t>LPD09951 | B. SHAHEEN</t>
        </is>
      </c>
    </row>
    <row r="36">
      <c r="A36" t="inlineStr">
        <is>
          <t>WS36</t>
        </is>
      </c>
      <c r="B36" t="inlineStr">
        <is>
          <t>G36</t>
        </is>
      </c>
      <c r="C36" t="inlineStr">
        <is>
          <t>OP-0048</t>
        </is>
      </c>
      <c r="D36" t="inlineStr">
        <is>
          <t>Stitching window with pkt</t>
        </is>
      </c>
      <c r="E36" t="inlineStr">
        <is>
          <t>OP-0048 | Stitching window with pkt</t>
        </is>
      </c>
      <c r="F36" t="inlineStr">
        <is>
          <t>LPD10701</t>
        </is>
      </c>
      <c r="G36" t="inlineStr">
        <is>
          <t>BADRUNNISA</t>
        </is>
      </c>
      <c r="H36" t="inlineStr">
        <is>
          <t>LPD10701 | BADRUNNISA</t>
        </is>
      </c>
    </row>
    <row r="37">
      <c r="A37" t="inlineStr">
        <is>
          <t>WS37</t>
        </is>
      </c>
      <c r="B37" t="inlineStr">
        <is>
          <t>G37</t>
        </is>
      </c>
      <c r="C37" t="inlineStr">
        <is>
          <t>OP-0049</t>
        </is>
      </c>
      <c r="D37" t="inlineStr">
        <is>
          <t>CC Pkt side stitching ( 2nd half stitch)</t>
        </is>
      </c>
      <c r="E37" t="inlineStr">
        <is>
          <t>OP-0049 | CC Pkt side stitching ( 2nd half stitch)</t>
        </is>
      </c>
      <c r="F37" t="inlineStr">
        <is>
          <t>LPD12061</t>
        </is>
      </c>
      <c r="G37" t="inlineStr">
        <is>
          <t>BAKIBULLA MOLLA</t>
        </is>
      </c>
      <c r="H37" t="inlineStr">
        <is>
          <t>LPD12061 | BAKIBULLA MOLLA</t>
        </is>
      </c>
    </row>
    <row r="38">
      <c r="A38" t="inlineStr">
        <is>
          <t>WS38</t>
        </is>
      </c>
      <c r="B38" t="inlineStr">
        <is>
          <t>G38</t>
        </is>
      </c>
      <c r="C38" t="inlineStr">
        <is>
          <t>OP-0050</t>
        </is>
      </c>
      <c r="D38" t="inlineStr">
        <is>
          <t>Decorative Stitching of Anchor Bit</t>
        </is>
      </c>
      <c r="E38" t="inlineStr">
        <is>
          <t>OP-0050 | Decorative Stitching of Anchor Bit</t>
        </is>
      </c>
      <c r="F38" t="inlineStr">
        <is>
          <t>LPDS93009</t>
        </is>
      </c>
      <c r="G38" t="inlineStr">
        <is>
          <t>BAVANI</t>
        </is>
      </c>
      <c r="H38" t="inlineStr">
        <is>
          <t>LPDS93009 | BAVANI</t>
        </is>
      </c>
    </row>
    <row r="39">
      <c r="A39" t="inlineStr">
        <is>
          <t>WS39</t>
        </is>
      </c>
      <c r="B39" t="inlineStr">
        <is>
          <t>G39</t>
        </is>
      </c>
      <c r="C39" t="inlineStr">
        <is>
          <t>OP-0051</t>
        </is>
      </c>
      <c r="D39" t="inlineStr">
        <is>
          <t>Pasting top leather &amp; facing leather</t>
        </is>
      </c>
      <c r="E39" t="inlineStr">
        <is>
          <t>OP-0051 | Pasting top leather &amp; facing leather</t>
        </is>
      </c>
      <c r="F39" t="inlineStr">
        <is>
          <t>LPD11745</t>
        </is>
      </c>
      <c r="G39" t="inlineStr">
        <is>
          <t>C. KALAISELVI</t>
        </is>
      </c>
      <c r="H39" t="inlineStr">
        <is>
          <t>LPD11745 | C. KALAISELVI</t>
        </is>
      </c>
    </row>
    <row r="40">
      <c r="A40" t="inlineStr">
        <is>
          <t>WS40</t>
        </is>
      </c>
      <c r="B40" t="inlineStr">
        <is>
          <t>G40</t>
        </is>
      </c>
      <c r="C40" t="inlineStr">
        <is>
          <t>OP-0052</t>
        </is>
      </c>
      <c r="D40" t="inlineStr">
        <is>
          <t>Attaching top &amp; facing leather</t>
        </is>
      </c>
      <c r="E40" t="inlineStr">
        <is>
          <t>OP-0052 | Attaching top &amp; facing leather</t>
        </is>
      </c>
      <c r="F40" t="inlineStr">
        <is>
          <t>LPDS95743</t>
        </is>
      </c>
      <c r="G40" t="inlineStr">
        <is>
          <t>C. THILAGAWATHI</t>
        </is>
      </c>
      <c r="H40" t="inlineStr">
        <is>
          <t>LPDS95743 | C. THILAGAWATHI</t>
        </is>
      </c>
    </row>
    <row r="41">
      <c r="A41" t="inlineStr">
        <is>
          <t>WS41</t>
        </is>
      </c>
      <c r="B41" t="inlineStr">
        <is>
          <t>G41</t>
        </is>
      </c>
      <c r="C41" t="inlineStr">
        <is>
          <t>OP-0053</t>
        </is>
      </c>
      <c r="D41" t="inlineStr">
        <is>
          <t>Lamping</t>
        </is>
      </c>
      <c r="E41" t="inlineStr">
        <is>
          <t>OP-0053 | Lamping</t>
        </is>
      </c>
      <c r="F41" t="inlineStr">
        <is>
          <t>LPDS95728</t>
        </is>
      </c>
      <c r="G41" t="inlineStr">
        <is>
          <t>CHANDHINI NASEER</t>
        </is>
      </c>
      <c r="H41" t="inlineStr">
        <is>
          <t>LPDS95728 | CHANDHINI NASEER</t>
        </is>
      </c>
    </row>
    <row r="42">
      <c r="A42" t="inlineStr">
        <is>
          <t>WS42</t>
        </is>
      </c>
      <c r="B42" t="inlineStr">
        <is>
          <t>G42</t>
        </is>
      </c>
      <c r="C42" t="inlineStr">
        <is>
          <t>OP-0054</t>
        </is>
      </c>
      <c r="D42" t="inlineStr">
        <is>
          <t>Lamping of anchor tab bit</t>
        </is>
      </c>
      <c r="E42" t="inlineStr">
        <is>
          <t>OP-0054 | Lamping of anchor tab bit</t>
        </is>
      </c>
      <c r="F42" t="inlineStr">
        <is>
          <t>LPD07590</t>
        </is>
      </c>
      <c r="G42" t="inlineStr">
        <is>
          <t>D. LATHA</t>
        </is>
      </c>
      <c r="H42" t="inlineStr">
        <is>
          <t>LPD07590 | D. LATHA</t>
        </is>
      </c>
    </row>
    <row r="43">
      <c r="A43" t="inlineStr">
        <is>
          <t>WS43</t>
        </is>
      </c>
      <c r="B43" t="inlineStr">
        <is>
          <t>G43</t>
        </is>
      </c>
      <c r="C43" t="inlineStr">
        <is>
          <t>OP-0055</t>
        </is>
      </c>
      <c r="D43" t="inlineStr">
        <is>
          <t>Pressing</t>
        </is>
      </c>
      <c r="E43" t="inlineStr">
        <is>
          <t>OP-0055 | Pressing</t>
        </is>
      </c>
      <c r="F43" t="inlineStr">
        <is>
          <t>LPD08118</t>
        </is>
      </c>
      <c r="G43" t="inlineStr">
        <is>
          <t>D. SUREKA</t>
        </is>
      </c>
      <c r="H43" t="inlineStr">
        <is>
          <t>LPD08118 | D. SUREKA</t>
        </is>
      </c>
    </row>
    <row r="44">
      <c r="A44" t="inlineStr">
        <is>
          <t>WS44</t>
        </is>
      </c>
      <c r="B44" t="inlineStr">
        <is>
          <t>G44</t>
        </is>
      </c>
      <c r="C44" t="inlineStr">
        <is>
          <t>OP-0056</t>
        </is>
      </c>
      <c r="D44" t="inlineStr">
        <is>
          <t>Primer</t>
        </is>
      </c>
      <c r="E44" t="inlineStr">
        <is>
          <t>OP-0056 | Primer</t>
        </is>
      </c>
      <c r="F44" t="inlineStr">
        <is>
          <t>LPDS94626</t>
        </is>
      </c>
      <c r="G44" t="inlineStr">
        <is>
          <t>DEVI</t>
        </is>
      </c>
      <c r="H44" t="inlineStr">
        <is>
          <t>LPDS94626 | DEVI</t>
        </is>
      </c>
    </row>
    <row r="45">
      <c r="A45" t="inlineStr">
        <is>
          <t>WS45</t>
        </is>
      </c>
      <c r="B45" t="inlineStr">
        <is>
          <t>G45</t>
        </is>
      </c>
      <c r="C45" t="inlineStr">
        <is>
          <t>OP-0057</t>
        </is>
      </c>
      <c r="D45" t="inlineStr">
        <is>
          <t>Edge Inking</t>
        </is>
      </c>
      <c r="E45" t="inlineStr">
        <is>
          <t>OP-0057 | Edge Inking</t>
        </is>
      </c>
      <c r="F45" t="inlineStr">
        <is>
          <t>LPD09702</t>
        </is>
      </c>
      <c r="G45" t="inlineStr">
        <is>
          <t>DEVI</t>
        </is>
      </c>
      <c r="H45" t="inlineStr">
        <is>
          <t>LPD09702 | DEVI</t>
        </is>
      </c>
    </row>
    <row r="46">
      <c r="A46" t="inlineStr">
        <is>
          <t>WS46</t>
        </is>
      </c>
      <c r="B46" t="inlineStr">
        <is>
          <t>G46</t>
        </is>
      </c>
      <c r="C46" t="inlineStr">
        <is>
          <t>OP-0058</t>
        </is>
      </c>
      <c r="D46" t="inlineStr">
        <is>
          <t>Primer 1</t>
        </is>
      </c>
      <c r="E46" t="inlineStr">
        <is>
          <t>OP-0058 | Primer 1</t>
        </is>
      </c>
      <c r="F46" t="inlineStr">
        <is>
          <t>LPD08523</t>
        </is>
      </c>
      <c r="G46" t="inlineStr">
        <is>
          <t>DEVI</t>
        </is>
      </c>
      <c r="H46" t="inlineStr">
        <is>
          <t>LPD08523 | DEVI</t>
        </is>
      </c>
    </row>
    <row r="47">
      <c r="A47" t="inlineStr">
        <is>
          <t>WS47</t>
        </is>
      </c>
      <c r="B47" t="inlineStr">
        <is>
          <t>G47</t>
        </is>
      </c>
      <c r="C47" t="inlineStr">
        <is>
          <t>OP-0059</t>
        </is>
      </c>
      <c r="D47" t="inlineStr">
        <is>
          <t>Primer 2</t>
        </is>
      </c>
      <c r="E47" t="inlineStr">
        <is>
          <t>OP-0059 | Primer 2</t>
        </is>
      </c>
      <c r="F47" t="inlineStr">
        <is>
          <t>LPD10282</t>
        </is>
      </c>
      <c r="G47" t="inlineStr">
        <is>
          <t>DIVYA</t>
        </is>
      </c>
      <c r="H47" t="inlineStr">
        <is>
          <t>LPD10282 | DIVYA</t>
        </is>
      </c>
    </row>
    <row r="48">
      <c r="A48" t="inlineStr">
        <is>
          <t>WS48</t>
        </is>
      </c>
      <c r="B48" t="inlineStr">
        <is>
          <t>G48</t>
        </is>
      </c>
      <c r="C48" t="inlineStr">
        <is>
          <t>OP-0060</t>
        </is>
      </c>
      <c r="D48" t="inlineStr">
        <is>
          <t>Primer 3</t>
        </is>
      </c>
      <c r="E48" t="inlineStr">
        <is>
          <t>OP-0060 | Primer 3</t>
        </is>
      </c>
      <c r="F48" t="inlineStr">
        <is>
          <t>LPDS95689</t>
        </is>
      </c>
      <c r="G48" t="inlineStr">
        <is>
          <t>DIVYA PRABHA</t>
        </is>
      </c>
      <c r="H48" t="inlineStr">
        <is>
          <t>LPDS95689 | DIVYA PRABHA</t>
        </is>
      </c>
    </row>
    <row r="49">
      <c r="A49" t="inlineStr">
        <is>
          <t>WS49</t>
        </is>
      </c>
      <c r="B49" t="inlineStr">
        <is>
          <t>G49</t>
        </is>
      </c>
      <c r="C49" t="inlineStr">
        <is>
          <t>OP-0061</t>
        </is>
      </c>
      <c r="D49" t="inlineStr">
        <is>
          <t>Buffing</t>
        </is>
      </c>
      <c r="E49" t="inlineStr">
        <is>
          <t>OP-0061 | Buffing</t>
        </is>
      </c>
      <c r="F49" t="inlineStr">
        <is>
          <t>LPD08441</t>
        </is>
      </c>
      <c r="G49" t="inlineStr">
        <is>
          <t>ESWARI</t>
        </is>
      </c>
      <c r="H49" t="inlineStr">
        <is>
          <t>LPD08441 | ESWARI</t>
        </is>
      </c>
    </row>
    <row r="50">
      <c r="A50" t="inlineStr">
        <is>
          <t>WS50</t>
        </is>
      </c>
      <c r="B50" t="inlineStr">
        <is>
          <t>G50</t>
        </is>
      </c>
      <c r="C50" t="inlineStr">
        <is>
          <t>OP-0062</t>
        </is>
      </c>
      <c r="D50" t="inlineStr">
        <is>
          <t>Recutting facing Leather (1:5)</t>
        </is>
      </c>
      <c r="E50" t="inlineStr">
        <is>
          <t>OP-0062 | Recutting facing Leather (1:5)</t>
        </is>
      </c>
      <c r="F50" t="inlineStr">
        <is>
          <t>LPD11988</t>
        </is>
      </c>
      <c r="G50" t="inlineStr">
        <is>
          <t>F GULZAR</t>
        </is>
      </c>
      <c r="H50" t="inlineStr">
        <is>
          <t>LPD11988 | F GULZAR</t>
        </is>
      </c>
    </row>
    <row r="51">
      <c r="A51" t="inlineStr">
        <is>
          <t>WS51</t>
        </is>
      </c>
      <c r="C51" t="inlineStr">
        <is>
          <t>OP-0063</t>
        </is>
      </c>
      <c r="D51" t="inlineStr">
        <is>
          <t>Recutting Top Leather (1:5)</t>
        </is>
      </c>
      <c r="E51" t="inlineStr">
        <is>
          <t>OP-0063 | Recutting Top Leather (1:5)</t>
        </is>
      </c>
      <c r="F51" t="inlineStr">
        <is>
          <t>LPD07960</t>
        </is>
      </c>
      <c r="G51" t="inlineStr">
        <is>
          <t>F. ZAINATHBEE</t>
        </is>
      </c>
      <c r="H51" t="inlineStr">
        <is>
          <t>LPD07960 | F. ZAINATHBEE</t>
        </is>
      </c>
    </row>
    <row r="52">
      <c r="A52" t="inlineStr">
        <is>
          <t>WS52</t>
        </is>
      </c>
      <c r="C52" t="inlineStr">
        <is>
          <t>OP-0064</t>
        </is>
      </c>
      <c r="D52" t="inlineStr">
        <is>
          <t>Recutting Top</t>
        </is>
      </c>
      <c r="E52" t="inlineStr">
        <is>
          <t>OP-0064 | Recutting Top</t>
        </is>
      </c>
      <c r="F52" t="inlineStr">
        <is>
          <t>LPDS95161</t>
        </is>
      </c>
      <c r="G52" t="inlineStr">
        <is>
          <t>FOUSIYA</t>
        </is>
      </c>
      <c r="H52" t="inlineStr">
        <is>
          <t>LPDS95161 | FOUSIYA</t>
        </is>
      </c>
    </row>
    <row r="53">
      <c r="A53" t="inlineStr">
        <is>
          <t>WS53</t>
        </is>
      </c>
      <c r="C53" t="inlineStr">
        <is>
          <t>OP-0065</t>
        </is>
      </c>
      <c r="D53" t="inlineStr">
        <is>
          <t>Recutting zip collar PU</t>
        </is>
      </c>
      <c r="E53" t="inlineStr">
        <is>
          <t>OP-0065 | Recutting zip collar PU</t>
        </is>
      </c>
      <c r="F53" t="inlineStr">
        <is>
          <t>LPD04519</t>
        </is>
      </c>
      <c r="G53" t="inlineStr">
        <is>
          <t>G. MANIMALA</t>
        </is>
      </c>
      <c r="H53" t="inlineStr">
        <is>
          <t>LPD04519 | G. MANIMALA</t>
        </is>
      </c>
    </row>
    <row r="54">
      <c r="A54" t="inlineStr">
        <is>
          <t>WS54</t>
        </is>
      </c>
      <c r="C54" t="inlineStr">
        <is>
          <t>OP-0066</t>
        </is>
      </c>
      <c r="D54" t="inlineStr">
        <is>
          <t>Foil Embossing on cc pkt</t>
        </is>
      </c>
      <c r="E54" t="inlineStr">
        <is>
          <t>OP-0066 | Foil Embossing on cc pkt</t>
        </is>
      </c>
      <c r="F54" t="inlineStr">
        <is>
          <t>LPD03298</t>
        </is>
      </c>
      <c r="G54" t="inlineStr">
        <is>
          <t>G. PADMINI</t>
        </is>
      </c>
      <c r="H54" t="inlineStr">
        <is>
          <t>LPD03298 | G. PADMINI</t>
        </is>
      </c>
    </row>
    <row r="55">
      <c r="A55" t="inlineStr">
        <is>
          <t>WS55</t>
        </is>
      </c>
      <c r="C55" t="inlineStr">
        <is>
          <t>OP-0067</t>
        </is>
      </c>
      <c r="D55" t="inlineStr">
        <is>
          <t>inserting &amp; Pressing snap male button  (1-Nos)</t>
        </is>
      </c>
      <c r="E55" t="inlineStr">
        <is>
          <t>OP-0067 | inserting &amp; Pressing snap male button  (1-Nos)</t>
        </is>
      </c>
      <c r="F55" t="inlineStr">
        <is>
          <t>LPD01253</t>
        </is>
      </c>
      <c r="G55" t="inlineStr">
        <is>
          <t>G. SARASWATHI</t>
        </is>
      </c>
      <c r="H55" t="inlineStr">
        <is>
          <t>LPD01253 | G. SARASWATHI</t>
        </is>
      </c>
    </row>
    <row r="56">
      <c r="A56" t="inlineStr">
        <is>
          <t>WS56</t>
        </is>
      </c>
      <c r="C56" t="inlineStr">
        <is>
          <t>OP-0068</t>
        </is>
      </c>
      <c r="D56" t="inlineStr">
        <is>
          <t>Revitting Female button on Top</t>
        </is>
      </c>
      <c r="E56" t="inlineStr">
        <is>
          <t>OP-0068 | Revitting Female button on Top</t>
        </is>
      </c>
      <c r="F56" t="inlineStr">
        <is>
          <t>LPD10561</t>
        </is>
      </c>
      <c r="G56" t="inlineStr">
        <is>
          <t>G. SELVARANI</t>
        </is>
      </c>
      <c r="H56" t="inlineStr">
        <is>
          <t>LPD10561 | G. SELVARANI</t>
        </is>
      </c>
    </row>
    <row r="57">
      <c r="A57" t="inlineStr">
        <is>
          <t>WS57</t>
        </is>
      </c>
      <c r="C57" t="inlineStr">
        <is>
          <t>OP-0069</t>
        </is>
      </c>
      <c r="D57" t="inlineStr">
        <is>
          <t>Grinding  Logo on Top</t>
        </is>
      </c>
      <c r="E57" t="inlineStr">
        <is>
          <t>OP-0069 | Grinding  Logo on Top</t>
        </is>
      </c>
      <c r="F57" t="inlineStr">
        <is>
          <t>LPD09683</t>
        </is>
      </c>
      <c r="G57" t="inlineStr">
        <is>
          <t>GIRIJA</t>
        </is>
      </c>
      <c r="H57" t="inlineStr">
        <is>
          <t>LPD09683 | GIRIJA</t>
        </is>
      </c>
    </row>
    <row r="58">
      <c r="A58" t="inlineStr">
        <is>
          <t>WS58</t>
        </is>
      </c>
      <c r="C58" t="inlineStr">
        <is>
          <t>OP-0070</t>
        </is>
      </c>
      <c r="D58" t="inlineStr">
        <is>
          <t>Pressing logo on Top</t>
        </is>
      </c>
      <c r="E58" t="inlineStr">
        <is>
          <t>OP-0070 | Pressing logo on Top</t>
        </is>
      </c>
      <c r="F58" t="inlineStr">
        <is>
          <t>LPD07628</t>
        </is>
      </c>
      <c r="G58" t="inlineStr">
        <is>
          <t>GNANAMMAL</t>
        </is>
      </c>
      <c r="H58" t="inlineStr">
        <is>
          <t>LPD07628 | GNANAMMAL</t>
        </is>
      </c>
    </row>
    <row r="59">
      <c r="A59" t="inlineStr">
        <is>
          <t>WS59</t>
        </is>
      </c>
      <c r="C59" t="inlineStr">
        <is>
          <t>OP-0071</t>
        </is>
      </c>
      <c r="D59" t="inlineStr">
        <is>
          <t>Attaching Self adhesive logo cover kimlon</t>
        </is>
      </c>
      <c r="E59" t="inlineStr">
        <is>
          <t>OP-0071 | Attaching Self adhesive logo cover kimlon</t>
        </is>
      </c>
      <c r="F59" t="inlineStr">
        <is>
          <t>LPD10209</t>
        </is>
      </c>
      <c r="G59" t="inlineStr">
        <is>
          <t>HAJEERA</t>
        </is>
      </c>
      <c r="H59" t="inlineStr">
        <is>
          <t>LPD10209 | HAJEERA</t>
        </is>
      </c>
    </row>
    <row r="60">
      <c r="A60" t="inlineStr">
        <is>
          <t>WS60</t>
        </is>
      </c>
      <c r="C60" t="inlineStr">
        <is>
          <t>OP-0072</t>
        </is>
      </c>
      <c r="D60" t="inlineStr">
        <is>
          <t>Pasting on top</t>
        </is>
      </c>
      <c r="E60" t="inlineStr">
        <is>
          <t>OP-0072 | Pasting on top</t>
        </is>
      </c>
      <c r="F60" t="inlineStr">
        <is>
          <t>LPDS95749</t>
        </is>
      </c>
      <c r="G60" t="inlineStr">
        <is>
          <t>HAJIMA MABOOB BASHA</t>
        </is>
      </c>
      <c r="H60" t="inlineStr">
        <is>
          <t>LPDS95749 | HAJIMA MABOOB BASHA</t>
        </is>
      </c>
    </row>
    <row r="61">
      <c r="A61" t="inlineStr">
        <is>
          <t>WS61</t>
        </is>
      </c>
      <c r="C61" t="inlineStr">
        <is>
          <t>OP-0073</t>
        </is>
      </c>
      <c r="D61" t="inlineStr">
        <is>
          <t>Pasting on nonwoven(L/R)</t>
        </is>
      </c>
      <c r="E61" t="inlineStr">
        <is>
          <t>OP-0073 | Pasting on nonwoven(L/R)</t>
        </is>
      </c>
      <c r="F61" t="inlineStr">
        <is>
          <t>LPD12148</t>
        </is>
      </c>
      <c r="G61" t="inlineStr">
        <is>
          <t>HASANUR JAMAN MOLLA</t>
        </is>
      </c>
      <c r="H61" t="inlineStr">
        <is>
          <t>LPD12148 | HASANUR JAMAN MOLLA</t>
        </is>
      </c>
    </row>
    <row r="62">
      <c r="A62" t="inlineStr">
        <is>
          <t>WS62</t>
        </is>
      </c>
      <c r="C62" t="inlineStr">
        <is>
          <t>OP-0074</t>
        </is>
      </c>
      <c r="D62" t="inlineStr">
        <is>
          <t>Pasting &amp; Attaching mica (2) over top</t>
        </is>
      </c>
      <c r="E62" t="inlineStr">
        <is>
          <t>OP-0074 | Pasting &amp; Attaching mica (2) over top</t>
        </is>
      </c>
      <c r="F62" t="inlineStr">
        <is>
          <t>LPD12233</t>
        </is>
      </c>
      <c r="G62" t="inlineStr">
        <is>
          <t>I RESHMA</t>
        </is>
      </c>
      <c r="H62" t="inlineStr">
        <is>
          <t>LPD12233 | I RESHMA</t>
        </is>
      </c>
    </row>
    <row r="63">
      <c r="A63" t="inlineStr">
        <is>
          <t>WS63</t>
        </is>
      </c>
      <c r="C63" t="inlineStr">
        <is>
          <t>OP-0075</t>
        </is>
      </c>
      <c r="D63" t="inlineStr">
        <is>
          <t>Pasting on top &amp; kimlon</t>
        </is>
      </c>
      <c r="E63" t="inlineStr">
        <is>
          <t>OP-0075 | Pasting on top &amp; kimlon</t>
        </is>
      </c>
      <c r="F63" t="inlineStr">
        <is>
          <t>LPD11499</t>
        </is>
      </c>
      <c r="G63" t="inlineStr">
        <is>
          <t>I. RESHMA</t>
        </is>
      </c>
      <c r="H63" t="inlineStr">
        <is>
          <t>LPD11499 | I. RESHMA</t>
        </is>
      </c>
    </row>
    <row r="64">
      <c r="A64" t="inlineStr">
        <is>
          <t>WS64</t>
        </is>
      </c>
      <c r="C64" t="inlineStr">
        <is>
          <t>OP-0076</t>
        </is>
      </c>
      <c r="D64" t="inlineStr">
        <is>
          <t>Pasting on Top  &amp; center nonwoven(1)</t>
        </is>
      </c>
      <c r="E64" t="inlineStr">
        <is>
          <t>OP-0076 | Pasting on Top  &amp; center nonwoven(1)</t>
        </is>
      </c>
      <c r="F64" t="inlineStr">
        <is>
          <t>LPD9801</t>
        </is>
      </c>
      <c r="G64" t="inlineStr">
        <is>
          <t>ILYAS</t>
        </is>
      </c>
      <c r="H64" t="inlineStr">
        <is>
          <t>LPD9801 | ILYAS</t>
        </is>
      </c>
    </row>
    <row r="65">
      <c r="A65" t="inlineStr">
        <is>
          <t>WS65</t>
        </is>
      </c>
      <c r="C65" t="inlineStr">
        <is>
          <t>OP-0077</t>
        </is>
      </c>
      <c r="D65" t="inlineStr">
        <is>
          <t>Pasting on Top &amp; moon bit</t>
        </is>
      </c>
      <c r="E65" t="inlineStr">
        <is>
          <t>OP-0077 | Pasting on Top &amp; moon bit</t>
        </is>
      </c>
      <c r="F65" t="inlineStr">
        <is>
          <t>LPD11272</t>
        </is>
      </c>
      <c r="G65" t="inlineStr">
        <is>
          <t>IRFAN</t>
        </is>
      </c>
      <c r="H65" t="inlineStr">
        <is>
          <t>LPD11272 | IRFAN</t>
        </is>
      </c>
    </row>
    <row r="66">
      <c r="A66" t="inlineStr">
        <is>
          <t>WS66</t>
        </is>
      </c>
      <c r="C66" t="inlineStr">
        <is>
          <t>OP-0078</t>
        </is>
      </c>
      <c r="D66" t="inlineStr">
        <is>
          <t>Attaching kimlon over top</t>
        </is>
      </c>
      <c r="E66" t="inlineStr">
        <is>
          <t>OP-0078 | Attaching kimlon over top</t>
        </is>
      </c>
      <c r="F66" t="inlineStr">
        <is>
          <t>LPDS95681</t>
        </is>
      </c>
      <c r="G66" t="inlineStr">
        <is>
          <t>J KAVERI</t>
        </is>
      </c>
      <c r="H66" t="inlineStr">
        <is>
          <t>LPDS95681 | J KAVERI</t>
        </is>
      </c>
    </row>
    <row r="67">
      <c r="A67" t="inlineStr">
        <is>
          <t>WS67</t>
        </is>
      </c>
      <c r="C67" t="inlineStr">
        <is>
          <t>OP-0079</t>
        </is>
      </c>
      <c r="D67" t="inlineStr">
        <is>
          <t>Attaching nonwoven with top</t>
        </is>
      </c>
      <c r="E67" t="inlineStr">
        <is>
          <t>OP-0079 | Attaching nonwoven with top</t>
        </is>
      </c>
      <c r="F67" t="inlineStr">
        <is>
          <t>LPD09877</t>
        </is>
      </c>
      <c r="G67" t="inlineStr">
        <is>
          <t>J. SAIDA</t>
        </is>
      </c>
      <c r="H67" t="inlineStr">
        <is>
          <t>LPD09877 | J. SAIDA</t>
        </is>
      </c>
    </row>
    <row r="68">
      <c r="A68" t="inlineStr">
        <is>
          <t>WS68</t>
        </is>
      </c>
      <c r="C68" t="inlineStr">
        <is>
          <t>OP-0080</t>
        </is>
      </c>
      <c r="D68" t="inlineStr">
        <is>
          <t>Attaching center nonwoven with top</t>
        </is>
      </c>
      <c r="E68" t="inlineStr">
        <is>
          <t>OP-0080 | Attaching center nonwoven with top</t>
        </is>
      </c>
      <c r="F68" t="inlineStr">
        <is>
          <t>LPD09910</t>
        </is>
      </c>
      <c r="G68" t="inlineStr">
        <is>
          <t>JABINA BANU</t>
        </is>
      </c>
      <c r="H68" t="inlineStr">
        <is>
          <t>LPD09910 | JABINA BANU</t>
        </is>
      </c>
    </row>
    <row r="69">
      <c r="A69" t="inlineStr">
        <is>
          <t>WS69</t>
        </is>
      </c>
      <c r="C69" t="inlineStr">
        <is>
          <t>OP-0081</t>
        </is>
      </c>
      <c r="D69" t="inlineStr">
        <is>
          <t>Attaching moon bit</t>
        </is>
      </c>
      <c r="E69" t="inlineStr">
        <is>
          <t>OP-0081 | Attaching moon bit</t>
        </is>
      </c>
      <c r="F69" t="inlineStr">
        <is>
          <t>LPDS94748</t>
        </is>
      </c>
      <c r="G69" t="inlineStr">
        <is>
          <t>JAYA KODI</t>
        </is>
      </c>
      <c r="H69" t="inlineStr">
        <is>
          <t>LPDS94748 | JAYA KODI</t>
        </is>
      </c>
    </row>
    <row r="70">
      <c r="A70" t="inlineStr">
        <is>
          <t>WS70</t>
        </is>
      </c>
      <c r="C70" t="inlineStr">
        <is>
          <t>OP-0082</t>
        </is>
      </c>
      <c r="D70" t="inlineStr">
        <is>
          <t>Stitching center stay</t>
        </is>
      </c>
      <c r="E70" t="inlineStr">
        <is>
          <t>OP-0082 | Stitching center stay</t>
        </is>
      </c>
      <c r="F70" t="inlineStr">
        <is>
          <t>LPD10251</t>
        </is>
      </c>
      <c r="G70" t="inlineStr">
        <is>
          <t>JAYACHITRA</t>
        </is>
      </c>
      <c r="H70" t="inlineStr">
        <is>
          <t>LPD10251 | JAYACHITRA</t>
        </is>
      </c>
    </row>
    <row r="71">
      <c r="A71" t="inlineStr">
        <is>
          <t>WS71</t>
        </is>
      </c>
      <c r="C71" t="inlineStr">
        <is>
          <t>OP-0083</t>
        </is>
      </c>
      <c r="D71" t="inlineStr">
        <is>
          <t>Stitching  left &amp; right gusset on Top Sides</t>
        </is>
      </c>
      <c r="E71" t="inlineStr">
        <is>
          <t>OP-0083 | Stitching  left &amp; right gusset on Top Sides</t>
        </is>
      </c>
      <c r="F71" t="inlineStr">
        <is>
          <t>LPDS95750</t>
        </is>
      </c>
      <c r="G71" t="inlineStr">
        <is>
          <t>JAYALAKSHMI</t>
        </is>
      </c>
      <c r="H71" t="inlineStr">
        <is>
          <t>LPDS95750 | JAYALAKSHMI</t>
        </is>
      </c>
    </row>
    <row r="72">
      <c r="A72" t="inlineStr">
        <is>
          <t>WS72</t>
        </is>
      </c>
      <c r="C72" t="inlineStr">
        <is>
          <t>OP-0084</t>
        </is>
      </c>
      <c r="D72" t="inlineStr">
        <is>
          <t>Stitching  left  gusset  pu &amp; lining on bottom Sides</t>
        </is>
      </c>
      <c r="E72" t="inlineStr">
        <is>
          <t>OP-0084 | Stitching  left  gusset  pu &amp; lining on bottom Sides</t>
        </is>
      </c>
      <c r="F72" t="inlineStr">
        <is>
          <t>LPD08372</t>
        </is>
      </c>
      <c r="G72" t="inlineStr">
        <is>
          <t>JAYANTHI</t>
        </is>
      </c>
      <c r="H72" t="inlineStr">
        <is>
          <t>LPD08372 | JAYANTHI</t>
        </is>
      </c>
    </row>
    <row r="73">
      <c r="A73" t="inlineStr">
        <is>
          <t>WS73</t>
        </is>
      </c>
      <c r="C73" t="inlineStr">
        <is>
          <t>OP-0085</t>
        </is>
      </c>
      <c r="D73" t="inlineStr">
        <is>
          <t>Stitching zipper with lining</t>
        </is>
      </c>
      <c r="E73" t="inlineStr">
        <is>
          <t>OP-0085 | Stitching zipper with lining</t>
        </is>
      </c>
      <c r="F73" t="inlineStr">
        <is>
          <t>LPDS94648</t>
        </is>
      </c>
      <c r="G73" t="inlineStr">
        <is>
          <t>JAYANTHI</t>
        </is>
      </c>
      <c r="H73" t="inlineStr">
        <is>
          <t>LPDS94648 | JAYANTHI</t>
        </is>
      </c>
    </row>
    <row r="74">
      <c r="A74" t="inlineStr">
        <is>
          <t>WS74</t>
        </is>
      </c>
      <c r="C74" t="inlineStr">
        <is>
          <t>OP-0086</t>
        </is>
      </c>
      <c r="D74" t="inlineStr">
        <is>
          <t>Top moon bit stitching</t>
        </is>
      </c>
      <c r="E74" t="inlineStr">
        <is>
          <t>OP-0086 | Top moon bit stitching</t>
        </is>
      </c>
      <c r="F74" t="inlineStr">
        <is>
          <t>LPD11610</t>
        </is>
      </c>
      <c r="G74" t="inlineStr">
        <is>
          <t>JEEVA</t>
        </is>
      </c>
      <c r="H74" t="inlineStr">
        <is>
          <t>LPD11610 | JEEVA</t>
        </is>
      </c>
    </row>
    <row r="75">
      <c r="A75" t="inlineStr">
        <is>
          <t>WS75</t>
        </is>
      </c>
      <c r="C75" t="inlineStr">
        <is>
          <t>OP-0087</t>
        </is>
      </c>
      <c r="D75" t="inlineStr">
        <is>
          <t>Stitching top side of cc pkt   &amp;  bottom centerstay</t>
        </is>
      </c>
      <c r="E75" t="inlineStr">
        <is>
          <t>OP-0087 | Stitching top side of cc pkt   &amp;  bottom centerstay</t>
        </is>
      </c>
      <c r="F75" t="inlineStr">
        <is>
          <t>LPD10667</t>
        </is>
      </c>
      <c r="G75" t="inlineStr">
        <is>
          <t>JIAUR RAHMAN</t>
        </is>
      </c>
      <c r="H75" t="inlineStr">
        <is>
          <t>LPD10667 | JIAUR RAHMAN</t>
        </is>
      </c>
    </row>
    <row r="76">
      <c r="A76" t="inlineStr">
        <is>
          <t>WS76</t>
        </is>
      </c>
      <c r="C76" t="inlineStr">
        <is>
          <t>OP-0088</t>
        </is>
      </c>
      <c r="D76" t="inlineStr">
        <is>
          <t>Stitching shell pkt left side</t>
        </is>
      </c>
      <c r="E76" t="inlineStr">
        <is>
          <t>OP-0088 | Stitching shell pkt left side</t>
        </is>
      </c>
      <c r="F76" t="inlineStr">
        <is>
          <t>LPD12022</t>
        </is>
      </c>
      <c r="G76" t="inlineStr">
        <is>
          <t>K KHURSHEED BANU</t>
        </is>
      </c>
      <c r="H76" t="inlineStr">
        <is>
          <t>LPD12022 | K KHURSHEED BANU</t>
        </is>
      </c>
    </row>
    <row r="77">
      <c r="A77" t="inlineStr">
        <is>
          <t>WS77</t>
        </is>
      </c>
      <c r="C77" t="inlineStr">
        <is>
          <t>OP-0089</t>
        </is>
      </c>
      <c r="D77" t="inlineStr">
        <is>
          <t>Direct stitching zip collar  &amp; tab bit in AMS</t>
        </is>
      </c>
      <c r="E77" t="inlineStr">
        <is>
          <t>OP-0089 | Direct stitching zip collar  &amp; tab bit in AMS</t>
        </is>
      </c>
      <c r="F77" t="inlineStr">
        <is>
          <t>LPD08988</t>
        </is>
      </c>
      <c r="G77" t="inlineStr">
        <is>
          <t>K. DEEPA</t>
        </is>
      </c>
      <c r="H77" t="inlineStr">
        <is>
          <t>LPD08988 | K. DEEPA</t>
        </is>
      </c>
    </row>
    <row r="78">
      <c r="A78" t="inlineStr">
        <is>
          <t>WS78</t>
        </is>
      </c>
      <c r="C78" t="inlineStr">
        <is>
          <t>OP-0090</t>
        </is>
      </c>
      <c r="D78" t="inlineStr">
        <is>
          <t>Pasting on lining &amp; kimlon</t>
        </is>
      </c>
      <c r="E78" t="inlineStr">
        <is>
          <t>OP-0090 | Pasting on lining &amp; kimlon</t>
        </is>
      </c>
      <c r="F78" t="inlineStr">
        <is>
          <t>LPD09981</t>
        </is>
      </c>
      <c r="G78" t="inlineStr">
        <is>
          <t>K. ESWARI</t>
        </is>
      </c>
      <c r="H78" t="inlineStr">
        <is>
          <t>LPD09981 | K. ESWARI</t>
        </is>
      </c>
    </row>
    <row r="79">
      <c r="A79" t="inlineStr">
        <is>
          <t>WS79</t>
        </is>
      </c>
      <c r="C79" t="inlineStr">
        <is>
          <t>OP-0091</t>
        </is>
      </c>
      <c r="D79" t="inlineStr">
        <is>
          <t>Attaching lining with kimlon</t>
        </is>
      </c>
      <c r="E79" t="inlineStr">
        <is>
          <t>OP-0091 | Attaching lining with kimlon</t>
        </is>
      </c>
      <c r="F79" t="inlineStr">
        <is>
          <t>LPD09007</t>
        </is>
      </c>
      <c r="G79" t="inlineStr">
        <is>
          <t>K. FAIYAZ</t>
        </is>
      </c>
      <c r="H79" t="inlineStr">
        <is>
          <t>LPD09007 | K. FAIYAZ</t>
        </is>
      </c>
    </row>
    <row r="80">
      <c r="A80" t="inlineStr">
        <is>
          <t>WS80</t>
        </is>
      </c>
      <c r="C80" t="inlineStr">
        <is>
          <t>OP-0092</t>
        </is>
      </c>
      <c r="D80" t="inlineStr">
        <is>
          <t>Lining folding &amp; cornering</t>
        </is>
      </c>
      <c r="E80" t="inlineStr">
        <is>
          <t>OP-0092 | Lining folding &amp; cornering</t>
        </is>
      </c>
      <c r="F80" t="inlineStr">
        <is>
          <t>LPD10967</t>
        </is>
      </c>
      <c r="G80" t="inlineStr">
        <is>
          <t>K. SHANTHI</t>
        </is>
      </c>
      <c r="H80" t="inlineStr">
        <is>
          <t>LPD10967 | K. SHANTHI</t>
        </is>
      </c>
    </row>
    <row r="81">
      <c r="A81" t="inlineStr">
        <is>
          <t>WS81</t>
        </is>
      </c>
      <c r="C81" t="inlineStr">
        <is>
          <t>OP-0093</t>
        </is>
      </c>
      <c r="D81" t="inlineStr">
        <is>
          <t>Pasting on Left  Gusset 2 Side</t>
        </is>
      </c>
      <c r="E81" t="inlineStr">
        <is>
          <t>OP-0093 | Pasting on Left  Gusset 2 Side</t>
        </is>
      </c>
      <c r="F81" t="inlineStr">
        <is>
          <t>LPD11420</t>
        </is>
      </c>
      <c r="G81" t="inlineStr">
        <is>
          <t>KALPANA</t>
        </is>
      </c>
      <c r="H81" t="inlineStr">
        <is>
          <t>LPD11420 | KALPANA</t>
        </is>
      </c>
    </row>
    <row r="82">
      <c r="A82" t="inlineStr">
        <is>
          <t>WS82</t>
        </is>
      </c>
      <c r="C82" t="inlineStr">
        <is>
          <t>OP-0094</t>
        </is>
      </c>
      <c r="D82" t="inlineStr">
        <is>
          <t>Pasting over Zip Lining</t>
        </is>
      </c>
      <c r="E82" t="inlineStr">
        <is>
          <t>OP-0094 | Pasting over Zip Lining</t>
        </is>
      </c>
      <c r="F82" t="inlineStr">
        <is>
          <t>LPD11221</t>
        </is>
      </c>
      <c r="G82" t="inlineStr">
        <is>
          <t>KANIMOZHI</t>
        </is>
      </c>
      <c r="H82" t="inlineStr">
        <is>
          <t>LPD11221 | KANIMOZHI</t>
        </is>
      </c>
    </row>
    <row r="83">
      <c r="A83" t="inlineStr">
        <is>
          <t>WS83</t>
        </is>
      </c>
      <c r="C83" t="inlineStr">
        <is>
          <t>OP-0095</t>
        </is>
      </c>
      <c r="D83" t="inlineStr">
        <is>
          <t>Attaching Left Gusset 2 Side  With zipper Lining</t>
        </is>
      </c>
      <c r="E83" t="inlineStr">
        <is>
          <t>OP-0095 | Attaching Left Gusset 2 Side  With zipper Lining</t>
        </is>
      </c>
      <c r="F83" t="inlineStr">
        <is>
          <t>LPD10999</t>
        </is>
      </c>
      <c r="G83" t="inlineStr">
        <is>
          <t>KARISHMA</t>
        </is>
      </c>
      <c r="H83" t="inlineStr">
        <is>
          <t>LPD10999 | KARISHMA</t>
        </is>
      </c>
    </row>
    <row r="84">
      <c r="A84" t="inlineStr">
        <is>
          <t>WS84</t>
        </is>
      </c>
      <c r="C84" t="inlineStr">
        <is>
          <t>OP-0096</t>
        </is>
      </c>
      <c r="D84" t="inlineStr">
        <is>
          <t>Pasting on zip collar</t>
        </is>
      </c>
      <c r="E84" t="inlineStr">
        <is>
          <t>OP-0096 | Pasting on zip collar</t>
        </is>
      </c>
      <c r="F84" t="inlineStr">
        <is>
          <t>LPDS95714</t>
        </is>
      </c>
      <c r="G84" t="inlineStr">
        <is>
          <t>KAVITHA SURESH</t>
        </is>
      </c>
      <c r="H84" t="inlineStr">
        <is>
          <t>LPDS95714 | KAVITHA SURESH</t>
        </is>
      </c>
    </row>
    <row r="85">
      <c r="A85" t="inlineStr">
        <is>
          <t>WS85</t>
        </is>
      </c>
      <c r="C85" t="inlineStr">
        <is>
          <t>OP-0097</t>
        </is>
      </c>
      <c r="D85" t="inlineStr">
        <is>
          <t>Pasting on shell</t>
        </is>
      </c>
      <c r="E85" t="inlineStr">
        <is>
          <t>OP-0097 | Pasting on shell</t>
        </is>
      </c>
      <c r="F85" t="inlineStr">
        <is>
          <t>LPD11937</t>
        </is>
      </c>
      <c r="G85" t="inlineStr">
        <is>
          <t>KHURSID ALI MOLLA</t>
        </is>
      </c>
      <c r="H85" t="inlineStr">
        <is>
          <t>LPD11937 | KHURSID ALI MOLLA</t>
        </is>
      </c>
    </row>
    <row r="86">
      <c r="A86" t="inlineStr">
        <is>
          <t>WS86</t>
        </is>
      </c>
      <c r="C86" t="inlineStr">
        <is>
          <t>OP-0098</t>
        </is>
      </c>
      <c r="D86" t="inlineStr">
        <is>
          <t>Attaching Shell &amp;  zip collar</t>
        </is>
      </c>
      <c r="E86" t="inlineStr">
        <is>
          <t>OP-0098 | Attaching Shell &amp;  zip collar</t>
        </is>
      </c>
      <c r="F86" t="inlineStr">
        <is>
          <t>LPD12204</t>
        </is>
      </c>
      <c r="G86" t="inlineStr">
        <is>
          <t>KUMARI</t>
        </is>
      </c>
      <c r="H86" t="inlineStr">
        <is>
          <t>LPD12204 | KUMARI</t>
        </is>
      </c>
    </row>
    <row r="87">
      <c r="A87" t="inlineStr">
        <is>
          <t>WS87</t>
        </is>
      </c>
      <c r="C87" t="inlineStr">
        <is>
          <t>OP-0099</t>
        </is>
      </c>
      <c r="D87" t="inlineStr">
        <is>
          <t>Pasting on Right  Gusset 2- Side</t>
        </is>
      </c>
      <c r="E87" t="inlineStr">
        <is>
          <t>OP-0099 | Pasting on Right  Gusset 2- Side</t>
        </is>
      </c>
      <c r="F87" t="inlineStr">
        <is>
          <t>LPDS95725</t>
        </is>
      </c>
      <c r="G87" t="inlineStr">
        <is>
          <t>LAKSHMI JANAGIRAMAN</t>
        </is>
      </c>
      <c r="H87" t="inlineStr">
        <is>
          <t>LPDS95725 | LAKSHMI JANAGIRAMAN</t>
        </is>
      </c>
    </row>
    <row r="88">
      <c r="A88" t="inlineStr">
        <is>
          <t>WS88</t>
        </is>
      </c>
      <c r="C88" t="inlineStr">
        <is>
          <t>OP-0100</t>
        </is>
      </c>
      <c r="D88" t="inlineStr">
        <is>
          <t>Pasting over  shell</t>
        </is>
      </c>
      <c r="E88" t="inlineStr">
        <is>
          <t>OP-0100 | Pasting over  shell</t>
        </is>
      </c>
      <c r="F88" t="inlineStr">
        <is>
          <t>LPD11669</t>
        </is>
      </c>
      <c r="G88" t="inlineStr">
        <is>
          <t>LEVINA</t>
        </is>
      </c>
      <c r="H88" t="inlineStr">
        <is>
          <t>LPD11669 | LEVINA</t>
        </is>
      </c>
    </row>
    <row r="89">
      <c r="A89" t="inlineStr">
        <is>
          <t>WS89</t>
        </is>
      </c>
      <c r="C89" t="inlineStr">
        <is>
          <t>OP-0101</t>
        </is>
      </c>
      <c r="D89" t="inlineStr">
        <is>
          <t>Attaching  Right  Gusset 2-Side  With shell</t>
        </is>
      </c>
      <c r="E89" t="inlineStr">
        <is>
          <t>OP-0101 | Attaching  Right  Gusset 2-Side  With shell</t>
        </is>
      </c>
      <c r="F89" t="inlineStr">
        <is>
          <t>LPDS95702</t>
        </is>
      </c>
      <c r="G89" t="inlineStr">
        <is>
          <t>M DILSHATH</t>
        </is>
      </c>
      <c r="H89" t="inlineStr">
        <is>
          <t>LPDS95702 | M DILSHATH</t>
        </is>
      </c>
    </row>
    <row r="90">
      <c r="A90" t="inlineStr">
        <is>
          <t>WS90</t>
        </is>
      </c>
      <c r="C90" t="inlineStr">
        <is>
          <t>OP-0102</t>
        </is>
      </c>
      <c r="D90" t="inlineStr">
        <is>
          <t>Pasting on zipper collar support kimlon bit  &amp;  zip collar back</t>
        </is>
      </c>
      <c r="E90" t="inlineStr">
        <is>
          <t>OP-0102 | Pasting on zipper collar support kimlon bit  &amp;  zip collar back</t>
        </is>
      </c>
      <c r="F90" t="inlineStr">
        <is>
          <t>LPD06518</t>
        </is>
      </c>
      <c r="G90" t="inlineStr">
        <is>
          <t>M. ANITHA</t>
        </is>
      </c>
      <c r="H90" t="inlineStr">
        <is>
          <t>LPD06518 | M. ANITHA</t>
        </is>
      </c>
    </row>
    <row r="91">
      <c r="A91" t="inlineStr">
        <is>
          <t>WS91</t>
        </is>
      </c>
      <c r="C91" t="inlineStr">
        <is>
          <t>OP-0103</t>
        </is>
      </c>
      <c r="D91" t="inlineStr">
        <is>
          <t>Attaching zipper collar support kimlon bit over zip collar back</t>
        </is>
      </c>
      <c r="E91" t="inlineStr">
        <is>
          <t>OP-0103 | Attaching zipper collar support kimlon bit over zip collar back</t>
        </is>
      </c>
      <c r="F91" t="inlineStr">
        <is>
          <t>LPD08982</t>
        </is>
      </c>
      <c r="G91" t="inlineStr">
        <is>
          <t>M. APSANA</t>
        </is>
      </c>
      <c r="H91" t="inlineStr">
        <is>
          <t>LPD08982 | M. APSANA</t>
        </is>
      </c>
    </row>
    <row r="92">
      <c r="A92" t="inlineStr">
        <is>
          <t>WS92</t>
        </is>
      </c>
      <c r="C92" t="inlineStr">
        <is>
          <t>OP-0104</t>
        </is>
      </c>
      <c r="D92" t="inlineStr">
        <is>
          <t>Pasting on kimlon (2nos)</t>
        </is>
      </c>
      <c r="E92" t="inlineStr">
        <is>
          <t>OP-0104 | Pasting on kimlon (2nos)</t>
        </is>
      </c>
      <c r="F92" t="inlineStr">
        <is>
          <t>LPD10197</t>
        </is>
      </c>
      <c r="G92" t="inlineStr">
        <is>
          <t>M. GIRIJA</t>
        </is>
      </c>
      <c r="H92" t="inlineStr">
        <is>
          <t>LPD10197 | M. GIRIJA</t>
        </is>
      </c>
    </row>
    <row r="93">
      <c r="A93" t="inlineStr">
        <is>
          <t>WS93</t>
        </is>
      </c>
      <c r="C93" t="inlineStr">
        <is>
          <t>OP-0105</t>
        </is>
      </c>
      <c r="D93" t="inlineStr">
        <is>
          <t>Pasting over Cc pkt lining</t>
        </is>
      </c>
      <c r="E93" t="inlineStr">
        <is>
          <t>OP-0105 | Pasting over Cc pkt lining</t>
        </is>
      </c>
      <c r="F93" t="inlineStr">
        <is>
          <t>LPD05609</t>
        </is>
      </c>
      <c r="G93" t="inlineStr">
        <is>
          <t>M. GOWRI</t>
        </is>
      </c>
      <c r="H93" t="inlineStr">
        <is>
          <t>LPD05609 | M. GOWRI</t>
        </is>
      </c>
    </row>
    <row r="94">
      <c r="A94" t="inlineStr">
        <is>
          <t>WS94</t>
        </is>
      </c>
      <c r="C94" t="inlineStr">
        <is>
          <t>OP-0106</t>
        </is>
      </c>
      <c r="D94" t="inlineStr">
        <is>
          <t>Attaching kimlon over cc pkt lining</t>
        </is>
      </c>
      <c r="E94" t="inlineStr">
        <is>
          <t>OP-0106 | Attaching kimlon over cc pkt lining</t>
        </is>
      </c>
      <c r="F94" t="inlineStr">
        <is>
          <t>LPD12240</t>
        </is>
      </c>
      <c r="G94" t="inlineStr">
        <is>
          <t>M. HAJIRA</t>
        </is>
      </c>
      <c r="H94" t="inlineStr">
        <is>
          <t>LPD12240 | M. HAJIRA</t>
        </is>
      </c>
    </row>
    <row r="95">
      <c r="A95" t="inlineStr">
        <is>
          <t>WS95</t>
        </is>
      </c>
      <c r="C95" t="inlineStr">
        <is>
          <t>OP-0107</t>
        </is>
      </c>
      <c r="D95" t="inlineStr">
        <is>
          <t>Pasting over Cc pkt</t>
        </is>
      </c>
      <c r="E95" t="inlineStr">
        <is>
          <t>OP-0107 | Pasting over Cc pkt</t>
        </is>
      </c>
      <c r="F95" t="inlineStr">
        <is>
          <t>LPD10183</t>
        </is>
      </c>
      <c r="G95" t="inlineStr">
        <is>
          <t>M. KALAIMATHI</t>
        </is>
      </c>
      <c r="H95" t="inlineStr">
        <is>
          <t>LPD10183 | M. KALAIMATHI</t>
        </is>
      </c>
    </row>
    <row r="96">
      <c r="A96" t="inlineStr">
        <is>
          <t>WS96</t>
        </is>
      </c>
      <c r="C96" t="inlineStr">
        <is>
          <t>OP-0108</t>
        </is>
      </c>
      <c r="D96" t="inlineStr">
        <is>
          <t>Pasting over Center stay</t>
        </is>
      </c>
      <c r="E96" t="inlineStr">
        <is>
          <t>OP-0108 | Pasting over Center stay</t>
        </is>
      </c>
      <c r="F96" t="inlineStr">
        <is>
          <t>LPD08346</t>
        </is>
      </c>
      <c r="G96" t="inlineStr">
        <is>
          <t>M. KHADAR BEE</t>
        </is>
      </c>
      <c r="H96" t="inlineStr">
        <is>
          <t>LPD08346 | M. KHADAR BEE</t>
        </is>
      </c>
    </row>
    <row r="97">
      <c r="A97" t="inlineStr">
        <is>
          <t>WS97</t>
        </is>
      </c>
      <c r="C97" t="inlineStr">
        <is>
          <t>OP-0109</t>
        </is>
      </c>
      <c r="D97" t="inlineStr">
        <is>
          <t>Attaching center stay over cc pkt</t>
        </is>
      </c>
      <c r="E97" t="inlineStr">
        <is>
          <t>OP-0109 | Attaching center stay over cc pkt</t>
        </is>
      </c>
      <c r="F97" t="inlineStr">
        <is>
          <t>LPD08142</t>
        </is>
      </c>
      <c r="G97" t="inlineStr">
        <is>
          <t>M. MUMTAJ</t>
        </is>
      </c>
      <c r="H97" t="inlineStr">
        <is>
          <t>LPD08142 | M. MUMTAJ</t>
        </is>
      </c>
    </row>
    <row r="98">
      <c r="A98" t="inlineStr">
        <is>
          <t>WS98</t>
        </is>
      </c>
      <c r="C98" t="inlineStr">
        <is>
          <t>OP-0110</t>
        </is>
      </c>
      <c r="D98" t="inlineStr">
        <is>
          <t>Pasting over window pkt</t>
        </is>
      </c>
      <c r="E98" t="inlineStr">
        <is>
          <t>OP-0110 | Pasting over window pkt</t>
        </is>
      </c>
      <c r="F98" t="inlineStr">
        <is>
          <t>LPD07870</t>
        </is>
      </c>
      <c r="G98" t="inlineStr">
        <is>
          <t>M. NIROSHA</t>
        </is>
      </c>
      <c r="H98" t="inlineStr">
        <is>
          <t>LPD07870 | M. NIROSHA</t>
        </is>
      </c>
    </row>
    <row r="99">
      <c r="A99" t="inlineStr">
        <is>
          <t>WS99</t>
        </is>
      </c>
      <c r="C99" t="inlineStr">
        <is>
          <t>OP-0111</t>
        </is>
      </c>
      <c r="D99" t="inlineStr">
        <is>
          <t>Attaching center stay over window pkt</t>
        </is>
      </c>
      <c r="E99" t="inlineStr">
        <is>
          <t>OP-0111 | Attaching center stay over window pkt</t>
        </is>
      </c>
      <c r="F99" t="inlineStr">
        <is>
          <t>LPD11183</t>
        </is>
      </c>
      <c r="G99" t="inlineStr">
        <is>
          <t>M. RIZWANA</t>
        </is>
      </c>
      <c r="H99" t="inlineStr">
        <is>
          <t>LPD11183 | M. RIZWANA</t>
        </is>
      </c>
    </row>
    <row r="100">
      <c r="A100" t="inlineStr">
        <is>
          <t>WS100</t>
        </is>
      </c>
      <c r="C100" t="inlineStr">
        <is>
          <t>OP-0112</t>
        </is>
      </c>
      <c r="D100" t="inlineStr">
        <is>
          <t>Pasting over shell</t>
        </is>
      </c>
      <c r="E100" t="inlineStr">
        <is>
          <t>OP-0112 | Pasting over shell</t>
        </is>
      </c>
      <c r="F100" t="inlineStr">
        <is>
          <t>LPD09670</t>
        </is>
      </c>
      <c r="G100" t="inlineStr">
        <is>
          <t>M. SIDDIQUA</t>
        </is>
      </c>
      <c r="H100" t="inlineStr">
        <is>
          <t>LPD09670 | M. SIDDIQUA</t>
        </is>
      </c>
    </row>
    <row r="101">
      <c r="C101" t="inlineStr">
        <is>
          <t>OP-0113</t>
        </is>
      </c>
      <c r="D101" t="inlineStr">
        <is>
          <t>Pasting over Center stay pkt</t>
        </is>
      </c>
      <c r="E101" t="inlineStr">
        <is>
          <t>OP-0113 | Pasting over Center stay pkt</t>
        </is>
      </c>
      <c r="F101" t="inlineStr">
        <is>
          <t>LPD09393</t>
        </is>
      </c>
      <c r="G101" t="inlineStr">
        <is>
          <t>M. USHA RANI</t>
        </is>
      </c>
      <c r="H101" t="inlineStr">
        <is>
          <t>LPD09393 | M. USHA RANI</t>
        </is>
      </c>
    </row>
    <row r="102">
      <c r="C102" t="inlineStr">
        <is>
          <t>OP-0114</t>
        </is>
      </c>
      <c r="D102" t="inlineStr">
        <is>
          <t>Attaching center pkt with shell</t>
        </is>
      </c>
      <c r="E102" t="inlineStr">
        <is>
          <t>OP-0114 | Attaching center pkt with shell</t>
        </is>
      </c>
      <c r="F102" t="inlineStr">
        <is>
          <t>LPD11279</t>
        </is>
      </c>
      <c r="G102" t="inlineStr">
        <is>
          <t>M. ZEHRA</t>
        </is>
      </c>
      <c r="H102" t="inlineStr">
        <is>
          <t>LPD11279 | M. ZEHRA</t>
        </is>
      </c>
    </row>
    <row r="103">
      <c r="C103" t="inlineStr">
        <is>
          <t>OP-0115</t>
        </is>
      </c>
      <c r="D103" t="inlineStr">
        <is>
          <t>Pasting over Center stay lining</t>
        </is>
      </c>
      <c r="E103" t="inlineStr">
        <is>
          <t>OP-0115 | Pasting over Center stay lining</t>
        </is>
      </c>
      <c r="F103" t="inlineStr">
        <is>
          <t>LPD12248</t>
        </is>
      </c>
      <c r="G103" t="inlineStr">
        <is>
          <t>MAFIJUL MOLLA</t>
        </is>
      </c>
      <c r="H103" t="inlineStr">
        <is>
          <t>LPD12248 | MAFIJUL MOLLA</t>
        </is>
      </c>
    </row>
    <row r="104">
      <c r="C104" t="inlineStr">
        <is>
          <t>OP-0116</t>
        </is>
      </c>
      <c r="D104" t="inlineStr">
        <is>
          <t>Attaching with closing center stay lining  with shell closing</t>
        </is>
      </c>
      <c r="E104" t="inlineStr">
        <is>
          <t>OP-0116 | Attaching with closing center stay lining  with shell closing</t>
        </is>
      </c>
      <c r="F104" t="inlineStr">
        <is>
          <t>LPD11204</t>
        </is>
      </c>
      <c r="G104" t="inlineStr">
        <is>
          <t>MAHALAKSHMI</t>
        </is>
      </c>
      <c r="H104" t="inlineStr">
        <is>
          <t>LPD11204 | MAHALAKSHMI</t>
        </is>
      </c>
    </row>
    <row r="105">
      <c r="C105" t="inlineStr">
        <is>
          <t>OP-0117</t>
        </is>
      </c>
      <c r="D105" t="inlineStr">
        <is>
          <t>Stitching L&amp;R Shell &amp; zip collar</t>
        </is>
      </c>
      <c r="E105" t="inlineStr">
        <is>
          <t>OP-0117 | Stitching L&amp;R Shell &amp; zip collar</t>
        </is>
      </c>
      <c r="F105" t="inlineStr">
        <is>
          <t>LPD12247</t>
        </is>
      </c>
      <c r="G105" t="inlineStr">
        <is>
          <t>MARUF HOSSAIN PIYADA</t>
        </is>
      </c>
      <c r="H105" t="inlineStr">
        <is>
          <t>LPD12247 | MARUF HOSSAIN PIYADA</t>
        </is>
      </c>
    </row>
    <row r="106">
      <c r="C106" t="inlineStr">
        <is>
          <t>OP-0118</t>
        </is>
      </c>
      <c r="D106" t="inlineStr">
        <is>
          <t>Stitching center stay over cc pkt</t>
        </is>
      </c>
      <c r="E106" t="inlineStr">
        <is>
          <t>OP-0118 | Stitching center stay over cc pkt</t>
        </is>
      </c>
      <c r="F106" t="inlineStr">
        <is>
          <t>LPD11314</t>
        </is>
      </c>
      <c r="G106" t="inlineStr">
        <is>
          <t>MD ILYAS</t>
        </is>
      </c>
      <c r="H106" t="inlineStr">
        <is>
          <t>LPD11314 | MD ILYAS</t>
        </is>
      </c>
    </row>
    <row r="107">
      <c r="C107" t="inlineStr">
        <is>
          <t>OP-0119</t>
        </is>
      </c>
      <c r="D107" t="inlineStr">
        <is>
          <t>Pasting over backwall lining</t>
        </is>
      </c>
      <c r="E107" t="inlineStr">
        <is>
          <t>OP-0119 | Pasting over backwall lining</t>
        </is>
      </c>
      <c r="F107" t="inlineStr">
        <is>
          <t>LPD12221</t>
        </is>
      </c>
      <c r="G107" t="inlineStr">
        <is>
          <t>MD YAMIN ALI MOLLA</t>
        </is>
      </c>
      <c r="H107" t="inlineStr">
        <is>
          <t>LPD12221 | MD YAMIN ALI MOLLA</t>
        </is>
      </c>
    </row>
    <row r="108">
      <c r="C108" t="inlineStr">
        <is>
          <t>OP-0120</t>
        </is>
      </c>
      <c r="D108" t="inlineStr">
        <is>
          <t>Attaching  centerstay /window pkt over backwall lining</t>
        </is>
      </c>
      <c r="E108" t="inlineStr">
        <is>
          <t>OP-0120 | Attaching  centerstay /window pkt over backwall lining</t>
        </is>
      </c>
      <c r="F108" t="inlineStr">
        <is>
          <t>LPD11278</t>
        </is>
      </c>
      <c r="G108" t="inlineStr">
        <is>
          <t>MD. INTAKHAB</t>
        </is>
      </c>
      <c r="H108" t="inlineStr">
        <is>
          <t>LPD11278 | MD. INTAKHAB</t>
        </is>
      </c>
    </row>
    <row r="109">
      <c r="C109" t="inlineStr">
        <is>
          <t>OP-0121</t>
        </is>
      </c>
      <c r="D109" t="inlineStr">
        <is>
          <t>Pasting over  Right shell</t>
        </is>
      </c>
      <c r="E109" t="inlineStr">
        <is>
          <t>OP-0121 | Pasting over  Right shell</t>
        </is>
      </c>
      <c r="F109" t="inlineStr">
        <is>
          <t>LPD11618</t>
        </is>
      </c>
      <c r="G109" t="inlineStr">
        <is>
          <t>MD. NASIM</t>
        </is>
      </c>
      <c r="H109" t="inlineStr">
        <is>
          <t>LPD11618 | MD. NASIM</t>
        </is>
      </c>
    </row>
    <row r="110">
      <c r="C110" t="inlineStr">
        <is>
          <t>OP-0122</t>
        </is>
      </c>
      <c r="D110" t="inlineStr">
        <is>
          <t>Pasting over Left Window Center stay pkt</t>
        </is>
      </c>
      <c r="E110" t="inlineStr">
        <is>
          <t>OP-0122 | Pasting over Left Window Center stay pkt</t>
        </is>
      </c>
      <c r="F110" t="inlineStr">
        <is>
          <t>LPD10281</t>
        </is>
      </c>
      <c r="G110" t="inlineStr">
        <is>
          <t>MD. SHAMIM AHAMAD</t>
        </is>
      </c>
      <c r="H110" t="inlineStr">
        <is>
          <t>LPD10281 | MD. SHAMIM AHAMAD</t>
        </is>
      </c>
    </row>
    <row r="111">
      <c r="C111" t="inlineStr">
        <is>
          <t>OP-0123</t>
        </is>
      </c>
      <c r="D111" t="inlineStr">
        <is>
          <t>Attaching left center pkt with right shell</t>
        </is>
      </c>
      <c r="E111" t="inlineStr">
        <is>
          <t>OP-0123 | Attaching left center pkt with right shell</t>
        </is>
      </c>
      <c r="F111" t="inlineStr">
        <is>
          <t>LPD11532</t>
        </is>
      </c>
      <c r="G111" t="inlineStr">
        <is>
          <t>MD. TANVEER</t>
        </is>
      </c>
      <c r="H111" t="inlineStr">
        <is>
          <t>LPD11532 | MD. TANVEER</t>
        </is>
      </c>
    </row>
    <row r="112">
      <c r="C112" t="inlineStr">
        <is>
          <t>OP-0124</t>
        </is>
      </c>
      <c r="D112" t="inlineStr">
        <is>
          <t>Stitching top side of cc pkt &amp;bottom centerstay</t>
        </is>
      </c>
      <c r="E112" t="inlineStr">
        <is>
          <t>OP-0124 | Stitching top side of cc pkt &amp;bottom centerstay</t>
        </is>
      </c>
      <c r="F112" t="inlineStr">
        <is>
          <t>LPD12238</t>
        </is>
      </c>
      <c r="G112" t="inlineStr">
        <is>
          <t>MEENA S</t>
        </is>
      </c>
      <c r="H112" t="inlineStr">
        <is>
          <t>LPD12238 | MEENA S</t>
        </is>
      </c>
    </row>
    <row r="113">
      <c r="C113" t="inlineStr">
        <is>
          <t>OP-0125</t>
        </is>
      </c>
      <c r="D113" t="inlineStr">
        <is>
          <t>Promoter</t>
        </is>
      </c>
      <c r="E113" t="inlineStr">
        <is>
          <t>OP-0125 | Promoter</t>
        </is>
      </c>
      <c r="F113" t="inlineStr">
        <is>
          <t>LPD12211</t>
        </is>
      </c>
      <c r="G113" t="inlineStr">
        <is>
          <t>MOHAMMAD SAHEB</t>
        </is>
      </c>
      <c r="H113" t="inlineStr">
        <is>
          <t>LPD12211 | MOHAMMAD SAHEB</t>
        </is>
      </c>
    </row>
    <row r="114">
      <c r="C114" t="inlineStr">
        <is>
          <t>OP-0126</t>
        </is>
      </c>
      <c r="D114" t="inlineStr">
        <is>
          <t>Dye</t>
        </is>
      </c>
      <c r="E114" t="inlineStr">
        <is>
          <t>OP-0126 | Dye</t>
        </is>
      </c>
      <c r="F114" t="inlineStr">
        <is>
          <t>LPDS95359</t>
        </is>
      </c>
      <c r="G114" t="inlineStr">
        <is>
          <t>MOHAMMED ZAIBAS M</t>
        </is>
      </c>
      <c r="H114" t="inlineStr">
        <is>
          <t>LPDS95359 | MOHAMMED ZAIBAS M</t>
        </is>
      </c>
    </row>
    <row r="115">
      <c r="C115" t="inlineStr">
        <is>
          <t>OP-0127</t>
        </is>
      </c>
      <c r="D115" t="inlineStr">
        <is>
          <t>Pasting  Top backwall &amp; top</t>
        </is>
      </c>
      <c r="E115" t="inlineStr">
        <is>
          <t>OP-0127 | Pasting  Top backwall &amp; top</t>
        </is>
      </c>
      <c r="F115" t="inlineStr">
        <is>
          <t>LPD07687</t>
        </is>
      </c>
      <c r="G115" t="inlineStr">
        <is>
          <t>MUBARAK</t>
        </is>
      </c>
      <c r="H115" t="inlineStr">
        <is>
          <t>LPD07687 | MUBARAK</t>
        </is>
      </c>
    </row>
    <row r="116">
      <c r="C116" t="inlineStr">
        <is>
          <t>OP-0128</t>
        </is>
      </c>
      <c r="D116" t="inlineStr">
        <is>
          <t>Attaching lining on top backwall&amp; top</t>
        </is>
      </c>
      <c r="E116" t="inlineStr">
        <is>
          <t>OP-0128 | Attaching lining on top backwall&amp; top</t>
        </is>
      </c>
      <c r="F116" t="inlineStr">
        <is>
          <t>LPD10255</t>
        </is>
      </c>
      <c r="G116" t="inlineStr">
        <is>
          <t>MUGINA</t>
        </is>
      </c>
      <c r="H116" t="inlineStr">
        <is>
          <t>LPD10255 | MUGINA</t>
        </is>
      </c>
    </row>
    <row r="117">
      <c r="C117" t="inlineStr">
        <is>
          <t>OP-0129</t>
        </is>
      </c>
      <c r="D117" t="inlineStr">
        <is>
          <t>Stitching Lining with backwall &amp; moon bit</t>
        </is>
      </c>
      <c r="E117" t="inlineStr">
        <is>
          <t>OP-0129 | Stitching Lining with backwall &amp; moon bit</t>
        </is>
      </c>
      <c r="F117" t="inlineStr">
        <is>
          <t>LPD95781</t>
        </is>
      </c>
      <c r="G117" t="inlineStr">
        <is>
          <t>MULLAI KODI</t>
        </is>
      </c>
      <c r="H117" t="inlineStr">
        <is>
          <t>LPD95781 | MULLAI KODI</t>
        </is>
      </c>
    </row>
    <row r="118">
      <c r="C118" t="inlineStr">
        <is>
          <t>OP-0130</t>
        </is>
      </c>
      <c r="D118" t="inlineStr">
        <is>
          <t>Thread Pull, Pasting</t>
        </is>
      </c>
      <c r="E118" t="inlineStr">
        <is>
          <t>OP-0130 | Thread Pull, Pasting</t>
        </is>
      </c>
      <c r="F118" t="inlineStr">
        <is>
          <t>LPDS95788</t>
        </is>
      </c>
      <c r="G118" t="inlineStr">
        <is>
          <t>MUMTAZ</t>
        </is>
      </c>
      <c r="H118" t="inlineStr">
        <is>
          <t>LPDS95788 | MUMTAZ</t>
        </is>
      </c>
    </row>
    <row r="119">
      <c r="C119" t="inlineStr">
        <is>
          <t>OP-0131</t>
        </is>
      </c>
      <c r="D119" t="inlineStr">
        <is>
          <t>Pasting over Zip shell</t>
        </is>
      </c>
      <c r="E119" t="inlineStr">
        <is>
          <t>OP-0131 | Pasting over Zip shell</t>
        </is>
      </c>
      <c r="F119" t="inlineStr">
        <is>
          <t>LPD11453</t>
        </is>
      </c>
      <c r="G119" t="inlineStr">
        <is>
          <t>MUNNI</t>
        </is>
      </c>
      <c r="H119" t="inlineStr">
        <is>
          <t>LPD11453 | MUNNI</t>
        </is>
      </c>
    </row>
    <row r="120">
      <c r="C120" t="inlineStr">
        <is>
          <t>OP-0132</t>
        </is>
      </c>
      <c r="D120" t="inlineStr">
        <is>
          <t>Inserting mould</t>
        </is>
      </c>
      <c r="E120" t="inlineStr">
        <is>
          <t>OP-0132 | Inserting mould</t>
        </is>
      </c>
      <c r="F120" t="inlineStr">
        <is>
          <t>LPD10916</t>
        </is>
      </c>
      <c r="G120" t="inlineStr">
        <is>
          <t>N. JAYACHITRA</t>
        </is>
      </c>
      <c r="H120" t="inlineStr">
        <is>
          <t>LPD10916 | N. JAYACHITRA</t>
        </is>
      </c>
    </row>
    <row r="121">
      <c r="C121" t="inlineStr">
        <is>
          <t>OP-0133</t>
        </is>
      </c>
      <c r="D121" t="inlineStr">
        <is>
          <t>Attaching Zipper with case in Mould  &amp; Cornnering Zipper over Lining  &amp; mould removing</t>
        </is>
      </c>
      <c r="E121" t="inlineStr">
        <is>
          <t>OP-0133 | Attaching Zipper with case in Mould  &amp; Cornnering Zipper over Lining  &amp; mould removing</t>
        </is>
      </c>
      <c r="F121" t="inlineStr">
        <is>
          <t>LPD05412</t>
        </is>
      </c>
      <c r="G121" t="inlineStr">
        <is>
          <t>N. KHALEEL AHMED</t>
        </is>
      </c>
      <c r="H121" t="inlineStr">
        <is>
          <t>LPD05412 | N. KHALEEL AHMED</t>
        </is>
      </c>
    </row>
    <row r="122">
      <c r="C122" t="inlineStr">
        <is>
          <t>OP-0134</t>
        </is>
      </c>
      <c r="D122" t="inlineStr">
        <is>
          <t>Pasting over shell final</t>
        </is>
      </c>
      <c r="E122" t="inlineStr">
        <is>
          <t>OP-0134 | Pasting over shell final</t>
        </is>
      </c>
      <c r="F122" t="inlineStr">
        <is>
          <t>LPDS95741</t>
        </is>
      </c>
      <c r="G122" t="inlineStr">
        <is>
          <t>N. SUMITHRA</t>
        </is>
      </c>
      <c r="H122" t="inlineStr">
        <is>
          <t>LPDS95741 | N. SUMITHRA</t>
        </is>
      </c>
    </row>
    <row r="123">
      <c r="C123" t="inlineStr">
        <is>
          <t>OP-0135</t>
        </is>
      </c>
      <c r="D123" t="inlineStr">
        <is>
          <t>Label prepration</t>
        </is>
      </c>
      <c r="E123" t="inlineStr">
        <is>
          <t>OP-0135 | Label prepration</t>
        </is>
      </c>
      <c r="F123" t="inlineStr">
        <is>
          <t>LPD11690</t>
        </is>
      </c>
      <c r="G123" t="inlineStr">
        <is>
          <t>NANDHINI</t>
        </is>
      </c>
      <c r="H123" t="inlineStr">
        <is>
          <t>LPD11690 | NANDHINI</t>
        </is>
      </c>
    </row>
    <row r="124">
      <c r="C124" t="inlineStr">
        <is>
          <t>OP-0136</t>
        </is>
      </c>
      <c r="D124" t="inlineStr">
        <is>
          <t>Pasting on label</t>
        </is>
      </c>
      <c r="E124" t="inlineStr">
        <is>
          <t>OP-0136 | Pasting on label</t>
        </is>
      </c>
      <c r="F124" t="inlineStr">
        <is>
          <t>LPD12203</t>
        </is>
      </c>
      <c r="G124" t="inlineStr">
        <is>
          <t>NASREEN S</t>
        </is>
      </c>
      <c r="H124" t="inlineStr">
        <is>
          <t>LPD12203 | NASREEN S</t>
        </is>
      </c>
    </row>
    <row r="125">
      <c r="C125" t="inlineStr">
        <is>
          <t>OP-0137</t>
        </is>
      </c>
      <c r="D125" t="inlineStr">
        <is>
          <t>Attaching label</t>
        </is>
      </c>
      <c r="E125" t="inlineStr">
        <is>
          <t>OP-0137 | Attaching label</t>
        </is>
      </c>
      <c r="F125" t="inlineStr">
        <is>
          <t>LPDS95252</t>
        </is>
      </c>
      <c r="G125" t="inlineStr">
        <is>
          <t>P VENDA</t>
        </is>
      </c>
      <c r="H125" t="inlineStr">
        <is>
          <t>LPDS95252 | P VENDA</t>
        </is>
      </c>
    </row>
    <row r="126">
      <c r="C126" t="inlineStr">
        <is>
          <t>OP-0138</t>
        </is>
      </c>
      <c r="D126" t="inlineStr">
        <is>
          <t>Final Attaching</t>
        </is>
      </c>
      <c r="E126" t="inlineStr">
        <is>
          <t>OP-0138 | Final Attaching</t>
        </is>
      </c>
      <c r="F126" t="inlineStr">
        <is>
          <t>LPD08204</t>
        </is>
      </c>
      <c r="G126" t="inlineStr">
        <is>
          <t>P. ANITHA</t>
        </is>
      </c>
      <c r="H126" t="inlineStr">
        <is>
          <t>LPD08204 | P. ANITHA</t>
        </is>
      </c>
    </row>
    <row r="127">
      <c r="C127" t="inlineStr">
        <is>
          <t>OP-0139</t>
        </is>
      </c>
      <c r="D127" t="inlineStr">
        <is>
          <t>Final Stitching</t>
        </is>
      </c>
      <c r="E127" t="inlineStr">
        <is>
          <t>OP-0139 | Final Stitching</t>
        </is>
      </c>
      <c r="F127" t="inlineStr">
        <is>
          <t>LPD11712</t>
        </is>
      </c>
      <c r="G127" t="inlineStr">
        <is>
          <t>P. GAYATHRI</t>
        </is>
      </c>
      <c r="H127" t="inlineStr">
        <is>
          <t>LPD11712 | P. GAYATHRI</t>
        </is>
      </c>
    </row>
    <row r="128">
      <c r="C128" t="inlineStr">
        <is>
          <t>OP-0140</t>
        </is>
      </c>
      <c r="D128" t="inlineStr">
        <is>
          <t>Puller fixing</t>
        </is>
      </c>
      <c r="E128" t="inlineStr">
        <is>
          <t>OP-0140 | Puller fixing</t>
        </is>
      </c>
      <c r="F128" t="inlineStr">
        <is>
          <t>LPD04824</t>
        </is>
      </c>
      <c r="G128" t="inlineStr">
        <is>
          <t>P. LOGANAYAGI</t>
        </is>
      </c>
      <c r="H128" t="inlineStr">
        <is>
          <t>LPD04824 | P. LOGANAYAGI</t>
        </is>
      </c>
    </row>
    <row r="129">
      <c r="C129" t="inlineStr">
        <is>
          <t>OP-0141</t>
        </is>
      </c>
      <c r="D129" t="inlineStr">
        <is>
          <t>TOP PASTING</t>
        </is>
      </c>
      <c r="E129" t="inlineStr">
        <is>
          <t>OP-0141 | TOP PASTING</t>
        </is>
      </c>
      <c r="F129" t="inlineStr">
        <is>
          <t>LPD09944</t>
        </is>
      </c>
      <c r="G129" t="inlineStr">
        <is>
          <t>PARVEEN</t>
        </is>
      </c>
      <c r="H129" t="inlineStr">
        <is>
          <t>LPD09944 | PARVEEN</t>
        </is>
      </c>
    </row>
    <row r="130">
      <c r="C130" t="inlineStr">
        <is>
          <t>OP-0142</t>
        </is>
      </c>
      <c r="D130" t="inlineStr">
        <is>
          <t>KIMLON PASTING</t>
        </is>
      </c>
      <c r="E130" t="inlineStr">
        <is>
          <t>OP-0142 | KIMLON PASTING</t>
        </is>
      </c>
      <c r="F130" t="inlineStr">
        <is>
          <t>LPD10276</t>
        </is>
      </c>
      <c r="G130" t="inlineStr">
        <is>
          <t>PARVEEN</t>
        </is>
      </c>
      <c r="H130" t="inlineStr">
        <is>
          <t>LPD10276 | PARVEEN</t>
        </is>
      </c>
    </row>
    <row r="131">
      <c r="C131" t="inlineStr">
        <is>
          <t>OP-0143</t>
        </is>
      </c>
      <c r="D131" t="inlineStr">
        <is>
          <t>ATTACHING TOP &amp; KIMLON</t>
        </is>
      </c>
      <c r="E131" t="inlineStr">
        <is>
          <t>OP-0143 | ATTACHING TOP &amp; KIMLON</t>
        </is>
      </c>
      <c r="F131" t="inlineStr">
        <is>
          <t>LPDS95790</t>
        </is>
      </c>
      <c r="G131" t="inlineStr">
        <is>
          <t>PARWEEN</t>
        </is>
      </c>
      <c r="H131" t="inlineStr">
        <is>
          <t>LPDS95790 | PARWEEN</t>
        </is>
      </c>
    </row>
    <row r="132">
      <c r="C132" t="inlineStr">
        <is>
          <t>OP-0144</t>
        </is>
      </c>
      <c r="D132" t="inlineStr">
        <is>
          <t>GUSSET STITCHING -2NOS</t>
        </is>
      </c>
      <c r="E132" t="inlineStr">
        <is>
          <t>OP-0144 | GUSSET STITCHING -2NOS</t>
        </is>
      </c>
      <c r="F132" t="inlineStr">
        <is>
          <t>LPD11692</t>
        </is>
      </c>
      <c r="G132" t="inlineStr">
        <is>
          <t>POORNIMA VIMAL</t>
        </is>
      </c>
      <c r="H132" t="inlineStr">
        <is>
          <t>LPD11692 | POORNIMA VIMAL</t>
        </is>
      </c>
    </row>
    <row r="133">
      <c r="C133" t="inlineStr">
        <is>
          <t>OP-0145</t>
        </is>
      </c>
      <c r="D133" t="inlineStr">
        <is>
          <t>GUSSET LAMPING -2NOS</t>
        </is>
      </c>
      <c r="E133" t="inlineStr">
        <is>
          <t>OP-0145 | GUSSET LAMPING -2NOS</t>
        </is>
      </c>
      <c r="F133" t="inlineStr">
        <is>
          <t>LPD11396</t>
        </is>
      </c>
      <c r="G133" t="inlineStr">
        <is>
          <t>PRECILA</t>
        </is>
      </c>
      <c r="H133" t="inlineStr">
        <is>
          <t>LPD11396 | PRECILA</t>
        </is>
      </c>
    </row>
    <row r="134">
      <c r="C134" t="inlineStr">
        <is>
          <t>OP-0146</t>
        </is>
      </c>
      <c r="D134" t="inlineStr">
        <is>
          <t>GUSSET SHAPING</t>
        </is>
      </c>
      <c r="E134" t="inlineStr">
        <is>
          <t>OP-0146 | GUSSET SHAPING</t>
        </is>
      </c>
      <c r="F134" t="inlineStr">
        <is>
          <t>LPD10889</t>
        </is>
      </c>
      <c r="G134" t="inlineStr">
        <is>
          <t>PUNITHA</t>
        </is>
      </c>
      <c r="H134" t="inlineStr">
        <is>
          <t>LPD10889 | PUNITHA</t>
        </is>
      </c>
    </row>
    <row r="135">
      <c r="C135" t="inlineStr">
        <is>
          <t>OP-0147</t>
        </is>
      </c>
      <c r="D135" t="inlineStr">
        <is>
          <t>PATTI PROMOTOR</t>
        </is>
      </c>
      <c r="E135" t="inlineStr">
        <is>
          <t>OP-0147 | PATTI PROMOTOR</t>
        </is>
      </c>
      <c r="F135" t="inlineStr">
        <is>
          <t>LPD12097</t>
        </is>
      </c>
      <c r="G135" t="inlineStr">
        <is>
          <t>R STELLA</t>
        </is>
      </c>
      <c r="H135" t="inlineStr">
        <is>
          <t>LPD12097 | R STELLA</t>
        </is>
      </c>
    </row>
    <row r="136">
      <c r="C136" t="inlineStr">
        <is>
          <t>OP-0148</t>
        </is>
      </c>
      <c r="D136" t="inlineStr">
        <is>
          <t>PATTI PRIMER 1</t>
        </is>
      </c>
      <c r="E136" t="inlineStr">
        <is>
          <t>OP-0148 | PATTI PRIMER 1</t>
        </is>
      </c>
      <c r="F136" t="inlineStr">
        <is>
          <t>LPD09963</t>
        </is>
      </c>
      <c r="G136" t="inlineStr">
        <is>
          <t>R. AMBIKA</t>
        </is>
      </c>
      <c r="H136" t="inlineStr">
        <is>
          <t>LPD09963 | R. AMBIKA</t>
        </is>
      </c>
    </row>
    <row r="137">
      <c r="C137" t="inlineStr">
        <is>
          <t>OP-0149</t>
        </is>
      </c>
      <c r="D137" t="inlineStr">
        <is>
          <t>PATTI PRIMER 2</t>
        </is>
      </c>
      <c r="E137" t="inlineStr">
        <is>
          <t>OP-0149 | PATTI PRIMER 2</t>
        </is>
      </c>
      <c r="F137" t="inlineStr">
        <is>
          <t>LPDS95740</t>
        </is>
      </c>
      <c r="G137" t="inlineStr">
        <is>
          <t>R. AMUDHA</t>
        </is>
      </c>
      <c r="H137" t="inlineStr">
        <is>
          <t>LPDS95740 | R. AMUDHA</t>
        </is>
      </c>
    </row>
    <row r="138">
      <c r="C138" t="inlineStr">
        <is>
          <t>OP-0150</t>
        </is>
      </c>
      <c r="D138" t="inlineStr">
        <is>
          <t>PATTI DYE</t>
        </is>
      </c>
      <c r="E138" t="inlineStr">
        <is>
          <t>OP-0150 | PATTI DYE</t>
        </is>
      </c>
      <c r="F138" t="inlineStr">
        <is>
          <t>LPD07789</t>
        </is>
      </c>
      <c r="G138" t="inlineStr">
        <is>
          <t>R. KAVITHA</t>
        </is>
      </c>
      <c r="H138" t="inlineStr">
        <is>
          <t>LPD07789 | R. KAVITHA</t>
        </is>
      </c>
    </row>
    <row r="139">
      <c r="F139" t="inlineStr">
        <is>
          <t>LPD10987</t>
        </is>
      </c>
      <c r="G139" t="inlineStr">
        <is>
          <t>R. SHEELA</t>
        </is>
      </c>
      <c r="H139" t="inlineStr">
        <is>
          <t>LPD10987 | R. SHEELA</t>
        </is>
      </c>
    </row>
    <row r="140">
      <c r="F140" t="inlineStr">
        <is>
          <t>LPD05183</t>
        </is>
      </c>
      <c r="G140" t="inlineStr">
        <is>
          <t>R. SRI DEVI</t>
        </is>
      </c>
      <c r="H140" t="inlineStr">
        <is>
          <t>LPD05183 | R. SRI DEVI</t>
        </is>
      </c>
    </row>
    <row r="141">
      <c r="F141" t="inlineStr">
        <is>
          <t>LPD00334</t>
        </is>
      </c>
      <c r="G141" t="inlineStr">
        <is>
          <t>R. VASANTHI</t>
        </is>
      </c>
      <c r="H141" t="inlineStr">
        <is>
          <t>LPD00334 | R. VASANTHI</t>
        </is>
      </c>
    </row>
    <row r="142">
      <c r="F142" t="inlineStr">
        <is>
          <t>LPD07485</t>
        </is>
      </c>
      <c r="G142" t="inlineStr">
        <is>
          <t>R. VENNILA</t>
        </is>
      </c>
      <c r="H142" t="inlineStr">
        <is>
          <t>LPD07485 | R. VENNILA</t>
        </is>
      </c>
    </row>
    <row r="143">
      <c r="F143" t="inlineStr">
        <is>
          <t>LPD12254</t>
        </is>
      </c>
      <c r="G143" t="inlineStr">
        <is>
          <t>RABIUL MOLLA</t>
        </is>
      </c>
      <c r="H143" t="inlineStr">
        <is>
          <t>LPD12254 | RABIUL MOLLA</t>
        </is>
      </c>
    </row>
    <row r="144">
      <c r="F144" t="inlineStr">
        <is>
          <t>LPD12262</t>
        </is>
      </c>
      <c r="G144" t="inlineStr">
        <is>
          <t>RAHIM</t>
        </is>
      </c>
      <c r="H144" t="inlineStr">
        <is>
          <t>LPD12262 | RAHIM</t>
        </is>
      </c>
    </row>
    <row r="145">
      <c r="F145" t="inlineStr">
        <is>
          <t>LPD10171</t>
        </is>
      </c>
      <c r="G145" t="inlineStr">
        <is>
          <t>RAJESWARI</t>
        </is>
      </c>
      <c r="H145" t="inlineStr">
        <is>
          <t>LPD10171 | RAJESWARI</t>
        </is>
      </c>
    </row>
    <row r="146">
      <c r="F146" t="inlineStr">
        <is>
          <t>LPD10795</t>
        </is>
      </c>
      <c r="G146" t="inlineStr">
        <is>
          <t>RAKIB</t>
        </is>
      </c>
      <c r="H146" t="inlineStr">
        <is>
          <t>LPD10795 | RAKIB</t>
        </is>
      </c>
    </row>
    <row r="147">
      <c r="F147" t="inlineStr">
        <is>
          <t>LPD10618</t>
        </is>
      </c>
      <c r="G147" t="inlineStr">
        <is>
          <t>RAMEEZA</t>
        </is>
      </c>
      <c r="H147" t="inlineStr">
        <is>
          <t>LPD10618 | RAMEEZA</t>
        </is>
      </c>
    </row>
    <row r="148">
      <c r="F148" t="inlineStr">
        <is>
          <t>LPD10907</t>
        </is>
      </c>
      <c r="G148" t="inlineStr">
        <is>
          <t>RASOOL</t>
        </is>
      </c>
      <c r="H148" t="inlineStr">
        <is>
          <t>LPD10907 | RASOOL</t>
        </is>
      </c>
    </row>
    <row r="149">
      <c r="F149" t="inlineStr">
        <is>
          <t>LPDS94644</t>
        </is>
      </c>
      <c r="G149" t="inlineStr">
        <is>
          <t>RAVICHITRA</t>
        </is>
      </c>
      <c r="H149" t="inlineStr">
        <is>
          <t>LPDS94644 | RAVICHITRA</t>
        </is>
      </c>
    </row>
    <row r="150">
      <c r="F150" t="inlineStr">
        <is>
          <t>LPD09605</t>
        </is>
      </c>
      <c r="G150" t="inlineStr">
        <is>
          <t>REKHA</t>
        </is>
      </c>
      <c r="H150" t="inlineStr">
        <is>
          <t>LPD09605 | REKHA</t>
        </is>
      </c>
    </row>
    <row r="151">
      <c r="F151" t="inlineStr">
        <is>
          <t>LPD10035</t>
        </is>
      </c>
      <c r="G151" t="inlineStr">
        <is>
          <t>REVATHI</t>
        </is>
      </c>
      <c r="H151" t="inlineStr">
        <is>
          <t>LPD10035 | REVATHI</t>
        </is>
      </c>
    </row>
    <row r="152">
      <c r="F152" t="inlineStr">
        <is>
          <t>LPDS95527</t>
        </is>
      </c>
      <c r="G152" t="inlineStr">
        <is>
          <t>REVATHI R</t>
        </is>
      </c>
      <c r="H152" t="inlineStr">
        <is>
          <t>LPDS95527 | REVATHI R</t>
        </is>
      </c>
    </row>
    <row r="153">
      <c r="F153" t="inlineStr">
        <is>
          <t>LPD09907</t>
        </is>
      </c>
      <c r="G153" t="inlineStr">
        <is>
          <t>RIZWAN</t>
        </is>
      </c>
      <c r="H153" t="inlineStr">
        <is>
          <t>LPD09907 | RIZWAN</t>
        </is>
      </c>
    </row>
    <row r="154">
      <c r="F154" t="inlineStr">
        <is>
          <t>LPD11625</t>
        </is>
      </c>
      <c r="G154" t="inlineStr">
        <is>
          <t>RUHUL AMIN</t>
        </is>
      </c>
      <c r="H154" t="inlineStr">
        <is>
          <t>LPD11625 | RUHUL AMIN</t>
        </is>
      </c>
    </row>
    <row r="155">
      <c r="F155" t="inlineStr">
        <is>
          <t>LPD12099</t>
        </is>
      </c>
      <c r="G155" t="inlineStr">
        <is>
          <t>S AMUDHA</t>
        </is>
      </c>
      <c r="H155" t="inlineStr">
        <is>
          <t>LPD12099 | S AMUDHA</t>
        </is>
      </c>
    </row>
    <row r="156">
      <c r="F156" t="inlineStr">
        <is>
          <t>LPDS95729</t>
        </is>
      </c>
      <c r="G156" t="inlineStr">
        <is>
          <t>S MUNNI</t>
        </is>
      </c>
      <c r="H156" t="inlineStr">
        <is>
          <t>LPDS95729 | S MUNNI</t>
        </is>
      </c>
    </row>
    <row r="157">
      <c r="F157" t="inlineStr">
        <is>
          <t>LPDS95753</t>
        </is>
      </c>
      <c r="G157" t="inlineStr">
        <is>
          <t>S THABASSUM</t>
        </is>
      </c>
      <c r="H157" t="inlineStr">
        <is>
          <t>LPDS95753 | S THABASSUM</t>
        </is>
      </c>
    </row>
    <row r="158">
      <c r="F158" t="inlineStr">
        <is>
          <t>LPD11482</t>
        </is>
      </c>
      <c r="G158" t="inlineStr">
        <is>
          <t>S. MD. SULTAN</t>
        </is>
      </c>
      <c r="H158" t="inlineStr">
        <is>
          <t>LPD11482 | S. MD. SULTAN</t>
        </is>
      </c>
    </row>
    <row r="159">
      <c r="F159" t="inlineStr">
        <is>
          <t>LPD00071</t>
        </is>
      </c>
      <c r="G159" t="inlineStr">
        <is>
          <t>S. NASEEMA</t>
        </is>
      </c>
      <c r="H159" t="inlineStr">
        <is>
          <t>LPD00071 | S. NASEEMA</t>
        </is>
      </c>
    </row>
    <row r="160">
      <c r="F160" t="inlineStr">
        <is>
          <t>LPD05920</t>
        </is>
      </c>
      <c r="G160" t="inlineStr">
        <is>
          <t>S. PARMESHWARI</t>
        </is>
      </c>
      <c r="H160" t="inlineStr">
        <is>
          <t>LPD05920 | S. PARMESHWARI</t>
        </is>
      </c>
    </row>
    <row r="161">
      <c r="F161" t="inlineStr">
        <is>
          <t>LPD07950</t>
        </is>
      </c>
      <c r="G161" t="inlineStr">
        <is>
          <t>S. RAHIMUNNISA</t>
        </is>
      </c>
      <c r="H161" t="inlineStr">
        <is>
          <t>LPD07950 | S. RAHIMUNNISA</t>
        </is>
      </c>
    </row>
    <row r="162">
      <c r="F162" t="inlineStr">
        <is>
          <t>LPD04803</t>
        </is>
      </c>
      <c r="G162" t="inlineStr">
        <is>
          <t>S. RAJASHWARI</t>
        </is>
      </c>
      <c r="H162" t="inlineStr">
        <is>
          <t>LPD04803 | S. RAJASHWARI</t>
        </is>
      </c>
    </row>
    <row r="163">
      <c r="F163" t="inlineStr">
        <is>
          <t>LPD07785</t>
        </is>
      </c>
      <c r="G163" t="inlineStr">
        <is>
          <t>S. RANI</t>
        </is>
      </c>
      <c r="H163" t="inlineStr">
        <is>
          <t>LPD07785 | S. RANI</t>
        </is>
      </c>
    </row>
    <row r="164">
      <c r="F164" t="inlineStr">
        <is>
          <t>LPD08048</t>
        </is>
      </c>
      <c r="G164" t="inlineStr">
        <is>
          <t>S. RIYAZ</t>
        </is>
      </c>
      <c r="H164" t="inlineStr">
        <is>
          <t>LPD08048 | S. RIYAZ</t>
        </is>
      </c>
    </row>
    <row r="165">
      <c r="F165" t="inlineStr">
        <is>
          <t>LPD09973</t>
        </is>
      </c>
      <c r="G165" t="inlineStr">
        <is>
          <t>S. SIVARANJANI</t>
        </is>
      </c>
      <c r="H165" t="inlineStr">
        <is>
          <t>LPD09973 | S. SIVARANJANI</t>
        </is>
      </c>
    </row>
    <row r="166">
      <c r="F166" t="inlineStr">
        <is>
          <t>LPD08305</t>
        </is>
      </c>
      <c r="G166" t="inlineStr">
        <is>
          <t>S. SUDHA</t>
        </is>
      </c>
      <c r="H166" t="inlineStr">
        <is>
          <t>LPD08305 | S. SUDHA</t>
        </is>
      </c>
    </row>
    <row r="167">
      <c r="F167" t="inlineStr">
        <is>
          <t>LPD11504</t>
        </is>
      </c>
      <c r="G167" t="inlineStr">
        <is>
          <t>S. SUGUNA</t>
        </is>
      </c>
      <c r="H167" t="inlineStr">
        <is>
          <t>LPD11504 | S. SUGUNA</t>
        </is>
      </c>
    </row>
    <row r="168">
      <c r="F168" t="inlineStr">
        <is>
          <t>LPD11089</t>
        </is>
      </c>
      <c r="G168" t="inlineStr">
        <is>
          <t>S. THAJNISA</t>
        </is>
      </c>
      <c r="H168" t="inlineStr">
        <is>
          <t>LPD11089 | S. THAJNISA</t>
        </is>
      </c>
    </row>
    <row r="169">
      <c r="F169" t="inlineStr">
        <is>
          <t>LPD12236</t>
        </is>
      </c>
      <c r="G169" t="inlineStr">
        <is>
          <t>S. UMA</t>
        </is>
      </c>
      <c r="H169" t="inlineStr">
        <is>
          <t>LPD12236 | S. UMA</t>
        </is>
      </c>
    </row>
    <row r="170">
      <c r="F170" t="inlineStr">
        <is>
          <t>LPD07459</t>
        </is>
      </c>
      <c r="G170" t="inlineStr">
        <is>
          <t>S. VIJAYA</t>
        </is>
      </c>
      <c r="H170" t="inlineStr">
        <is>
          <t>LPD07459 | S. VIJAYA</t>
        </is>
      </c>
    </row>
    <row r="171">
      <c r="F171" t="inlineStr">
        <is>
          <t>LPD08744</t>
        </is>
      </c>
      <c r="G171" t="inlineStr">
        <is>
          <t>S.L. LAKSHMI</t>
        </is>
      </c>
      <c r="H171" t="inlineStr">
        <is>
          <t>LPD08744 | S.L. LAKSHMI</t>
        </is>
      </c>
    </row>
    <row r="172">
      <c r="F172" t="inlineStr">
        <is>
          <t>LPD12273</t>
        </is>
      </c>
      <c r="G172" t="inlineStr">
        <is>
          <t>SAHID MOLLA</t>
        </is>
      </c>
      <c r="H172" t="inlineStr">
        <is>
          <t>LPD12273 | SAHID MOLLA</t>
        </is>
      </c>
    </row>
    <row r="173">
      <c r="F173" t="inlineStr">
        <is>
          <t>LPD12237</t>
        </is>
      </c>
      <c r="G173" t="inlineStr">
        <is>
          <t>SALIYA BANU</t>
        </is>
      </c>
      <c r="H173" t="inlineStr">
        <is>
          <t>LPD12237 | SALIYA BANU</t>
        </is>
      </c>
    </row>
    <row r="174">
      <c r="F174" t="inlineStr">
        <is>
          <t>LPD11181</t>
        </is>
      </c>
      <c r="G174" t="inlineStr">
        <is>
          <t>SALLUBANU</t>
        </is>
      </c>
      <c r="H174" t="inlineStr">
        <is>
          <t>LPD11181 | SALLUBANU</t>
        </is>
      </c>
    </row>
    <row r="175">
      <c r="F175" t="inlineStr">
        <is>
          <t>LPD10969</t>
        </is>
      </c>
      <c r="G175" t="inlineStr">
        <is>
          <t>SAMEENA</t>
        </is>
      </c>
      <c r="H175" t="inlineStr">
        <is>
          <t>LPD10969 | SAMEENA</t>
        </is>
      </c>
    </row>
    <row r="176">
      <c r="F176" t="inlineStr">
        <is>
          <t>LPD12241</t>
        </is>
      </c>
      <c r="G176" t="inlineStr">
        <is>
          <t>SANGEETHA</t>
        </is>
      </c>
      <c r="H176" t="inlineStr">
        <is>
          <t>LPD12241 | SANGEETHA</t>
        </is>
      </c>
    </row>
    <row r="177">
      <c r="F177" t="inlineStr">
        <is>
          <t>LPD09689</t>
        </is>
      </c>
      <c r="G177" t="inlineStr">
        <is>
          <t>SARANYA</t>
        </is>
      </c>
      <c r="H177" t="inlineStr">
        <is>
          <t>LPD09689 | SARANYA</t>
        </is>
      </c>
    </row>
    <row r="178">
      <c r="F178" t="inlineStr">
        <is>
          <t>LPD01611</t>
        </is>
      </c>
      <c r="G178" t="inlineStr">
        <is>
          <t>SARASWATHI</t>
        </is>
      </c>
      <c r="H178" t="inlineStr">
        <is>
          <t>LPD01611 | SARASWATHI</t>
        </is>
      </c>
    </row>
    <row r="179">
      <c r="F179" t="inlineStr">
        <is>
          <t>LPD12146</t>
        </is>
      </c>
      <c r="G179" t="inlineStr">
        <is>
          <t>SARIFUL GAYEN</t>
        </is>
      </c>
      <c r="H179" t="inlineStr">
        <is>
          <t>LPD12146 | SARIFUL GAYEN</t>
        </is>
      </c>
    </row>
    <row r="180">
      <c r="F180" t="inlineStr">
        <is>
          <t>LPD12139</t>
        </is>
      </c>
      <c r="G180" t="inlineStr">
        <is>
          <t>SARTHAJ</t>
        </is>
      </c>
      <c r="H180" t="inlineStr">
        <is>
          <t>LPD12139 | SARTHAJ</t>
        </is>
      </c>
    </row>
    <row r="181">
      <c r="F181" t="inlineStr">
        <is>
          <t>LPD08486</t>
        </is>
      </c>
      <c r="G181" t="inlineStr">
        <is>
          <t>SASIKALA</t>
        </is>
      </c>
      <c r="H181" t="inlineStr">
        <is>
          <t>LPD08486 | SASIKALA</t>
        </is>
      </c>
    </row>
    <row r="182">
      <c r="F182" t="inlineStr">
        <is>
          <t>LPDS94681</t>
        </is>
      </c>
      <c r="G182" t="inlineStr">
        <is>
          <t>SATHIYABAMA M</t>
        </is>
      </c>
      <c r="H182" t="inlineStr">
        <is>
          <t>LPDS94681 | SATHIYABAMA M</t>
        </is>
      </c>
    </row>
    <row r="183">
      <c r="F183" t="inlineStr">
        <is>
          <t>LPDS95684</t>
        </is>
      </c>
      <c r="G183" t="inlineStr">
        <is>
          <t>SELVI VENGATESAN</t>
        </is>
      </c>
      <c r="H183" t="inlineStr">
        <is>
          <t>LPDS95684 | SELVI VENGATESAN</t>
        </is>
      </c>
    </row>
    <row r="184">
      <c r="F184" t="inlineStr">
        <is>
          <t>LPD11018</t>
        </is>
      </c>
      <c r="G184" t="inlineStr">
        <is>
          <t>SHABANA</t>
        </is>
      </c>
      <c r="H184" t="inlineStr">
        <is>
          <t>LPD11018 | SHABANA</t>
        </is>
      </c>
    </row>
    <row r="185">
      <c r="F185" t="inlineStr">
        <is>
          <t>LPD11153</t>
        </is>
      </c>
      <c r="G185" t="inlineStr">
        <is>
          <t>SHAINAN</t>
        </is>
      </c>
      <c r="H185" t="inlineStr">
        <is>
          <t>LPD11153 | SHAINAN</t>
        </is>
      </c>
    </row>
    <row r="186">
      <c r="F186" t="inlineStr">
        <is>
          <t>LPD11973</t>
        </is>
      </c>
      <c r="G186" t="inlineStr">
        <is>
          <t>SHAJAN R</t>
        </is>
      </c>
      <c r="H186" t="inlineStr">
        <is>
          <t>LPD11973 | SHAJAN R</t>
        </is>
      </c>
    </row>
    <row r="187">
      <c r="F187" t="inlineStr">
        <is>
          <t>LPD10526</t>
        </is>
      </c>
      <c r="G187" t="inlineStr">
        <is>
          <t>SHAKEERA</t>
        </is>
      </c>
      <c r="H187" t="inlineStr">
        <is>
          <t>LPD10526 | SHAKEERA</t>
        </is>
      </c>
    </row>
    <row r="188">
      <c r="F188" t="inlineStr">
        <is>
          <t>LPD10044</t>
        </is>
      </c>
      <c r="G188" t="inlineStr">
        <is>
          <t>SHAKIRA</t>
        </is>
      </c>
      <c r="H188" t="inlineStr">
        <is>
          <t>LPD10044 | SHAKIRA</t>
        </is>
      </c>
    </row>
    <row r="189">
      <c r="F189" t="inlineStr">
        <is>
          <t>LPD11572</t>
        </is>
      </c>
      <c r="G189" t="inlineStr">
        <is>
          <t>SHALINI</t>
        </is>
      </c>
      <c r="H189" t="inlineStr">
        <is>
          <t>LPD11572 | SHALINI</t>
        </is>
      </c>
    </row>
    <row r="190">
      <c r="F190" t="inlineStr">
        <is>
          <t>LPD10562</t>
        </is>
      </c>
      <c r="G190" t="inlineStr">
        <is>
          <t>SHAMIMA</t>
        </is>
      </c>
      <c r="H190" t="inlineStr">
        <is>
          <t>LPD10562 | SHAMIMA</t>
        </is>
      </c>
    </row>
    <row r="191">
      <c r="F191" t="inlineStr">
        <is>
          <t>LPD10727</t>
        </is>
      </c>
      <c r="G191" t="inlineStr">
        <is>
          <t>SHAN BASHA</t>
        </is>
      </c>
      <c r="H191" t="inlineStr">
        <is>
          <t>LPD10727 | SHAN BASHA</t>
        </is>
      </c>
    </row>
    <row r="192">
      <c r="F192" t="inlineStr">
        <is>
          <t>LPD11709</t>
        </is>
      </c>
      <c r="G192" t="inlineStr">
        <is>
          <t>SHANKARI</t>
        </is>
      </c>
      <c r="H192" t="inlineStr">
        <is>
          <t>LPD11709 | SHANKARI</t>
        </is>
      </c>
    </row>
    <row r="193">
      <c r="F193" t="inlineStr">
        <is>
          <t>LPD08619</t>
        </is>
      </c>
      <c r="G193" t="inlineStr">
        <is>
          <t>SHARFUDDIN</t>
        </is>
      </c>
      <c r="H193" t="inlineStr">
        <is>
          <t>LPD08619 | SHARFUDDIN</t>
        </is>
      </c>
    </row>
    <row r="194">
      <c r="F194" t="inlineStr">
        <is>
          <t>LPD05252</t>
        </is>
      </c>
      <c r="G194" t="inlineStr">
        <is>
          <t>SHEINAAZ</t>
        </is>
      </c>
      <c r="H194" t="inlineStr">
        <is>
          <t>LPD05252 | SHEINAAZ</t>
        </is>
      </c>
    </row>
    <row r="195">
      <c r="F195" t="inlineStr">
        <is>
          <t>LPD11463</t>
        </is>
      </c>
      <c r="G195" t="inlineStr">
        <is>
          <t>SHINAS</t>
        </is>
      </c>
      <c r="H195" t="inlineStr">
        <is>
          <t>LPD11463 | SHINAS</t>
        </is>
      </c>
    </row>
    <row r="196">
      <c r="F196" t="inlineStr">
        <is>
          <t>LPD09954</t>
        </is>
      </c>
      <c r="G196" t="inlineStr">
        <is>
          <t>SHOBANA</t>
        </is>
      </c>
      <c r="H196" t="inlineStr">
        <is>
          <t>LPD09954 | SHOBANA</t>
        </is>
      </c>
    </row>
    <row r="197">
      <c r="F197" t="inlineStr">
        <is>
          <t>LPDS95712</t>
        </is>
      </c>
      <c r="G197" t="inlineStr">
        <is>
          <t>SOWMIYA</t>
        </is>
      </c>
      <c r="H197" t="inlineStr">
        <is>
          <t>LPDS95712 | SOWMIYA</t>
        </is>
      </c>
    </row>
    <row r="198">
      <c r="F198" t="inlineStr">
        <is>
          <t>LPD09853</t>
        </is>
      </c>
      <c r="G198" t="inlineStr">
        <is>
          <t>SUBAN</t>
        </is>
      </c>
      <c r="H198" t="inlineStr">
        <is>
          <t>LPD09853 | SUBAN</t>
        </is>
      </c>
    </row>
    <row r="199">
      <c r="F199" t="inlineStr">
        <is>
          <t>LPDS95742</t>
        </is>
      </c>
      <c r="G199" t="inlineStr">
        <is>
          <t>SUGUNA</t>
        </is>
      </c>
      <c r="H199" t="inlineStr">
        <is>
          <t>LPDS95742 | SUGUNA</t>
        </is>
      </c>
    </row>
    <row r="200">
      <c r="F200" t="inlineStr">
        <is>
          <t>LPD11187</t>
        </is>
      </c>
      <c r="G200" t="inlineStr">
        <is>
          <t>SUJATHA</t>
        </is>
      </c>
      <c r="H200" t="inlineStr">
        <is>
          <t>LPD11187 | SUJATHA</t>
        </is>
      </c>
    </row>
    <row r="201">
      <c r="F201" t="inlineStr">
        <is>
          <t>LPD11567</t>
        </is>
      </c>
      <c r="G201" t="inlineStr">
        <is>
          <t>SUMATHI</t>
        </is>
      </c>
      <c r="H201" t="inlineStr">
        <is>
          <t>LPD11567 | SUMATHI</t>
        </is>
      </c>
    </row>
    <row r="202">
      <c r="F202" t="inlineStr">
        <is>
          <t>LPD11358</t>
        </is>
      </c>
      <c r="G202" t="inlineStr">
        <is>
          <t>SUMATHI</t>
        </is>
      </c>
      <c r="H202" t="inlineStr">
        <is>
          <t>LPD11358 | SUMATHI</t>
        </is>
      </c>
    </row>
    <row r="203">
      <c r="F203" t="inlineStr">
        <is>
          <t>LPDS94726</t>
        </is>
      </c>
      <c r="G203" t="inlineStr">
        <is>
          <t>SUMATHI R</t>
        </is>
      </c>
      <c r="H203" t="inlineStr">
        <is>
          <t>LPDS94726 | SUMATHI R</t>
        </is>
      </c>
    </row>
    <row r="204">
      <c r="F204" t="inlineStr">
        <is>
          <t>LPD10909</t>
        </is>
      </c>
      <c r="G204" t="inlineStr">
        <is>
          <t>T.H. MOHAMED SAQIB</t>
        </is>
      </c>
      <c r="H204" t="inlineStr">
        <is>
          <t>LPD10909 | T.H. MOHAMED SAQIB</t>
        </is>
      </c>
    </row>
    <row r="205">
      <c r="F205" t="inlineStr">
        <is>
          <t>LPD11099</t>
        </is>
      </c>
      <c r="G205" t="inlineStr">
        <is>
          <t>TAMIL ARASI</t>
        </is>
      </c>
      <c r="H205" t="inlineStr">
        <is>
          <t>LPD11099 | TAMIL ARASI</t>
        </is>
      </c>
    </row>
    <row r="206">
      <c r="F206" t="inlineStr">
        <is>
          <t>LPD10455</t>
        </is>
      </c>
      <c r="G206" t="inlineStr">
        <is>
          <t>THAMRIN</t>
        </is>
      </c>
      <c r="H206" t="inlineStr">
        <is>
          <t>LPD10455 | THAMRIN</t>
        </is>
      </c>
    </row>
    <row r="207">
      <c r="F207" t="inlineStr">
        <is>
          <t>LPD123456</t>
        </is>
      </c>
      <c r="G207" t="inlineStr">
        <is>
          <t>Test Name</t>
        </is>
      </c>
      <c r="H207" t="inlineStr">
        <is>
          <t>LPD123456 | Test Name</t>
        </is>
      </c>
    </row>
    <row r="208">
      <c r="F208" t="inlineStr">
        <is>
          <t>LPD12239</t>
        </is>
      </c>
      <c r="G208" t="inlineStr">
        <is>
          <t>U. SHYLAJA</t>
        </is>
      </c>
      <c r="H208" t="inlineStr">
        <is>
          <t>LPD12239 | U. SHYLAJA</t>
        </is>
      </c>
    </row>
    <row r="209">
      <c r="F209" t="inlineStr">
        <is>
          <t>LPD10253</t>
        </is>
      </c>
      <c r="G209" t="inlineStr">
        <is>
          <t>UMA</t>
        </is>
      </c>
      <c r="H209" t="inlineStr">
        <is>
          <t>LPD10253 | UMA</t>
        </is>
      </c>
    </row>
    <row r="210">
      <c r="F210" t="inlineStr">
        <is>
          <t>LPDS94756</t>
        </is>
      </c>
      <c r="G210" t="inlineStr">
        <is>
          <t>UMA C</t>
        </is>
      </c>
      <c r="H210" t="inlineStr">
        <is>
          <t>LPDS94756 | UMA C</t>
        </is>
      </c>
    </row>
    <row r="211">
      <c r="F211" t="inlineStr">
        <is>
          <t>LPD08891</t>
        </is>
      </c>
      <c r="G211" t="inlineStr">
        <is>
          <t>UMA MAHESWARI</t>
        </is>
      </c>
      <c r="H211" t="inlineStr">
        <is>
          <t>LPD08891 | UMA MAHESWARI</t>
        </is>
      </c>
    </row>
    <row r="212">
      <c r="F212" t="inlineStr">
        <is>
          <t>LPD08092</t>
        </is>
      </c>
      <c r="G212" t="inlineStr">
        <is>
          <t>USHA</t>
        </is>
      </c>
      <c r="H212" t="inlineStr">
        <is>
          <t>LPD08092 | USHA</t>
        </is>
      </c>
    </row>
    <row r="213">
      <c r="F213" t="inlineStr">
        <is>
          <t>LPD11454</t>
        </is>
      </c>
      <c r="G213" t="inlineStr">
        <is>
          <t>USHA</t>
        </is>
      </c>
      <c r="H213" t="inlineStr">
        <is>
          <t>LPD11454 | USHA</t>
        </is>
      </c>
    </row>
    <row r="214">
      <c r="F214" t="inlineStr">
        <is>
          <t>LPD07514</t>
        </is>
      </c>
      <c r="G214" t="inlineStr">
        <is>
          <t>V. DHANALAKSHMI</t>
        </is>
      </c>
      <c r="H214" t="inlineStr">
        <is>
          <t>LPD07514 | V. DHANALAKSHMI</t>
        </is>
      </c>
    </row>
    <row r="215">
      <c r="F215" t="inlineStr">
        <is>
          <t>LPD11691</t>
        </is>
      </c>
      <c r="G215" t="inlineStr">
        <is>
          <t>V. JAYANTHI</t>
        </is>
      </c>
      <c r="H215" t="inlineStr">
        <is>
          <t>LPD11691 | V. JAYANTHI</t>
        </is>
      </c>
    </row>
    <row r="216">
      <c r="F216" t="inlineStr">
        <is>
          <t>LPD11006</t>
        </is>
      </c>
      <c r="G216" t="inlineStr">
        <is>
          <t>V. LAKSHMI</t>
        </is>
      </c>
      <c r="H216" t="inlineStr">
        <is>
          <t>LPD11006 | V. LAKSHMI</t>
        </is>
      </c>
    </row>
    <row r="217">
      <c r="F217" t="inlineStr">
        <is>
          <t>LPD04804</t>
        </is>
      </c>
      <c r="G217" t="inlineStr">
        <is>
          <t>V. MEENATCHI</t>
        </is>
      </c>
      <c r="H217" t="inlineStr">
        <is>
          <t>LPD04804 | V. MEENATCHI</t>
        </is>
      </c>
    </row>
    <row r="218">
      <c r="F218" t="inlineStr">
        <is>
          <t>LPD07392</t>
        </is>
      </c>
      <c r="G218" t="inlineStr">
        <is>
          <t>V.P. MUBARAK</t>
        </is>
      </c>
      <c r="H218" t="inlineStr">
        <is>
          <t>LPD07392 | V.P. MUBARAK</t>
        </is>
      </c>
    </row>
    <row r="219">
      <c r="F219" t="inlineStr">
        <is>
          <t>LPD08268</t>
        </is>
      </c>
      <c r="G219" t="inlineStr">
        <is>
          <t>VASANTHI</t>
        </is>
      </c>
      <c r="H219" t="inlineStr">
        <is>
          <t>LPD08268 | VASANTHI</t>
        </is>
      </c>
    </row>
    <row r="220">
      <c r="F220" t="inlineStr">
        <is>
          <t>LPD12243</t>
        </is>
      </c>
      <c r="G220" t="inlineStr">
        <is>
          <t>VASIM AKARAM</t>
        </is>
      </c>
      <c r="H220" t="inlineStr">
        <is>
          <t>LPD12243 | VASIM AKARAM</t>
        </is>
      </c>
    </row>
    <row r="221">
      <c r="F221" t="inlineStr">
        <is>
          <t>LPD05998</t>
        </is>
      </c>
      <c r="G221" t="inlineStr">
        <is>
          <t>VENDA</t>
        </is>
      </c>
      <c r="H221" t="inlineStr">
        <is>
          <t>LPD05998 | VENDA</t>
        </is>
      </c>
    </row>
    <row r="222">
      <c r="F222" t="inlineStr">
        <is>
          <t>LPD11088</t>
        </is>
      </c>
      <c r="G222" t="inlineStr">
        <is>
          <t>Y. ALMAS BEGUM</t>
        </is>
      </c>
      <c r="H222" t="inlineStr">
        <is>
          <t>LPD11088 | Y. ALMAS BEGUM</t>
        </is>
      </c>
    </row>
    <row r="223">
      <c r="F223" t="inlineStr">
        <is>
          <t>LPD08685</t>
        </is>
      </c>
      <c r="G223" t="inlineStr">
        <is>
          <t>Z. NAYEEMUNNISA</t>
        </is>
      </c>
      <c r="H223" t="inlineStr">
        <is>
          <t>LPD08685 | Z. NAYEEMUNNISA</t>
        </is>
      </c>
    </row>
    <row r="224">
      <c r="F224" t="inlineStr">
        <is>
          <t>LPD11520</t>
        </is>
      </c>
      <c r="G224" t="inlineStr">
        <is>
          <t>ZAREENA</t>
        </is>
      </c>
      <c r="H224" t="inlineStr">
        <is>
          <t>LPD11520 | ZAREENA</t>
        </is>
      </c>
    </row>
  </sheetData>
  <pageMargins left="0.7" right="0.7" top="0.75" bottom="0.75" header="0.3" footer="0.3"/>
  <pageSetup orientation="portrait" scale="100" fitToHeight="1" fitToWidth="1" horizontalDpi="4294967295" verticalDpi="429496729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Unknown</dc:creator>
  <dcterms:created xmlns:dcterms="http://purl.org/dc/terms/" xmlns:xsi="http://www.w3.org/2001/XMLSchema-instance" xsi:type="dcterms:W3CDTF">2026-04-07T11:15:42Z</dcterms:created>
  <dcterms:modified xmlns:dcterms="http://purl.org/dc/terms/" xmlns:xsi="http://www.w3.org/2001/XMLSchema-instance" xsi:type="dcterms:W3CDTF">2026-04-08T08:07:20Z</dcterms:modified>
  <cp:lastModifiedBy>Unknown</cp:lastModifiedBy>
</cp:coreProperties>
</file>