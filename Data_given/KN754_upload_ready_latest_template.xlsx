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ine Plan" state="visible" r:id="rId4"/>
    <sheet sheetId="2" name="Config" state="hidden" r:id="rId5"/>
  </sheets>
  <calcPr calcId="171027"/>
</workbook>
</file>

<file path=xl/sharedStrings.xml><?xml version="1.0" encoding="utf-8"?>
<sst xmlns="http://schemas.openxmlformats.org/spreadsheetml/2006/main" count="4751" uniqueCount="3149">
  <si>
    <t>LINE PLAN UPLOAD</t>
  </si>
  <si>
    <t>LINE CODE</t>
  </si>
  <si>
    <t>Rumiya_Line</t>
  </si>
  <si>
    <t>Production line code. Auto-created if not in system.</t>
  </si>
  <si>
    <t>HALL NAME</t>
  </si>
  <si>
    <t>Hall B</t>
  </si>
  <si>
    <t>Hall/area name (used as line name if auto-creating the line).</t>
  </si>
  <si>
    <t>DATE</t>
  </si>
  <si>
    <t>2026-03-26</t>
  </si>
  <si>
    <t>Work date — YYYY-MM-DD format.</t>
  </si>
  <si>
    <t>PRODUCT CODE</t>
  </si>
  <si>
    <t>KN754</t>
  </si>
  <si>
    <t>Style/product code. Auto-created if new.</t>
  </si>
  <si>
    <t>PRODUCT NAME</t>
  </si>
  <si>
    <t>KATESPADE</t>
  </si>
  <si>
    <t>Full product name.</t>
  </si>
  <si>
    <t>BUYER NAME</t>
  </si>
  <si>
    <t>Buyer / brand name. Optional.</t>
  </si>
  <si>
    <t>PLAN MONTH</t>
  </si>
  <si>
    <t>2026-04</t>
  </si>
  <si>
    <t>Plan month (e.g. 2026-04). Optional.</t>
  </si>
  <si>
    <t>TARGET UNITS</t>
  </si>
  <si>
    <t>Daily target for this line. Required.</t>
  </si>
  <si>
    <t>CO PRODUCT CODE</t>
  </si>
  <si>
    <t>Optional — changeover product code.</t>
  </si>
  <si>
    <t>CO TARGET</t>
  </si>
  <si>
    <t>Optional — changeover target units.</t>
  </si>
  <si>
    <t>LINE LEADER</t>
  </si>
  <si>
    <t>Rumiya</t>
  </si>
  <si>
    <t>Line leader name.</t>
  </si>
  <si>
    <t>WORKING TIME (s)</t>
  </si>
  <si>
    <t>Total working seconds per shift (9h). Used for Takt Time = Working Time ÷ Target.</t>
  </si>
  <si>
    <t>GROUP</t>
  </si>
  <si>
    <t>OSM ☑</t>
  </si>
  <si>
    <t>WORKSTATION ▼</t>
  </si>
  <si>
    <t>OP CODE (auto)</t>
  </si>
  <si>
    <t>SELECT OPERATION ▼</t>
  </si>
  <si>
    <t>PROCESS TIME (s)</t>
  </si>
  <si>
    <t>CYCLE TIME (s)</t>
  </si>
  <si>
    <t>TAKT TIME (s)</t>
  </si>
  <si>
    <t>WORKLOAD</t>
  </si>
  <si>
    <t>SAH</t>
  </si>
  <si>
    <t>EMP CODE (auto)</t>
  </si>
  <si>
    <t>SELECT EMPLOYEE ▼</t>
  </si>
  <si>
    <t>G1</t>
  </si>
  <si>
    <t>☑</t>
  </si>
  <si>
    <t>WS01</t>
  </si>
  <si>
    <t>OP-0014</t>
  </si>
  <si>
    <t>Heating</t>
  </si>
  <si>
    <t>LPD07739</t>
  </si>
  <si>
    <t>A. JAMEELA</t>
  </si>
  <si>
    <t>☐</t>
  </si>
  <si>
    <t>OP-0015</t>
  </si>
  <si>
    <t>board with lining attatching &amp;  1st primer</t>
  </si>
  <si>
    <t>OP-0016</t>
  </si>
  <si>
    <t>die process</t>
  </si>
  <si>
    <t>WS02</t>
  </si>
  <si>
    <t>LPD11454</t>
  </si>
  <si>
    <t>USHA</t>
  </si>
  <si>
    <t>WS03</t>
  </si>
  <si>
    <t>OP-0017</t>
  </si>
  <si>
    <t>Pasting on patti (5*1 Nos)</t>
  </si>
  <si>
    <t>OP-0018</t>
  </si>
  <si>
    <t>Attaching step patti (4*1 Nos)</t>
  </si>
  <si>
    <t>OP-0019</t>
  </si>
  <si>
    <t>Pasting on stamp &amp; pkt  (1-Nos)</t>
  </si>
  <si>
    <t>OP-0020</t>
  </si>
  <si>
    <t>Attaching stamp with cc pkt</t>
  </si>
  <si>
    <t>OP-0021</t>
  </si>
  <si>
    <t>Pasting on patti (4*1 Nos)</t>
  </si>
  <si>
    <t>OP-0022</t>
  </si>
  <si>
    <t>Attaching step patti (3*1 Nos)</t>
  </si>
  <si>
    <t>WS04</t>
  </si>
  <si>
    <t>OP-0023</t>
  </si>
  <si>
    <t>Stitching the lining (4*1 Nos)</t>
  </si>
  <si>
    <t>LPDS95750</t>
  </si>
  <si>
    <t>JAYALAKSHMI</t>
  </si>
  <si>
    <t>OP-0024</t>
  </si>
  <si>
    <t>Stitching closing  lining (1*1 Nos)</t>
  </si>
  <si>
    <t>OP-0025</t>
  </si>
  <si>
    <t>Stitching the lining (3*1 Nos)</t>
  </si>
  <si>
    <t>OP-0026</t>
  </si>
  <si>
    <t>Stitching the lining (1*1 Nos)</t>
  </si>
  <si>
    <t>WS05</t>
  </si>
  <si>
    <t>OP-0027</t>
  </si>
  <si>
    <t>Recutting of cc pkt (1:2) 1-Nos</t>
  </si>
  <si>
    <t>LPDS95789</t>
  </si>
  <si>
    <t>ASLAM</t>
  </si>
  <si>
    <t>OP-0028</t>
  </si>
  <si>
    <t>Recutting of center stay  (1:2)</t>
  </si>
  <si>
    <t>WS06</t>
  </si>
  <si>
    <t>OP-0029</t>
  </si>
  <si>
    <t>Pasting on lining (1-Nos)</t>
  </si>
  <si>
    <t>LPD05998</t>
  </si>
  <si>
    <t>VENDA</t>
  </si>
  <si>
    <t>OP-0030</t>
  </si>
  <si>
    <t>Attaching with lining closing(1-Nos)</t>
  </si>
  <si>
    <t>OP-0031</t>
  </si>
  <si>
    <t>Pasting cover lining and cc pkt (1-Nos)</t>
  </si>
  <si>
    <t>OP-0032</t>
  </si>
  <si>
    <t>Attaching cover lining and cc pkt (1-Nos)</t>
  </si>
  <si>
    <t>OP-0033</t>
  </si>
  <si>
    <t>Pasting lining</t>
  </si>
  <si>
    <t>OP-0034</t>
  </si>
  <si>
    <t>Lining folding</t>
  </si>
  <si>
    <t>OP-0035</t>
  </si>
  <si>
    <t>Pasting on lining &amp; beeding</t>
  </si>
  <si>
    <t>OP-0036</t>
  </si>
  <si>
    <t>Attaching lining with beeding</t>
  </si>
  <si>
    <t>WS07</t>
  </si>
  <si>
    <t>OP-0037</t>
  </si>
  <si>
    <t>Pasting on patti</t>
  </si>
  <si>
    <t>LPD11099</t>
  </si>
  <si>
    <t>TAMIL ARASI</t>
  </si>
  <si>
    <t>OP-0038</t>
  </si>
  <si>
    <t>Attaching step patti (1*1Nos)</t>
  </si>
  <si>
    <t>OP-0039</t>
  </si>
  <si>
    <t>Pasting on window side patti lining</t>
  </si>
  <si>
    <t>OP-0040</t>
  </si>
  <si>
    <t>Pasting on cc pkt</t>
  </si>
  <si>
    <t>OP-0041</t>
  </si>
  <si>
    <t>Attaching step patti (1Nos)</t>
  </si>
  <si>
    <t>OP-0042</t>
  </si>
  <si>
    <t>Pasting on window</t>
  </si>
  <si>
    <t>OP-0043</t>
  </si>
  <si>
    <t>Attaching window with cc pkt</t>
  </si>
  <si>
    <t>WS08</t>
  </si>
  <si>
    <t>OP-0044</t>
  </si>
  <si>
    <t>Stitching the window side</t>
  </si>
  <si>
    <t>LPD11420</t>
  </si>
  <si>
    <t>KALPANA</t>
  </si>
  <si>
    <t>OP-0045</t>
  </si>
  <si>
    <t>Stitching the cc pkt on Sides</t>
  </si>
  <si>
    <t>OP-0046</t>
  </si>
  <si>
    <t>Stitching cc pkt lining side ( half stitch)</t>
  </si>
  <si>
    <t>OP-0047</t>
  </si>
  <si>
    <t>Thread pulling at both sides</t>
  </si>
  <si>
    <t>G2</t>
  </si>
  <si>
    <t>WS09</t>
  </si>
  <si>
    <t>OP-0048</t>
  </si>
  <si>
    <t>Stitching window with pkt</t>
  </si>
  <si>
    <t>LPD12204</t>
  </si>
  <si>
    <t>KUMARI</t>
  </si>
  <si>
    <t>OP-0049</t>
  </si>
  <si>
    <t>CC Pkt side stitching ( 2nd half stitch)</t>
  </si>
  <si>
    <t>OP-0050</t>
  </si>
  <si>
    <t>Decorative Stitching of Anchor Bit</t>
  </si>
  <si>
    <t>WS10</t>
  </si>
  <si>
    <t>OP-0051</t>
  </si>
  <si>
    <t>Pasting top leather &amp; facing leather</t>
  </si>
  <si>
    <t>LPDS94748</t>
  </si>
  <si>
    <t>JAYA KODI</t>
  </si>
  <si>
    <t>OP-0052</t>
  </si>
  <si>
    <t>Attaching top &amp; facing leather</t>
  </si>
  <si>
    <t>WS11</t>
  </si>
  <si>
    <t>OP-0053</t>
  </si>
  <si>
    <t>Lamping</t>
  </si>
  <si>
    <t>LPDS95254</t>
  </si>
  <si>
    <t>AMREEN</t>
  </si>
  <si>
    <t>OP-0054</t>
  </si>
  <si>
    <t>Lamping of anchor tab bit</t>
  </si>
  <si>
    <t>WS12</t>
  </si>
  <si>
    <t>OP-0055</t>
  </si>
  <si>
    <t>Pressing</t>
  </si>
  <si>
    <t>LPD11272</t>
  </si>
  <si>
    <t>IRFAN</t>
  </si>
  <si>
    <t>OP-0056</t>
  </si>
  <si>
    <t>Primer</t>
  </si>
  <si>
    <t>OP-0057</t>
  </si>
  <si>
    <t>Edge Inking</t>
  </si>
  <si>
    <t>WS13</t>
  </si>
  <si>
    <t>OP-0058</t>
  </si>
  <si>
    <t>Primer 1</t>
  </si>
  <si>
    <t>LPD10889</t>
  </si>
  <si>
    <t>PUNITHA</t>
  </si>
  <si>
    <t>WS14</t>
  </si>
  <si>
    <t>LPD11089</t>
  </si>
  <si>
    <t>S. THAJNISA</t>
  </si>
  <si>
    <t>OP-0059</t>
  </si>
  <si>
    <t>Primer 2</t>
  </si>
  <si>
    <t>OP-0060</t>
  </si>
  <si>
    <t>Primer 3</t>
  </si>
  <si>
    <t>OP-0061</t>
  </si>
  <si>
    <t>Buffing</t>
  </si>
  <si>
    <t>G3</t>
  </si>
  <si>
    <t>WS15</t>
  </si>
  <si>
    <t>OP-0062</t>
  </si>
  <si>
    <t>Recutting facing Leather (1:5)</t>
  </si>
  <si>
    <t>LPD07687</t>
  </si>
  <si>
    <t>MUBARAK</t>
  </si>
  <si>
    <t>OP-0063</t>
  </si>
  <si>
    <t>Recutting Top Leather (1:5)</t>
  </si>
  <si>
    <t>OP-0064</t>
  </si>
  <si>
    <t>Recutting Top</t>
  </si>
  <si>
    <t>OP-0065</t>
  </si>
  <si>
    <t>Recutting zip collar PU</t>
  </si>
  <si>
    <t>WS16</t>
  </si>
  <si>
    <t>OP-0066</t>
  </si>
  <si>
    <t>Foil Embossing on cc pkt</t>
  </si>
  <si>
    <t>LPD10907</t>
  </si>
  <si>
    <t>RASOOL</t>
  </si>
  <si>
    <t>OP-0067</t>
  </si>
  <si>
    <t>inserting &amp; Pressing snap male button  (1-Nos)</t>
  </si>
  <si>
    <t>OP-0068</t>
  </si>
  <si>
    <t>Revitting Female button on Top</t>
  </si>
  <si>
    <t>OP-0069</t>
  </si>
  <si>
    <t>Grinding  Logo on Top</t>
  </si>
  <si>
    <t>WS17</t>
  </si>
  <si>
    <t>OP-0070</t>
  </si>
  <si>
    <t>Pressing logo on Top</t>
  </si>
  <si>
    <t>LPD09926</t>
  </si>
  <si>
    <t>AKBAR</t>
  </si>
  <si>
    <t>OP-0071</t>
  </si>
  <si>
    <t>Attaching Self adhesive logo cover kimlon</t>
  </si>
  <si>
    <t>WS18</t>
  </si>
  <si>
    <t>OP-0072</t>
  </si>
  <si>
    <t>Pasting on top</t>
  </si>
  <si>
    <t>LPD07960</t>
  </si>
  <si>
    <t>F. ZAINATHBEE</t>
  </si>
  <si>
    <t>WS19</t>
  </si>
  <si>
    <t>LPD10526</t>
  </si>
  <si>
    <t>SHAKEERA</t>
  </si>
  <si>
    <t>OP-0073</t>
  </si>
  <si>
    <t>Pasting on nonwoven(L/R)</t>
  </si>
  <si>
    <t>OP-0074</t>
  </si>
  <si>
    <t>Pasting &amp; Attaching mica (2) over top</t>
  </si>
  <si>
    <t>OP-0075</t>
  </si>
  <si>
    <t>Pasting on top &amp; kimlon</t>
  </si>
  <si>
    <t>OP-0076</t>
  </si>
  <si>
    <t>Pasting on Top  &amp; center nonwoven(1)</t>
  </si>
  <si>
    <t>OP-0077</t>
  </si>
  <si>
    <t>Pasting on Top &amp; moon bit</t>
  </si>
  <si>
    <t>OP-0078</t>
  </si>
  <si>
    <t>Attaching kimlon over top</t>
  </si>
  <si>
    <t>OP-0079</t>
  </si>
  <si>
    <t>Attaching nonwoven with top</t>
  </si>
  <si>
    <t>OP-0080</t>
  </si>
  <si>
    <t>Attaching center nonwoven with top</t>
  </si>
  <si>
    <t>OP-0081</t>
  </si>
  <si>
    <t>Attaching moon bit</t>
  </si>
  <si>
    <t>G4</t>
  </si>
  <si>
    <t>WS20</t>
  </si>
  <si>
    <t>OP-0082</t>
  </si>
  <si>
    <t>Stitching center stay</t>
  </si>
  <si>
    <t>LPD09853</t>
  </si>
  <si>
    <t>SUBAN</t>
  </si>
  <si>
    <t>WS22</t>
  </si>
  <si>
    <t>OP-0083</t>
  </si>
  <si>
    <t>Stitching  left &amp; right gusset on Top Sides</t>
  </si>
  <si>
    <t>LPD11453</t>
  </si>
  <si>
    <t>MUNNI</t>
  </si>
  <si>
    <t>OP-0084</t>
  </si>
  <si>
    <t>Stitching  left  gusset  pu &amp; lining on bottom Sides</t>
  </si>
  <si>
    <t>OP-0085</t>
  </si>
  <si>
    <t>Stitching zipper with lining</t>
  </si>
  <si>
    <t>WS23</t>
  </si>
  <si>
    <t>OP-0086</t>
  </si>
  <si>
    <t>Top moon bit stitching</t>
  </si>
  <si>
    <t>LPDS95282</t>
  </si>
  <si>
    <t>ASEENA</t>
  </si>
  <si>
    <t>OP-0087</t>
  </si>
  <si>
    <t>Stitching top side of cc pkt   &amp;  bottom centerstay</t>
  </si>
  <si>
    <t>OP-0088</t>
  </si>
  <si>
    <t>Stitching shell pkt left side</t>
  </si>
  <si>
    <t>WS24</t>
  </si>
  <si>
    <t>OP-0089</t>
  </si>
  <si>
    <t>Direct stitching zip collar  &amp; tab bit in AMS</t>
  </si>
  <si>
    <t>LPD10530</t>
  </si>
  <si>
    <t>ABADUDIN</t>
  </si>
  <si>
    <t>G5</t>
  </si>
  <si>
    <t>WS25</t>
  </si>
  <si>
    <t>OP-0090</t>
  </si>
  <si>
    <t>Pasting on lining &amp; kimlon</t>
  </si>
  <si>
    <t>LPD01611</t>
  </si>
  <si>
    <t>SARASWATHI</t>
  </si>
  <si>
    <t>OP-0091</t>
  </si>
  <si>
    <t>Attaching lining with kimlon</t>
  </si>
  <si>
    <t>OP-0092</t>
  </si>
  <si>
    <t>Lining folding &amp; cornering</t>
  </si>
  <si>
    <t>WS26</t>
  </si>
  <si>
    <t>OP-0093</t>
  </si>
  <si>
    <t>Pasting on Left  Gusset 2 Side</t>
  </si>
  <si>
    <t>LPD12097</t>
  </si>
  <si>
    <t>R STELLA</t>
  </si>
  <si>
    <t>OP-0094</t>
  </si>
  <si>
    <t>Pasting over Zip Lining</t>
  </si>
  <si>
    <t>OP-0095</t>
  </si>
  <si>
    <t>Attaching Left Gusset 2 Side  With zipper Lining</t>
  </si>
  <si>
    <t>WS27</t>
  </si>
  <si>
    <t>OP-0096</t>
  </si>
  <si>
    <t>Pasting on zip collar</t>
  </si>
  <si>
    <t>LPD11314</t>
  </si>
  <si>
    <t>MD ILYAS</t>
  </si>
  <si>
    <t>OP-0097</t>
  </si>
  <si>
    <t>Pasting on shell</t>
  </si>
  <si>
    <t>WS28</t>
  </si>
  <si>
    <t>OP-0098</t>
  </si>
  <si>
    <t>Attaching Shell &amp;  zip collar</t>
  </si>
  <si>
    <t>LPD11709</t>
  </si>
  <si>
    <t>SHANKARI</t>
  </si>
  <si>
    <t>WS30</t>
  </si>
  <si>
    <t>LPD12061</t>
  </si>
  <si>
    <t>BAKIBULLA MOLLA</t>
  </si>
  <si>
    <t>WS31</t>
  </si>
  <si>
    <t>OP-0099</t>
  </si>
  <si>
    <t>Pasting on Right  Gusset 2- Side</t>
  </si>
  <si>
    <t>LPDS95712</t>
  </si>
  <si>
    <t>SOWMIYA</t>
  </si>
  <si>
    <t>OP-0100</t>
  </si>
  <si>
    <t>Pasting over  shell</t>
  </si>
  <si>
    <t>OP-0101</t>
  </si>
  <si>
    <t>Attaching  Right  Gusset 2-Side  With shell</t>
  </si>
  <si>
    <t>OP-0102</t>
  </si>
  <si>
    <t>Pasting on zipper collar support kimlon bit  &amp;  zip collar back</t>
  </si>
  <si>
    <t>OP-0103</t>
  </si>
  <si>
    <t>Attaching zipper collar support kimlon bit over zip collar back</t>
  </si>
  <si>
    <t>WS32</t>
  </si>
  <si>
    <t>OP-0104</t>
  </si>
  <si>
    <t>Pasting on kimlon (2nos)</t>
  </si>
  <si>
    <t>LPD10969</t>
  </si>
  <si>
    <t>SAMEENA</t>
  </si>
  <si>
    <t>OP-0105</t>
  </si>
  <si>
    <t>Pasting over Cc pkt lining</t>
  </si>
  <si>
    <t>OP-0106</t>
  </si>
  <si>
    <t>Attaching kimlon over cc pkt lining</t>
  </si>
  <si>
    <t>OP-0107</t>
  </si>
  <si>
    <t>Pasting over Cc pkt</t>
  </si>
  <si>
    <t>OP-0108</t>
  </si>
  <si>
    <t>Pasting over Center stay</t>
  </si>
  <si>
    <t>OP-0109</t>
  </si>
  <si>
    <t>Attaching center stay over cc pkt</t>
  </si>
  <si>
    <t>WS33</t>
  </si>
  <si>
    <t>OP-0110</t>
  </si>
  <si>
    <t>Pasting over window pkt</t>
  </si>
  <si>
    <t>LPD10171</t>
  </si>
  <si>
    <t>RAJESWARI</t>
  </si>
  <si>
    <t>OP-0111</t>
  </si>
  <si>
    <t>Attaching center stay over window pkt</t>
  </si>
  <si>
    <t>WS34</t>
  </si>
  <si>
    <t>OP-0112</t>
  </si>
  <si>
    <t>Pasting over shell</t>
  </si>
  <si>
    <t>OP-0113</t>
  </si>
  <si>
    <t>Pasting over Center stay pkt</t>
  </si>
  <si>
    <t>OP-0114</t>
  </si>
  <si>
    <t>Attaching center pkt with shell</t>
  </si>
  <si>
    <t>OP-0115</t>
  </si>
  <si>
    <t>Pasting over Center stay lining</t>
  </si>
  <si>
    <t>OP-0116</t>
  </si>
  <si>
    <t>Attaching with closing center stay lining  with shell closing</t>
  </si>
  <si>
    <t>WS35</t>
  </si>
  <si>
    <t>OP-0117</t>
  </si>
  <si>
    <t>Stitching L&amp;R Shell &amp; zip collar</t>
  </si>
  <si>
    <t>LPD95781</t>
  </si>
  <si>
    <t>MULLAI KODI</t>
  </si>
  <si>
    <t>WS36</t>
  </si>
  <si>
    <t>OP-0118</t>
  </si>
  <si>
    <t>Stitching center stay over cc pkt</t>
  </si>
  <si>
    <t>LPD12241</t>
  </si>
  <si>
    <t>SANGEETHA</t>
  </si>
  <si>
    <t>WS37</t>
  </si>
  <si>
    <t>LPD10795</t>
  </si>
  <si>
    <t>RAKIB</t>
  </si>
  <si>
    <t>OP-0119</t>
  </si>
  <si>
    <t>Pasting over backwall lining</t>
  </si>
  <si>
    <t>OP-0120</t>
  </si>
  <si>
    <t>Attaching  centerstay /window pkt over backwall lining</t>
  </si>
  <si>
    <t>WS38</t>
  </si>
  <si>
    <t>OP-0121</t>
  </si>
  <si>
    <t>Pasting over  Right shell</t>
  </si>
  <si>
    <t>LPD10727</t>
  </si>
  <si>
    <t>SHAN BASHA</t>
  </si>
  <si>
    <t>OP-0122</t>
  </si>
  <si>
    <t>Pasting over Left Window Center stay pkt</t>
  </si>
  <si>
    <t>OP-0123</t>
  </si>
  <si>
    <t>Attaching left center pkt with right shell</t>
  </si>
  <si>
    <t>WS39</t>
  </si>
  <si>
    <t>LPD12139</t>
  </si>
  <si>
    <t>SARTHAJ</t>
  </si>
  <si>
    <t>WS40</t>
  </si>
  <si>
    <t>OP-0124</t>
  </si>
  <si>
    <t>Stitching top side of cc pkt &amp;bottom centerstay</t>
  </si>
  <si>
    <t>LPD11669</t>
  </si>
  <si>
    <t>LEVINA</t>
  </si>
  <si>
    <t>WS41</t>
  </si>
  <si>
    <t>LPD05252</t>
  </si>
  <si>
    <t>SHEINAAZ</t>
  </si>
  <si>
    <t>WS42</t>
  </si>
  <si>
    <t>LPDS95788</t>
  </si>
  <si>
    <t>LPDS95788 | MUMTAZ</t>
  </si>
  <si>
    <t>WS43</t>
  </si>
  <si>
    <t>WS44</t>
  </si>
  <si>
    <t>LPD09702</t>
  </si>
  <si>
    <t>DEVI</t>
  </si>
  <si>
    <t>WS45</t>
  </si>
  <si>
    <t>LPD10618</t>
  </si>
  <si>
    <t>RAMEEZA</t>
  </si>
  <si>
    <t>OP-0125</t>
  </si>
  <si>
    <t>Promoter</t>
  </si>
  <si>
    <t>OP-0126</t>
  </si>
  <si>
    <t>Dye</t>
  </si>
  <si>
    <t>WS46</t>
  </si>
  <si>
    <t>MUMTAZ</t>
  </si>
  <si>
    <t>G6</t>
  </si>
  <si>
    <t>WS47</t>
  </si>
  <si>
    <t>OP-0127</t>
  </si>
  <si>
    <t>Pasting  Top backwall &amp; top</t>
  </si>
  <si>
    <t>LPD10282</t>
  </si>
  <si>
    <t>DIVYA</t>
  </si>
  <si>
    <t>WS48</t>
  </si>
  <si>
    <t>LPD11520</t>
  </si>
  <si>
    <t>ZAREENA</t>
  </si>
  <si>
    <t>OP-0128</t>
  </si>
  <si>
    <t>Attaching lining on top backwall&amp; top</t>
  </si>
  <si>
    <t>OP-0129</t>
  </si>
  <si>
    <t>Stitching Lining with backwall &amp; moon bit</t>
  </si>
  <si>
    <t>OP-0130</t>
  </si>
  <si>
    <t>Thread Pull, Pasting</t>
  </si>
  <si>
    <t>WS49</t>
  </si>
  <si>
    <t>OP-0131</t>
  </si>
  <si>
    <t>Pasting over Zip shell</t>
  </si>
  <si>
    <t>LPD12061 | BAKIBULLA MOLLA</t>
  </si>
  <si>
    <t>WS50</t>
  </si>
  <si>
    <t>LPD11959</t>
  </si>
  <si>
    <t>LPD11959 | A MEENAKSHI</t>
  </si>
  <si>
    <t>OP-0132</t>
  </si>
  <si>
    <t>Inserting mould</t>
  </si>
  <si>
    <t>OP-0133</t>
  </si>
  <si>
    <t>Attaching Zipper with case in Mould  &amp; Cornnering Zipper over Lining  &amp; mould removing</t>
  </si>
  <si>
    <t>G7</t>
  </si>
  <si>
    <t>WS51</t>
  </si>
  <si>
    <t>OP-0134</t>
  </si>
  <si>
    <t>Pasting over shell final</t>
  </si>
  <si>
    <t>LPDS95790</t>
  </si>
  <si>
    <t>PARWEEN</t>
  </si>
  <si>
    <t>WS52</t>
  </si>
  <si>
    <t>OP-0135</t>
  </si>
  <si>
    <t>Label prepration</t>
  </si>
  <si>
    <t>OP-0136</t>
  </si>
  <si>
    <t>Pasting on label</t>
  </si>
  <si>
    <t>WS53</t>
  </si>
  <si>
    <t>OP-0137</t>
  </si>
  <si>
    <t>Attaching label</t>
  </si>
  <si>
    <t>LPD12275</t>
  </si>
  <si>
    <t>AYUB MOLLA</t>
  </si>
  <si>
    <t>WS54</t>
  </si>
  <si>
    <t>OP-0138</t>
  </si>
  <si>
    <t>Final Attaching</t>
  </si>
  <si>
    <t>LPD12262</t>
  </si>
  <si>
    <t>RAHIM</t>
  </si>
  <si>
    <t>WS55</t>
  </si>
  <si>
    <t>OP-0139</t>
  </si>
  <si>
    <t>Final Stitching</t>
  </si>
  <si>
    <t>LPD11396</t>
  </si>
  <si>
    <t>PRECILA</t>
  </si>
  <si>
    <t>WS56</t>
  </si>
  <si>
    <t>LPD11018</t>
  </si>
  <si>
    <t>SHABANA</t>
  </si>
  <si>
    <t>OP-0140</t>
  </si>
  <si>
    <t>Puller fixing</t>
  </si>
  <si>
    <t>WS57</t>
  </si>
  <si>
    <t>OP-0011</t>
  </si>
  <si>
    <t>Cleaning</t>
  </si>
  <si>
    <t>LPD11690</t>
  </si>
  <si>
    <t>NANDHINI</t>
  </si>
  <si>
    <t>OP-0011 | Cleaning</t>
  </si>
  <si>
    <t>LPD01167</t>
  </si>
  <si>
    <t>S. VENDA</t>
  </si>
  <si>
    <t>LPD01167 | S. VENDA</t>
  </si>
  <si>
    <t>OP-0014 | Heating</t>
  </si>
  <si>
    <t>LPD08988</t>
  </si>
  <si>
    <t>K. DEEPA</t>
  </si>
  <si>
    <t>LPD08988 | K. DEEPA</t>
  </si>
  <si>
    <t>OP-0015 | board with lining attatching &amp;  1st primer</t>
  </si>
  <si>
    <t>LPD09007</t>
  </si>
  <si>
    <t>K. FAIYAZ</t>
  </si>
  <si>
    <t>LPD09007 | K. FAIYAZ</t>
  </si>
  <si>
    <t>OP-0016 | die process</t>
  </si>
  <si>
    <t>LPD09944</t>
  </si>
  <si>
    <t>PARVEEN</t>
  </si>
  <si>
    <t>LPD09944 | PARVEEN</t>
  </si>
  <si>
    <t>OP-0017 | Pasting on patti (5*1 Nos)</t>
  </si>
  <si>
    <t>LPD09951</t>
  </si>
  <si>
    <t>B. SHAHEEN</t>
  </si>
  <si>
    <t>LPD09951 | B. SHAHEEN</t>
  </si>
  <si>
    <t>OP-0018 | Attaching step patti (4*1 Nos)</t>
  </si>
  <si>
    <t>LPD09954</t>
  </si>
  <si>
    <t>SHOBANA</t>
  </si>
  <si>
    <t>LPD09954 | SHOBANA</t>
  </si>
  <si>
    <t>OP-0019 | Pasting on stamp &amp; pkt  (1-Nos)</t>
  </si>
  <si>
    <t>LPD09963</t>
  </si>
  <si>
    <t>R. AMBIKA</t>
  </si>
  <si>
    <t>LPD09963 | R. AMBIKA</t>
  </si>
  <si>
    <t>G8</t>
  </si>
  <si>
    <t>OP-0020 | Attaching stamp with cc pkt</t>
  </si>
  <si>
    <t>LPD09973</t>
  </si>
  <si>
    <t>S. SIVARANJANI</t>
  </si>
  <si>
    <t>LPD09973 | S. SIVARANJANI</t>
  </si>
  <si>
    <t>G9</t>
  </si>
  <si>
    <t>OP-0021 | Pasting on patti (4*1 Nos)</t>
  </si>
  <si>
    <t>LPD09981</t>
  </si>
  <si>
    <t>K. ESWARI</t>
  </si>
  <si>
    <t>LPD09981 | K. ESWARI</t>
  </si>
  <si>
    <t>G10</t>
  </si>
  <si>
    <t>OP-0022 | Attaching step patti (3*1 Nos)</t>
  </si>
  <si>
    <t>LPD09996</t>
  </si>
  <si>
    <t>A. YASEEN BEE</t>
  </si>
  <si>
    <t>LPD09996 | A. YASEEN BEE</t>
  </si>
  <si>
    <t>G11</t>
  </si>
  <si>
    <t>OP-0023 | Stitching the lining (4*1 Nos)</t>
  </si>
  <si>
    <t>LPD10035</t>
  </si>
  <si>
    <t>REVATHI</t>
  </si>
  <si>
    <t>LPD10035 | REVATHI</t>
  </si>
  <si>
    <t>G12</t>
  </si>
  <si>
    <t>OP-0024 | Stitching closing  lining (1*1 Nos)</t>
  </si>
  <si>
    <t>LPD10044</t>
  </si>
  <si>
    <t>SHAKIRA</t>
  </si>
  <si>
    <t>LPD10044 | SHAKIRA</t>
  </si>
  <si>
    <t>G13</t>
  </si>
  <si>
    <t>OP-0025 | Stitching the lining (3*1 Nos)</t>
  </si>
  <si>
    <t>LPD10099</t>
  </si>
  <si>
    <t>AMMU</t>
  </si>
  <si>
    <t>LPD10099 | AMMU</t>
  </si>
  <si>
    <t>G14</t>
  </si>
  <si>
    <t>OP-0026 | Stitching the lining (1*1 Nos)</t>
  </si>
  <si>
    <t>LPD10255</t>
  </si>
  <si>
    <t>MUGINA</t>
  </si>
  <si>
    <t>LPD10255 | MUGINA</t>
  </si>
  <si>
    <t>G15</t>
  </si>
  <si>
    <t>OP-0027 | Recutting of cc pkt (1:2) 1-Nos</t>
  </si>
  <si>
    <t>LPD10281</t>
  </si>
  <si>
    <t>MD. SHAMIM AHAMAD</t>
  </si>
  <si>
    <t>LPD10281 | MD. SHAMIM AHAMAD</t>
  </si>
  <si>
    <t>G16</t>
  </si>
  <si>
    <t>OP-0028 | Recutting of center stay  (1:2)</t>
  </si>
  <si>
    <t>LPD10534</t>
  </si>
  <si>
    <t>MANIRUL GAZI</t>
  </si>
  <si>
    <t>LPD10534 | MANIRUL GAZI</t>
  </si>
  <si>
    <t>G17</t>
  </si>
  <si>
    <t>OP-0029 | Pasting on lining (1-Nos)</t>
  </si>
  <si>
    <t>LPD10674</t>
  </si>
  <si>
    <t>T. KHAN</t>
  </si>
  <si>
    <t>LPD10674 | T. KHAN</t>
  </si>
  <si>
    <t>G18</t>
  </si>
  <si>
    <t>OP-0030 | Attaching with lining closing(1-Nos)</t>
  </si>
  <si>
    <t>LPD10701</t>
  </si>
  <si>
    <t>BADRUNNISA</t>
  </si>
  <si>
    <t>LPD10701 | BADRUNNISA</t>
  </si>
  <si>
    <t>G19</t>
  </si>
  <si>
    <t>OP-0031 | Pasting cover lining and cc pkt (1-Nos)</t>
  </si>
  <si>
    <t>LPD11278</t>
  </si>
  <si>
    <t>MD. INTAKHAB</t>
  </si>
  <si>
    <t>LPD11278 | MD. INTAKHAB</t>
  </si>
  <si>
    <t>G20</t>
  </si>
  <si>
    <t>OP-0032 | Attaching cover lining and cc pkt (1-Nos)</t>
  </si>
  <si>
    <t>LPD11358</t>
  </si>
  <si>
    <t>SUMATHI</t>
  </si>
  <si>
    <t>LPD11358 | SUMATHI</t>
  </si>
  <si>
    <t>WS21</t>
  </si>
  <si>
    <t>G21</t>
  </si>
  <si>
    <t>OP-0033 | Pasting lining</t>
  </si>
  <si>
    <t>LPD11504</t>
  </si>
  <si>
    <t>S. SUGUNA</t>
  </si>
  <si>
    <t>LPD11504 | S. SUGUNA</t>
  </si>
  <si>
    <t>G22</t>
  </si>
  <si>
    <t>OP-0034 | Lining folding</t>
  </si>
  <si>
    <t>LPD11618</t>
  </si>
  <si>
    <t>MD. NASIM</t>
  </si>
  <si>
    <t>LPD11618 | MD. NASIM</t>
  </si>
  <si>
    <t>G23</t>
  </si>
  <si>
    <t>OP-0035 | Pasting on lining &amp; beeding</t>
  </si>
  <si>
    <t>LPD11692</t>
  </si>
  <si>
    <t>POORNIMA VIMAL</t>
  </si>
  <si>
    <t>LPD11692 | POORNIMA VIMAL</t>
  </si>
  <si>
    <t>G24</t>
  </si>
  <si>
    <t>OP-0036 | Attaching lining with beeding</t>
  </si>
  <si>
    <t>LPD11700</t>
  </si>
  <si>
    <t>S UMA</t>
  </si>
  <si>
    <t>LPD11700 | S UMA</t>
  </si>
  <si>
    <t>G25</t>
  </si>
  <si>
    <t>OP-0037 | Pasting on patti</t>
  </si>
  <si>
    <t>LPD11937</t>
  </si>
  <si>
    <t>KHURSID ALI MOLLA</t>
  </si>
  <si>
    <t>LPD11937 | KHURSID ALI MOLLA</t>
  </si>
  <si>
    <t>G26</t>
  </si>
  <si>
    <t>OP-0038 | Attaching step patti (1*1Nos)</t>
  </si>
  <si>
    <t>LPD11973</t>
  </si>
  <si>
    <t>SHAJAN R</t>
  </si>
  <si>
    <t>LPD11973 | SHAJAN R</t>
  </si>
  <si>
    <t>G27</t>
  </si>
  <si>
    <t>OP-0039 | Pasting on window side patti lining</t>
  </si>
  <si>
    <t>LPD12066</t>
  </si>
  <si>
    <t>JIYAUL HOQUE</t>
  </si>
  <si>
    <t>LPD12066 | JIYAUL HOQUE</t>
  </si>
  <si>
    <t>G28</t>
  </si>
  <si>
    <t>OP-0040 | Pasting on cc pkt</t>
  </si>
  <si>
    <t>LPD12099</t>
  </si>
  <si>
    <t>S AMUDHA</t>
  </si>
  <si>
    <t>LPD12099 | S AMUDHA</t>
  </si>
  <si>
    <t>WS29</t>
  </si>
  <si>
    <t>G29</t>
  </si>
  <si>
    <t>OP-0041 | Attaching step patti (1Nos)</t>
  </si>
  <si>
    <t>LPD12105</t>
  </si>
  <si>
    <t>JAHIR MOLLA</t>
  </si>
  <si>
    <t>LPD12105 | JAHIR MOLLA</t>
  </si>
  <si>
    <t>G30</t>
  </si>
  <si>
    <t>OP-0042 | Pasting on window</t>
  </si>
  <si>
    <t>LPD12233</t>
  </si>
  <si>
    <t>I RESHMA</t>
  </si>
  <si>
    <t>LPD12233 | I RESHMA</t>
  </si>
  <si>
    <t>G31</t>
  </si>
  <si>
    <t>OP-0043 | Attaching window with cc pkt</t>
  </si>
  <si>
    <t>LPD12254</t>
  </si>
  <si>
    <t>RABIUL MOLLA</t>
  </si>
  <si>
    <t>LPD12254 | RABIUL MOLLA</t>
  </si>
  <si>
    <t>G32</t>
  </si>
  <si>
    <t>OP-0044 | Stitching the window side</t>
  </si>
  <si>
    <t>LPD12271</t>
  </si>
  <si>
    <t>FARUK MOLLA</t>
  </si>
  <si>
    <t>LPD12271 | FARUK MOLLA</t>
  </si>
  <si>
    <t>G33</t>
  </si>
  <si>
    <t>OP-0045 | Stitching the cc pkt on Sides</t>
  </si>
  <si>
    <t>LPD12279</t>
  </si>
  <si>
    <t>AJIJUL MOLLA</t>
  </si>
  <si>
    <t>LPD12279 | AJIJUL MOLLA</t>
  </si>
  <si>
    <t>G34</t>
  </si>
  <si>
    <t>OP-0046 | Stitching cc pkt lining side ( half stitch)</t>
  </si>
  <si>
    <t>LPD12280</t>
  </si>
  <si>
    <t>MIJANUR GAZI</t>
  </si>
  <si>
    <t>LPD12280 | MIJANUR GAZI</t>
  </si>
  <si>
    <t>G35</t>
  </si>
  <si>
    <t>OP-0047 | Thread pulling at both sides</t>
  </si>
  <si>
    <t>LPD12283</t>
  </si>
  <si>
    <t>ASHIK ALI MOLLA</t>
  </si>
  <si>
    <t>LPD12283 | ASHIK ALI MOLLA</t>
  </si>
  <si>
    <t>G36</t>
  </si>
  <si>
    <t>OP-0048 | Stitching window with pkt</t>
  </si>
  <si>
    <t>LPD12285</t>
  </si>
  <si>
    <t>MD ISMAIL</t>
  </si>
  <si>
    <t>LPD12285 | MD ISMAIL</t>
  </si>
  <si>
    <t>G37</t>
  </si>
  <si>
    <t>OP-0049 | CC Pkt side stitching ( 2nd half stitch)</t>
  </si>
  <si>
    <t>LPDS94644</t>
  </si>
  <si>
    <t>RAVICHITRA</t>
  </si>
  <si>
    <t>LPDS94644 | RAVICHITRA</t>
  </si>
  <si>
    <t>G38</t>
  </si>
  <si>
    <t>OP-0050 | Decorative Stitching of Anchor Bit</t>
  </si>
  <si>
    <t>LPDS94648</t>
  </si>
  <si>
    <t>JAYANTHI</t>
  </si>
  <si>
    <t>LPDS94648 | JAYANTHI</t>
  </si>
  <si>
    <t>G39</t>
  </si>
  <si>
    <t>OP-0051 | Pasting top leather &amp; facing leather</t>
  </si>
  <si>
    <t>LPDS95359</t>
  </si>
  <si>
    <t>MOHAMMED ZAIBAS M</t>
  </si>
  <si>
    <t>LPDS95359 | MOHAMMED ZAIBAS M</t>
  </si>
  <si>
    <t>G40</t>
  </si>
  <si>
    <t>OP-0052 | Attaching top &amp; facing leather</t>
  </si>
  <si>
    <t>LPDS95400</t>
  </si>
  <si>
    <t>C SHABREEN</t>
  </si>
  <si>
    <t>LPDS95400 | C SHABREEN</t>
  </si>
  <si>
    <t>G41</t>
  </si>
  <si>
    <t>OP-0053 | Lamping</t>
  </si>
  <si>
    <t>LPDS95477</t>
  </si>
  <si>
    <t>AMUL R MURALI K</t>
  </si>
  <si>
    <t>LPDS95477 | AMUL R MURALI K</t>
  </si>
  <si>
    <t>G42</t>
  </si>
  <si>
    <t>OP-0054 | Lamping of anchor tab bit</t>
  </si>
  <si>
    <t>LPDS95753</t>
  </si>
  <si>
    <t>S THABASSUM</t>
  </si>
  <si>
    <t>LPDS95753 | S THABASSUM</t>
  </si>
  <si>
    <t>G43</t>
  </si>
  <si>
    <t>OP-0055 | Pressing</t>
  </si>
  <si>
    <t>I PARVEEN</t>
  </si>
  <si>
    <t>LPDS95790 | I PARVEEN</t>
  </si>
  <si>
    <t>G44</t>
  </si>
  <si>
    <t>OP-0056 | Primer</t>
  </si>
  <si>
    <t>LPD00071</t>
  </si>
  <si>
    <t>S. NASEEMA</t>
  </si>
  <si>
    <t>LPD00071 | S. NASEEMA</t>
  </si>
  <si>
    <t>G45</t>
  </si>
  <si>
    <t>OP-0057 | Edge Inking</t>
  </si>
  <si>
    <t>B. SARASWATHI</t>
  </si>
  <si>
    <t>LPD01611 | B. SARASWATHI</t>
  </si>
  <si>
    <t>G46</t>
  </si>
  <si>
    <t>OP-0058 | Primer 1</t>
  </si>
  <si>
    <t>LPD03353</t>
  </si>
  <si>
    <t>A. RAFI</t>
  </si>
  <si>
    <t>LPD03353 | A. RAFI</t>
  </si>
  <si>
    <t>G47</t>
  </si>
  <si>
    <t>OP-0059 | Primer 2</t>
  </si>
  <si>
    <t>LPD05412</t>
  </si>
  <si>
    <t>N. KHALEEL AHMED</t>
  </si>
  <si>
    <t>LPD05412 | N. KHALEEL AHMED</t>
  </si>
  <si>
    <t>G48</t>
  </si>
  <si>
    <t>OP-0060 | Primer 3</t>
  </si>
  <si>
    <t>LPD07294</t>
  </si>
  <si>
    <t>A. RAMEZA</t>
  </si>
  <si>
    <t>LPD07294 | A. RAMEZA</t>
  </si>
  <si>
    <t>G49</t>
  </si>
  <si>
    <t>OP-0061 | Buffing</t>
  </si>
  <si>
    <t>S. MUBARAK</t>
  </si>
  <si>
    <t>LPD07687 | S. MUBARAK</t>
  </si>
  <si>
    <t>G50</t>
  </si>
  <si>
    <t>OP-0062 | Recutting facing Leather (1:5)</t>
  </si>
  <si>
    <t>LPD07739 | A. JAMEELA</t>
  </si>
  <si>
    <t>OP-0063 | Recutting Top Leather (1:5)</t>
  </si>
  <si>
    <t>LPD07960 | F. ZAINATHBEE</t>
  </si>
  <si>
    <t>OP-0064 | Recutting Top</t>
  </si>
  <si>
    <t>LPD08092</t>
  </si>
  <si>
    <t>LPD08092 | USHA</t>
  </si>
  <si>
    <t>OP-0065 | Recutting zip collar PU</t>
  </si>
  <si>
    <t>LPD08982</t>
  </si>
  <si>
    <t>M. APSANA</t>
  </si>
  <si>
    <t>LPD08982 | M. APSANA</t>
  </si>
  <si>
    <t>OP-0066 | Foil Embossing on cc pkt</t>
  </si>
  <si>
    <t>LPD09047</t>
  </si>
  <si>
    <t>A. YUSUF</t>
  </si>
  <si>
    <t>LPD09047 | A. YUSUF</t>
  </si>
  <si>
    <t>OP-0067 | inserting &amp; Pressing snap male button  (1-Nos)</t>
  </si>
  <si>
    <t>LPD09670</t>
  </si>
  <si>
    <t>M. SIDDIQUA</t>
  </si>
  <si>
    <t>LPD09670 | M. SIDDIQUA</t>
  </si>
  <si>
    <t>OP-0068 | Revitting Female button on Top</t>
  </si>
  <si>
    <t>A. ABDUL SUBAN</t>
  </si>
  <si>
    <t>LPD09853 | A. ABDUL SUBAN</t>
  </si>
  <si>
    <t>OP-0069 | Grinding  Logo on Top</t>
  </si>
  <si>
    <t>LPD09877</t>
  </si>
  <si>
    <t>J. SAIDA</t>
  </si>
  <si>
    <t>LPD09877 | J. SAIDA</t>
  </si>
  <si>
    <t>WS58</t>
  </si>
  <si>
    <t>OP-0070 | Pressing logo on Top</t>
  </si>
  <si>
    <t>AKBAR NIZAMUDDIN</t>
  </si>
  <si>
    <t>LPD09926 | AKBAR NIZAMUDDIN</t>
  </si>
  <si>
    <t>WS59</t>
  </si>
  <si>
    <t>OP-0071 | Attaching Self adhesive logo cover kimlon</t>
  </si>
  <si>
    <t>LPD10171 | RAJESWARI</t>
  </si>
  <si>
    <t>WS60</t>
  </si>
  <si>
    <t>OP-0072 | Pasting on top</t>
  </si>
  <si>
    <t>LPD10253</t>
  </si>
  <si>
    <t>UMA</t>
  </si>
  <si>
    <t>LPD10253 | UMA</t>
  </si>
  <si>
    <t>WS61</t>
  </si>
  <si>
    <t>OP-0073 | Pasting on nonwoven(L/R)</t>
  </si>
  <si>
    <t>LPD10282 | DIVYA</t>
  </si>
  <si>
    <t>WS62</t>
  </si>
  <si>
    <t>OP-0074 | Pasting &amp; Attaching mica (2) over top</t>
  </si>
  <si>
    <t>S. SHAKIRA</t>
  </si>
  <si>
    <t>LPD10526 | S. SHAKIRA</t>
  </si>
  <si>
    <t>WS63</t>
  </si>
  <si>
    <t>OP-0075 | Pasting on top &amp; kimlon</t>
  </si>
  <si>
    <t>ABAD UDDIN</t>
  </si>
  <si>
    <t>LPD10530 | ABAD UDDIN</t>
  </si>
  <si>
    <t>WS64</t>
  </si>
  <si>
    <t>OP-0076 | Pasting on Top  &amp; center nonwoven(1)</t>
  </si>
  <si>
    <t>LPD10562</t>
  </si>
  <si>
    <t>SHAMEEM</t>
  </si>
  <si>
    <t>LPD10562 | SHAMEEM</t>
  </si>
  <si>
    <t>WS65</t>
  </si>
  <si>
    <t>OP-0077 | Pasting on Top &amp; moon bit</t>
  </si>
  <si>
    <t>LPD10667</t>
  </si>
  <si>
    <t>JIAUR RAHMAN</t>
  </si>
  <si>
    <t>LPD10667 | JIAUR RAHMAN</t>
  </si>
  <si>
    <t>WS66</t>
  </si>
  <si>
    <t>OP-0078 | Attaching kimlon over top</t>
  </si>
  <si>
    <t>N. CHAND BASHA</t>
  </si>
  <si>
    <t>LPD10727 | N. CHAND BASHA</t>
  </si>
  <si>
    <t>WS67</t>
  </si>
  <si>
    <t>OP-0079 | Attaching nonwoven with top</t>
  </si>
  <si>
    <t>LPD10728</t>
  </si>
  <si>
    <t>B. MUBARAK BASHA</t>
  </si>
  <si>
    <t>LPD10728 | B. MUBARAK BASHA</t>
  </si>
  <si>
    <t>WS68</t>
  </si>
  <si>
    <t>OP-0080 | Attaching center nonwoven with top</t>
  </si>
  <si>
    <t>LPD10751</t>
  </si>
  <si>
    <t>A. ZAKEER</t>
  </si>
  <si>
    <t>LPD10751 | A. ZAKEER</t>
  </si>
  <si>
    <t>WS69</t>
  </si>
  <si>
    <t>OP-0081 | Attaching moon bit</t>
  </si>
  <si>
    <t>RAGIB KHAN</t>
  </si>
  <si>
    <t>LPD10795 | RAGIB KHAN</t>
  </si>
  <si>
    <t>WS70</t>
  </si>
  <si>
    <t>OP-0082 | Stitching center stay</t>
  </si>
  <si>
    <t>P. PUNITHA</t>
  </si>
  <si>
    <t>LPD10889 | P. PUNITHA</t>
  </si>
  <si>
    <t>WS71</t>
  </si>
  <si>
    <t>OP-0083 | Stitching  left &amp; right gusset on Top Sides</t>
  </si>
  <si>
    <t>L. SYED RASOOL</t>
  </si>
  <si>
    <t>LPD10907 | L. SYED RASOOL</t>
  </si>
  <si>
    <t>WS72</t>
  </si>
  <si>
    <t>OP-0084 | Stitching  left  gusset  pu &amp; lining on bottom Sides</t>
  </si>
  <si>
    <t>LPD10969 | SAMEENA</t>
  </si>
  <si>
    <t>WS73</t>
  </si>
  <si>
    <t>OP-0085 | Stitching zipper with lining</t>
  </si>
  <si>
    <t>LPD10987</t>
  </si>
  <si>
    <t>R. SHEELA</t>
  </si>
  <si>
    <t>LPD10987 | R. SHEELA</t>
  </si>
  <si>
    <t>WS74</t>
  </si>
  <si>
    <t>OP-0086 | Top moon bit stitching</t>
  </si>
  <si>
    <t>LPD10999</t>
  </si>
  <si>
    <t>KARISHMA</t>
  </si>
  <si>
    <t>LPD10999 | KARISHMA</t>
  </si>
  <si>
    <t>WS75</t>
  </si>
  <si>
    <t>OP-0087 | Stitching top side of cc pkt   &amp;  bottom centerstay</t>
  </si>
  <si>
    <t>LPD11006</t>
  </si>
  <si>
    <t>V. LAKSHMI</t>
  </si>
  <si>
    <t>LPD11006 | V. LAKSHMI</t>
  </si>
  <si>
    <t>WS76</t>
  </si>
  <si>
    <t>OP-0088 | Stitching shell pkt left side</t>
  </si>
  <si>
    <t>LPD11018 | SHABANA</t>
  </si>
  <si>
    <t>WS77</t>
  </si>
  <si>
    <t>OP-0089 | Direct stitching zip collar  &amp; tab bit in AMS</t>
  </si>
  <si>
    <t>LPD11089 | S. THAJNISA</t>
  </si>
  <si>
    <t>WS78</t>
  </si>
  <si>
    <t>OP-0090 | Pasting on lining &amp; kimlon</t>
  </si>
  <si>
    <t>THAMILARASI</t>
  </si>
  <si>
    <t>LPD11099 | THAMILARASI</t>
  </si>
  <si>
    <t>WS79</t>
  </si>
  <si>
    <t>OP-0091 | Attaching lining with kimlon</t>
  </si>
  <si>
    <t>A. MOHAMMED IRFAN</t>
  </si>
  <si>
    <t>LPD11272 | A. MOHAMMED IRFAN</t>
  </si>
  <si>
    <t>WS80</t>
  </si>
  <si>
    <t>OP-0092 | Lining folding &amp; cornering</t>
  </si>
  <si>
    <t>LPD11308</t>
  </si>
  <si>
    <t>B. MUHAMMED NAWAZ</t>
  </si>
  <si>
    <t>LPD11308 | B. MUHAMMED NAWAZ</t>
  </si>
  <si>
    <t>WS81</t>
  </si>
  <si>
    <t>OP-0093 | Pasting on Left  Gusset 2 Side</t>
  </si>
  <si>
    <t>MOHAMMED ILIYAS</t>
  </si>
  <si>
    <t>LPD11314 | MOHAMMED ILIYAS</t>
  </si>
  <si>
    <t>WS82</t>
  </si>
  <si>
    <t>OP-0094 | Pasting over Zip Lining</t>
  </si>
  <si>
    <t>LPD11420 | KALPANA</t>
  </si>
  <si>
    <t>WS83</t>
  </si>
  <si>
    <t>OP-0095 | Attaching Left Gusset 2 Side  With zipper Lining</t>
  </si>
  <si>
    <t>LPD11454 | USHA</t>
  </si>
  <si>
    <t>WS84</t>
  </si>
  <si>
    <t>OP-0096 | Pasting on zip collar</t>
  </si>
  <si>
    <t>T. ZAREENA</t>
  </si>
  <si>
    <t>LPD11520 | T. ZAREENA</t>
  </si>
  <si>
    <t>WS85</t>
  </si>
  <si>
    <t>OP-0097 | Pasting on shell</t>
  </si>
  <si>
    <t>LPD11532</t>
  </si>
  <si>
    <t>MD. TANVEER</t>
  </si>
  <si>
    <t>LPD11532 | MD. TANVEER</t>
  </si>
  <si>
    <t>WS86</t>
  </si>
  <si>
    <t>OP-0098 | Attaching Shell &amp;  zip collar</t>
  </si>
  <si>
    <t>LPD11625</t>
  </si>
  <si>
    <t>RUHUL AMIN</t>
  </si>
  <si>
    <t>LPD11625 | RUHUL AMIN</t>
  </si>
  <si>
    <t>WS87</t>
  </si>
  <si>
    <t>OP-0099 | Pasting on Right  Gusset 2- Side</t>
  </si>
  <si>
    <t>G. LIVINA</t>
  </si>
  <si>
    <t>LPD11669 | G. LIVINA</t>
  </si>
  <si>
    <t>WS88</t>
  </si>
  <si>
    <t>OP-0100 | Pasting over  shell</t>
  </si>
  <si>
    <t>LPD11691</t>
  </si>
  <si>
    <t>V. JAYANTHI</t>
  </si>
  <si>
    <t>LPD11691 | V. JAYANTHI</t>
  </si>
  <si>
    <t>WS89</t>
  </si>
  <si>
    <t>OP-0101 | Attaching  Right  Gusset 2-Side  With shell</t>
  </si>
  <si>
    <t>R. SHANKARI</t>
  </si>
  <si>
    <t>LPD11709 | R. SHANKARI</t>
  </si>
  <si>
    <t>WS90</t>
  </si>
  <si>
    <t>OP-0102 | Pasting on zipper collar support kimlon bit  &amp;  zip collar back</t>
  </si>
  <si>
    <t>LPD11745</t>
  </si>
  <si>
    <t>C. KALAISELVI</t>
  </si>
  <si>
    <t>LPD11745 | C. KALAISELVI</t>
  </si>
  <si>
    <t>WS91</t>
  </si>
  <si>
    <t>OP-0103 | Attaching zipper collar support kimlon bit over zip collar back</t>
  </si>
  <si>
    <t>LPD11823</t>
  </si>
  <si>
    <t>ALI AKBAR MOLYA</t>
  </si>
  <si>
    <t>LPD11823 | ALI AKBAR MOLYA</t>
  </si>
  <si>
    <t>WS92</t>
  </si>
  <si>
    <t>OP-0104 | Pasting on kimlon (2nos)</t>
  </si>
  <si>
    <t>WS93</t>
  </si>
  <si>
    <t>OP-0105 | Pasting over Cc pkt lining</t>
  </si>
  <si>
    <t>LPD12097 | R STELLA</t>
  </si>
  <si>
    <t>WS94</t>
  </si>
  <si>
    <t>OP-0106 | Attaching kimlon over cc pkt lining</t>
  </si>
  <si>
    <t>SARTAJ BEGAM A</t>
  </si>
  <si>
    <t>LPD12139 | SARTAJ BEGAM A</t>
  </si>
  <si>
    <t>WS95</t>
  </si>
  <si>
    <t>OP-0107 | Pasting over Cc pkt</t>
  </si>
  <si>
    <t>LPD12146</t>
  </si>
  <si>
    <t>SARIFUL GAYEN</t>
  </si>
  <si>
    <t>LPD12146 | SARIFUL GAYEN</t>
  </si>
  <si>
    <t>WS96</t>
  </si>
  <si>
    <t>OP-0108 | Pasting over Center stay</t>
  </si>
  <si>
    <t>LPD12148</t>
  </si>
  <si>
    <t>HASANUR JAMAN MOLLA</t>
  </si>
  <si>
    <t>LPD12148 | HASANUR JAMAN MOLLA</t>
  </si>
  <si>
    <t>WS97</t>
  </si>
  <si>
    <t>OP-0109 | Attaching center stay over cc pkt</t>
  </si>
  <si>
    <t>LPD12203</t>
  </si>
  <si>
    <t>NASREEN S</t>
  </si>
  <si>
    <t>LPD12203 | NASREEN S</t>
  </si>
  <si>
    <t>WS98</t>
  </si>
  <si>
    <t>OP-0110 | Pasting over window pkt</t>
  </si>
  <si>
    <t>K KUMARI</t>
  </si>
  <si>
    <t>LPD12204 | K KUMARI</t>
  </si>
  <si>
    <t>WS99</t>
  </si>
  <si>
    <t>OP-0111 | Attaching center stay over window pkt</t>
  </si>
  <si>
    <t>LPD12211</t>
  </si>
  <si>
    <t>MOHAMMAD SAHEB</t>
  </si>
  <si>
    <t>LPD12211 | MOHAMMAD SAHEB</t>
  </si>
  <si>
    <t>WS100</t>
  </si>
  <si>
    <t>OP-0112 | Pasting over shell</t>
  </si>
  <si>
    <t>LPD12241 | SANGEETHA</t>
  </si>
  <si>
    <t>OP-0113 | Pasting over Center stay pkt</t>
  </si>
  <si>
    <t>ABDUR RAHIM LASKAR</t>
  </si>
  <si>
    <t>LPD12262 | ABDUR RAHIM LASKAR</t>
  </si>
  <si>
    <t>OP-0114 | Attaching center pkt with shell</t>
  </si>
  <si>
    <t>LPD12273</t>
  </si>
  <si>
    <t>SAHID MOLLA</t>
  </si>
  <si>
    <t>LPD12273 | SAHID MOLLA</t>
  </si>
  <si>
    <t>OP-0115 | Pasting over Center stay lining</t>
  </si>
  <si>
    <t>AYABUL MOLLA</t>
  </si>
  <si>
    <t>LPD12275 | AYABUL MOLLA</t>
  </si>
  <si>
    <t>OP-0116 | Attaching with closing center stay lining  with shell closing</t>
  </si>
  <si>
    <t>LPDS94626</t>
  </si>
  <si>
    <t>LPDS94626 | DEVI</t>
  </si>
  <si>
    <t>OP-0117 | Stitching L&amp;R Shell &amp; zip collar</t>
  </si>
  <si>
    <t>LPDS94681</t>
  </si>
  <si>
    <t>SATHIYABAMA M</t>
  </si>
  <si>
    <t>LPDS94681 | SATHIYABAMA M</t>
  </si>
  <si>
    <t>OP-0118 | Stitching center stay over cc pkt</t>
  </si>
  <si>
    <t>LPDS94726</t>
  </si>
  <si>
    <t>SUMATHI R</t>
  </si>
  <si>
    <t>LPDS94726 | SUMATHI R</t>
  </si>
  <si>
    <t>OP-0119 | Pasting over backwall lining</t>
  </si>
  <si>
    <t>JAYAKODI K</t>
  </si>
  <si>
    <t>LPDS94748 | JAYAKODI K</t>
  </si>
  <si>
    <t>OP-0120 | Attaching  centerstay /window pkt over backwall lining</t>
  </si>
  <si>
    <t>AMREEN S</t>
  </si>
  <si>
    <t>LPDS95254 | AMREEN S</t>
  </si>
  <si>
    <t>OP-0121 | Pasting over  Right shell</t>
  </si>
  <si>
    <t>ASEENA M</t>
  </si>
  <si>
    <t>LPDS95282 | ASEENA M</t>
  </si>
  <si>
    <t>OP-0122 | Pasting over Left Window Center stay pkt</t>
  </si>
  <si>
    <t>SOWMIYA THIYAGARAJAN</t>
  </si>
  <si>
    <t>LPDS95712 | SOWMIYA THIYAGARAJAN</t>
  </si>
  <si>
    <t>OP-0123 | Attaching left center pkt with right shell</t>
  </si>
  <si>
    <t>JAYALAKSHMI S</t>
  </si>
  <si>
    <t>LPDS95750 | JAYALAKSHMI S</t>
  </si>
  <si>
    <t>OP-0124 | Stitching top side of cc pkt &amp;bottom centerstay</t>
  </si>
  <si>
    <t>LPDS95761</t>
  </si>
  <si>
    <t>A FATHIMA</t>
  </si>
  <si>
    <t>LPDS95761 | A FATHIMA</t>
  </si>
  <si>
    <t>OP-0125 | Promoter</t>
  </si>
  <si>
    <t>R MUMTAJ</t>
  </si>
  <si>
    <t>LPDS95788 | R MUMTAJ</t>
  </si>
  <si>
    <t>OP-0126 | Dye</t>
  </si>
  <si>
    <t>MD ASLAM</t>
  </si>
  <si>
    <t>LPDS95789 | MD ASLAM</t>
  </si>
  <si>
    <t>OP-0127 | Pasting  Top backwall &amp; top</t>
  </si>
  <si>
    <t>S. SHAINAZ</t>
  </si>
  <si>
    <t>LPD05252 | S. SHAINAZ</t>
  </si>
  <si>
    <t>OP-0128 | Attaching lining on top backwall&amp; top</t>
  </si>
  <si>
    <t>LPD05396</t>
  </si>
  <si>
    <t>A. SIVA SAKTHI</t>
  </si>
  <si>
    <t>LPD05396 | A. SIVA SAKTHI</t>
  </si>
  <si>
    <t>OP-0129 | Stitching Lining with backwall &amp; moon bit</t>
  </si>
  <si>
    <t>LPD05817</t>
  </si>
  <si>
    <t>S. VIJAYA</t>
  </si>
  <si>
    <t>LPD05817 | S. VIJAYA</t>
  </si>
  <si>
    <t>OP-0130 | Thread Pull, Pasting</t>
  </si>
  <si>
    <t>LPD05998 | S. VENDA</t>
  </si>
  <si>
    <t>OP-0131 | Pasting over Zip shell</t>
  </si>
  <si>
    <t>LPD06079</t>
  </si>
  <si>
    <t>S. SELVI</t>
  </si>
  <si>
    <t>LPD06079 | S. SELVI</t>
  </si>
  <si>
    <t>OP-0132 | Inserting mould</t>
  </si>
  <si>
    <t>LPD07672</t>
  </si>
  <si>
    <t>K. LATHA</t>
  </si>
  <si>
    <t>LPD07672 | K. LATHA</t>
  </si>
  <si>
    <t>OP-0133 | Attaching Zipper with case in Mould  &amp; Cornnering Zipper over Lining  &amp; mould removing</t>
  </si>
  <si>
    <t>LPD07833</t>
  </si>
  <si>
    <t>GAYATHRI</t>
  </si>
  <si>
    <t>LPD07833 | GAYATHRI</t>
  </si>
  <si>
    <t>OP-0134 | Pasting over shell final</t>
  </si>
  <si>
    <t>LPD07913</t>
  </si>
  <si>
    <t>V. UMA</t>
  </si>
  <si>
    <t>LPD07913 | V. UMA</t>
  </si>
  <si>
    <t>OP-0135 | Label prepration</t>
  </si>
  <si>
    <t>LPD07972</t>
  </si>
  <si>
    <t>DEIVANAI</t>
  </si>
  <si>
    <t>LPD07972 | DEIVANAI</t>
  </si>
  <si>
    <t>OP-0136 | Pasting on label</t>
  </si>
  <si>
    <t>LPD07993</t>
  </si>
  <si>
    <t>A. SHABEENA</t>
  </si>
  <si>
    <t>LPD07993 | A. SHABEENA</t>
  </si>
  <si>
    <t>OP-0137 | Attaching label</t>
  </si>
  <si>
    <t>LPD08003</t>
  </si>
  <si>
    <t>LPD08003 | SHABANA</t>
  </si>
  <si>
    <t>OP-0138 | Final Attaching</t>
  </si>
  <si>
    <t>LPD08011</t>
  </si>
  <si>
    <t>K. PUSHPA</t>
  </si>
  <si>
    <t>LPD08011 | K. PUSHPA</t>
  </si>
  <si>
    <t>OP-0139 | Final Stitching</t>
  </si>
  <si>
    <t>LPD08080</t>
  </si>
  <si>
    <t>LPD08080 | R. SHEELA</t>
  </si>
  <si>
    <t>OP-0140 | Puller fixing</t>
  </si>
  <si>
    <t>LPD08097</t>
  </si>
  <si>
    <t>SHANTHI</t>
  </si>
  <si>
    <t>LPD08097 | SHANTHI</t>
  </si>
  <si>
    <t>OP-0141</t>
  </si>
  <si>
    <t>TOP PASTING</t>
  </si>
  <si>
    <t>OP-0141 | TOP PASTING</t>
  </si>
  <si>
    <t>LPD08516</t>
  </si>
  <si>
    <t>S. MALATHI</t>
  </si>
  <si>
    <t>LPD08516 | S. MALATHI</t>
  </si>
  <si>
    <t>OP-0142</t>
  </si>
  <si>
    <t>KIMLON PASTING</t>
  </si>
  <si>
    <t>OP-0142 | KIMLON PASTING</t>
  </si>
  <si>
    <t>LPD09189</t>
  </si>
  <si>
    <t>K. LAVANYA</t>
  </si>
  <si>
    <t>LPD09189 | K. LAVANYA</t>
  </si>
  <si>
    <t>OP-0143</t>
  </si>
  <si>
    <t>ATTACHING TOP &amp; KIMLON</t>
  </si>
  <si>
    <t>OP-0143 | ATTACHING TOP &amp; KIMLON</t>
  </si>
  <si>
    <t>LPD09580</t>
  </si>
  <si>
    <t>I. SADIQ BASHA</t>
  </si>
  <si>
    <t>LPD09580 | I. SADIQ BASHA</t>
  </si>
  <si>
    <t>OP-0144</t>
  </si>
  <si>
    <t>GUSSET STITCHING -2NOS</t>
  </si>
  <si>
    <t>OP-0144 | GUSSET STITCHING -2NOS</t>
  </si>
  <si>
    <t>LPD09740</t>
  </si>
  <si>
    <t>A. SHAMSHAD</t>
  </si>
  <si>
    <t>LPD09740 | A. SHAMSHAD</t>
  </si>
  <si>
    <t>OP-0145</t>
  </si>
  <si>
    <t>GUSSET LAMPING -2NOS</t>
  </si>
  <si>
    <t>OP-0145 | GUSSET LAMPING -2NOS</t>
  </si>
  <si>
    <t>LPD10593</t>
  </si>
  <si>
    <t>MD ZIYAUL HAQUE</t>
  </si>
  <si>
    <t>LPD10593 | MD ZIYAUL HAQUE</t>
  </si>
  <si>
    <t>OP-0146</t>
  </si>
  <si>
    <t>GUSSET SHAPING</t>
  </si>
  <si>
    <t>OP-0146 | GUSSET SHAPING</t>
  </si>
  <si>
    <t>LPD10818</t>
  </si>
  <si>
    <t>K. IBRAHIM BASHA</t>
  </si>
  <si>
    <t>LPD10818 | K. IBRAHIM BASHA</t>
  </si>
  <si>
    <t>OP-0147</t>
  </si>
  <si>
    <t>PATTI PROMOTOR</t>
  </si>
  <si>
    <t>OP-0147 | PATTI PROMOTOR</t>
  </si>
  <si>
    <t>LPD10864</t>
  </si>
  <si>
    <t>ABUL BASAR MOLLA</t>
  </si>
  <si>
    <t>LPD10864 | ABUL BASAR MOLLA</t>
  </si>
  <si>
    <t>OP-0148</t>
  </si>
  <si>
    <t>PATTI PRIMER 1</t>
  </si>
  <si>
    <t>OP-0148 | PATTI PRIMER 1</t>
  </si>
  <si>
    <t>LPD11037</t>
  </si>
  <si>
    <t>A. ARIF HUSAIN</t>
  </si>
  <si>
    <t>LPD11037 | A. ARIF HUSAIN</t>
  </si>
  <si>
    <t>OP-0149</t>
  </si>
  <si>
    <t>PATTI PRIMER 2</t>
  </si>
  <si>
    <t>OP-0149 | PATTI PRIMER 2</t>
  </si>
  <si>
    <t>LPD11197</t>
  </si>
  <si>
    <t>TAHERA</t>
  </si>
  <si>
    <t>LPD11197 | TAHERA</t>
  </si>
  <si>
    <t>OP-0150</t>
  </si>
  <si>
    <t>PATTI DYE</t>
  </si>
  <si>
    <t>OP-0150 | PATTI DYE</t>
  </si>
  <si>
    <t>E. PRECILA</t>
  </si>
  <si>
    <t>LPD11396 | E. PRECILA</t>
  </si>
  <si>
    <t>LPD11461</t>
  </si>
  <si>
    <t>R. SIVA LAKSHMI</t>
  </si>
  <si>
    <t>LPD11461 | R. SIVA LAKSHMI</t>
  </si>
  <si>
    <t>LPD11464</t>
  </si>
  <si>
    <t>K. SARITHA</t>
  </si>
  <si>
    <t>LPD11464 | K. SARITHA</t>
  </si>
  <si>
    <t>LPD11578</t>
  </si>
  <si>
    <t>LPD11578 | SHABANA</t>
  </si>
  <si>
    <t>LPD11650</t>
  </si>
  <si>
    <t>K. FARZANA BEGAM</t>
  </si>
  <si>
    <t>LPD11650 | K. FARZANA BEGAM</t>
  </si>
  <si>
    <t>LPD11690 | NANDHINI</t>
  </si>
  <si>
    <t>LPD11740</t>
  </si>
  <si>
    <t>JAYASUTHA</t>
  </si>
  <si>
    <t>LPD11740 | JAYASUTHA</t>
  </si>
  <si>
    <t>LPD12085</t>
  </si>
  <si>
    <t>SAKIL ALAM</t>
  </si>
  <si>
    <t>LPD12085 | SAKIL ALAM</t>
  </si>
  <si>
    <t>LPD12095</t>
  </si>
  <si>
    <t>JAKIYA ANJUM</t>
  </si>
  <si>
    <t>LPD12095 | JAKIYA ANJUM</t>
  </si>
  <si>
    <t>LPD12216</t>
  </si>
  <si>
    <t>BAHAUDDIN MOLLA</t>
  </si>
  <si>
    <t>LPD12216 | BAHAUDDIN MOLLA</t>
  </si>
  <si>
    <t>LPD12244</t>
  </si>
  <si>
    <t>MD PARBEJ</t>
  </si>
  <si>
    <t>LPD12244 | MD PARBEJ</t>
  </si>
  <si>
    <t>LPDS94625</t>
  </si>
  <si>
    <t>VICTORIYA A</t>
  </si>
  <si>
    <t>LPDS94625 | VICTORIYA A</t>
  </si>
  <si>
    <t>LPDS94639</t>
  </si>
  <si>
    <t>LPDS94639 | SUMATHI</t>
  </si>
  <si>
    <t>LPDS94770</t>
  </si>
  <si>
    <t>KADAR SHARIF H</t>
  </si>
  <si>
    <t>LPDS94770 | KADAR SHARIF H</t>
  </si>
  <si>
    <t>LPDS95256</t>
  </si>
  <si>
    <t>D SHOBANA</t>
  </si>
  <si>
    <t>LPDS95256 | D SHOBANA</t>
  </si>
  <si>
    <t>LPDS95411</t>
  </si>
  <si>
    <t>KANNIKAI MARY</t>
  </si>
  <si>
    <t>LPDS95411 | KANNIKAI MARY</t>
  </si>
  <si>
    <t>LPDS95433</t>
  </si>
  <si>
    <t>MADHUMITHA VINOTH KUMAR</t>
  </si>
  <si>
    <t>LPDS95433 | MADHUMITHA VINOTH KUMAR</t>
  </si>
  <si>
    <t>LPDS95709</t>
  </si>
  <si>
    <t>N HEENA</t>
  </si>
  <si>
    <t>LPDS95709 | N HEENA</t>
  </si>
  <si>
    <t>LPDS95746</t>
  </si>
  <si>
    <t>S. THENMOZHI</t>
  </si>
  <si>
    <t>LPDS95746 | S. THENMOZHI</t>
  </si>
  <si>
    <t>LPDS95755</t>
  </si>
  <si>
    <t>M KALAIVANI</t>
  </si>
  <si>
    <t>LPDS95755 | M KALAIVANI</t>
  </si>
  <si>
    <t>LPD09988</t>
  </si>
  <si>
    <t>M. SUMATHI</t>
  </si>
  <si>
    <t>LPD09988 | M. SUMATHI</t>
  </si>
  <si>
    <t>LPD09989</t>
  </si>
  <si>
    <t>P. JAYANTHI</t>
  </si>
  <si>
    <t>LPD09989 | P. JAYANTHI</t>
  </si>
  <si>
    <t>LPD09998</t>
  </si>
  <si>
    <t>A. GOWRI</t>
  </si>
  <si>
    <t>LPD09998 | A. GOWRI</t>
  </si>
  <si>
    <t>LPD10005</t>
  </si>
  <si>
    <t>A. AMUDHA</t>
  </si>
  <si>
    <t>LPD10005 | A. AMUDHA</t>
  </si>
  <si>
    <t>LPD10030</t>
  </si>
  <si>
    <t>SUBASHINI</t>
  </si>
  <si>
    <t>LPD10030 | SUBASHINI</t>
  </si>
  <si>
    <t>LPD10046</t>
  </si>
  <si>
    <t>P. KAVITHA</t>
  </si>
  <si>
    <t>LPD10046 | P. KAVITHA</t>
  </si>
  <si>
    <t>LPD10050</t>
  </si>
  <si>
    <t>M. MAGESHWARI</t>
  </si>
  <si>
    <t>LPD10050 | M. MAGESHWARI</t>
  </si>
  <si>
    <t>LPD10053</t>
  </si>
  <si>
    <t>MEENA</t>
  </si>
  <si>
    <t>LPD10053 | MEENA</t>
  </si>
  <si>
    <t>LPD10059</t>
  </si>
  <si>
    <t>I. NIYAS AHMED</t>
  </si>
  <si>
    <t>LPD10059 | I. NIYAS AHMED</t>
  </si>
  <si>
    <t>LPD10063</t>
  </si>
  <si>
    <t>M. TAMILSELVI</t>
  </si>
  <si>
    <t>LPD10063 | M. TAMILSELVI</t>
  </si>
  <si>
    <t>LPD10064</t>
  </si>
  <si>
    <t>V. MARTHA</t>
  </si>
  <si>
    <t>LPD10064 | V. MARTHA</t>
  </si>
  <si>
    <t>LPD10067</t>
  </si>
  <si>
    <t>V. ARCHANA</t>
  </si>
  <si>
    <t>LPD10067 | V. ARCHANA</t>
  </si>
  <si>
    <t>LPD10074</t>
  </si>
  <si>
    <t>LPD10074 | K. SARITHA</t>
  </si>
  <si>
    <t>LPD10078</t>
  </si>
  <si>
    <t>M. RAMYA</t>
  </si>
  <si>
    <t>LPD10078 | M. RAMYA</t>
  </si>
  <si>
    <t>LPD11349</t>
  </si>
  <si>
    <t>M. AMBIKA</t>
  </si>
  <si>
    <t>LPD11349 | M. AMBIKA</t>
  </si>
  <si>
    <t>LPD11438</t>
  </si>
  <si>
    <t>G. SHAGUFA</t>
  </si>
  <si>
    <t>LPD11438 | G. SHAGUFA</t>
  </si>
  <si>
    <t>LPD11490</t>
  </si>
  <si>
    <t>IMRAN</t>
  </si>
  <si>
    <t>LPD11490 | IMRAN</t>
  </si>
  <si>
    <t>LPD11695</t>
  </si>
  <si>
    <t>T. MAHALAKSHMI</t>
  </si>
  <si>
    <t>LPD11695 | T. MAHALAKSHMI</t>
  </si>
  <si>
    <t>LPD11744</t>
  </si>
  <si>
    <t>S. COUSER BANU</t>
  </si>
  <si>
    <t>LPD11744 | S. COUSER BANU</t>
  </si>
  <si>
    <t>LPD11748</t>
  </si>
  <si>
    <t>R SHAKILA</t>
  </si>
  <si>
    <t>LPD11748 | R SHAKILA</t>
  </si>
  <si>
    <t>LPD11750</t>
  </si>
  <si>
    <t>G. SIVAGANGAI</t>
  </si>
  <si>
    <t>LPD11750 | G. SIVAGANGAI</t>
  </si>
  <si>
    <t>LPD11902</t>
  </si>
  <si>
    <t>JAKIR PIYADA</t>
  </si>
  <si>
    <t>LPD11902 | JAKIR PIYADA</t>
  </si>
  <si>
    <t>LPD12059</t>
  </si>
  <si>
    <t>A MUBARAK BASHA</t>
  </si>
  <si>
    <t>LPD12059 | A MUBARAK BASHA</t>
  </si>
  <si>
    <t>LPD12080</t>
  </si>
  <si>
    <t>ALI AJGAR MOLLA</t>
  </si>
  <si>
    <t>LPD12080 | ALI AJGAR MOLLA</t>
  </si>
  <si>
    <t>LPD12096</t>
  </si>
  <si>
    <t>VIJAYASHANTHI M</t>
  </si>
  <si>
    <t>LPD12096 | VIJAYASHANTHI M</t>
  </si>
  <si>
    <t>LPD12109</t>
  </si>
  <si>
    <t>MASTAKIN SARDAR</t>
  </si>
  <si>
    <t>LPD12109 | MASTAKIN SARDAR</t>
  </si>
  <si>
    <t>LPD12122</t>
  </si>
  <si>
    <t>MIRAJ ALI MOLYA</t>
  </si>
  <si>
    <t>LPD12122 | MIRAJ ALI MOLYA</t>
  </si>
  <si>
    <t>LPD12133</t>
  </si>
  <si>
    <t>K PARVEEN BANU</t>
  </si>
  <si>
    <t>LPD12133 | K PARVEEN BANU</t>
  </si>
  <si>
    <t>LPD12173</t>
  </si>
  <si>
    <t>SAJAHAN KHAN</t>
  </si>
  <si>
    <t>LPD12173 | SAJAHAN KHAN</t>
  </si>
  <si>
    <t>LPD12243</t>
  </si>
  <si>
    <t>VASIM AKARAM</t>
  </si>
  <si>
    <t>LPD12243 | VASIM AKARAM</t>
  </si>
  <si>
    <t>LPD12264</t>
  </si>
  <si>
    <t>RAFIK MOLLA</t>
  </si>
  <si>
    <t>LPD12264 | RAFIK MOLLA</t>
  </si>
  <si>
    <t>LPD12281</t>
  </si>
  <si>
    <t>OMAR FARUK MOLLA</t>
  </si>
  <si>
    <t>LPD12281 | OMAR FARUK MOLLA</t>
  </si>
  <si>
    <t>LPD12287</t>
  </si>
  <si>
    <t>JUNAID HOSSEN MOLLA</t>
  </si>
  <si>
    <t>LPD12287 | JUNAID HOSSEN MOLLA</t>
  </si>
  <si>
    <t>LPDS94651</t>
  </si>
  <si>
    <t>SARANYA M</t>
  </si>
  <si>
    <t>LPDS94651 | SARANYA M</t>
  </si>
  <si>
    <t>LPDS95111</t>
  </si>
  <si>
    <t>S HAJEERA</t>
  </si>
  <si>
    <t>LPDS95111 | S HAJEERA</t>
  </si>
  <si>
    <t>LPDS95268</t>
  </si>
  <si>
    <t>A RASHEEDA</t>
  </si>
  <si>
    <t>LPDS95268 | A RASHEEDA</t>
  </si>
  <si>
    <t>LPDS95452</t>
  </si>
  <si>
    <t>K KOTEESWARI</t>
  </si>
  <si>
    <t>LPDS95452 | K KOTEESWARI</t>
  </si>
  <si>
    <t>LPDS95453</t>
  </si>
  <si>
    <t>LPDS95453 | SHABANA</t>
  </si>
  <si>
    <t>LPDS95636</t>
  </si>
  <si>
    <t>R LAKSHMI</t>
  </si>
  <si>
    <t>LPDS95636 | R LAKSHMI</t>
  </si>
  <si>
    <t>LPDS95767</t>
  </si>
  <si>
    <t>P ARULMANI</t>
  </si>
  <si>
    <t>LPDS95767 | P ARULMANI</t>
  </si>
  <si>
    <t>LPDS95793</t>
  </si>
  <si>
    <t>MOHAMMAD IRSAD</t>
  </si>
  <si>
    <t>LPDS95793 | MOHAMMAD IRSAD</t>
  </si>
  <si>
    <t>LPD07910</t>
  </si>
  <si>
    <t>A. WAHIDA BANU</t>
  </si>
  <si>
    <t>LPD07910 | A. WAHIDA BANU</t>
  </si>
  <si>
    <t>LPD11039</t>
  </si>
  <si>
    <t>MOHAMMAD EJAJ ALAM</t>
  </si>
  <si>
    <t>LPD11039 | MOHAMMAD EJAJ ALAM</t>
  </si>
  <si>
    <t>LPD11645</t>
  </si>
  <si>
    <t>S. SHAGUL HAMEED</t>
  </si>
  <si>
    <t>LPD11645 | S. SHAGUL HAMEED</t>
  </si>
  <si>
    <t>LPD11654</t>
  </si>
  <si>
    <t>R. VIJAYALAKSHMI</t>
  </si>
  <si>
    <t>LPD11654 | R. VIJAYALAKSHMI</t>
  </si>
  <si>
    <t>LPD11703</t>
  </si>
  <si>
    <t>SHENBAGAVALLI</t>
  </si>
  <si>
    <t>LPD11703 | SHENBAGAVALLI</t>
  </si>
  <si>
    <t>LPD11737</t>
  </si>
  <si>
    <t>A. RANJITHA</t>
  </si>
  <si>
    <t>LPD11737 | A. RANJITHA</t>
  </si>
  <si>
    <t>LPD11755</t>
  </si>
  <si>
    <t>ANGEL ROSELIN</t>
  </si>
  <si>
    <t>LPD11755 | ANGEL ROSELIN</t>
  </si>
  <si>
    <t>LPD11759</t>
  </si>
  <si>
    <t>JAMEELA</t>
  </si>
  <si>
    <t>LPD11759 | JAMEELA</t>
  </si>
  <si>
    <t>LPD11765</t>
  </si>
  <si>
    <t>M. BANU</t>
  </si>
  <si>
    <t>LPD11765 | M. BANU</t>
  </si>
  <si>
    <t>LPD11780</t>
  </si>
  <si>
    <t>SHARMILA</t>
  </si>
  <si>
    <t>LPD11780 | SHARMILA</t>
  </si>
  <si>
    <t>LPD11975</t>
  </si>
  <si>
    <t>SHAMIM AHMED</t>
  </si>
  <si>
    <t>LPD11975 | SHAMIM AHMED</t>
  </si>
  <si>
    <t>LPD12008</t>
  </si>
  <si>
    <t>SAHID AHMED</t>
  </si>
  <si>
    <t>LPD12008 | SAHID AHMED</t>
  </si>
  <si>
    <t>LPD12028</t>
  </si>
  <si>
    <t>HELAL UDDIN</t>
  </si>
  <si>
    <t>LPD12028 | HELAL UDDIN</t>
  </si>
  <si>
    <t>LPD12084</t>
  </si>
  <si>
    <t>SHANAWAAZ</t>
  </si>
  <si>
    <t>LPD12084 | SHANAWAAZ</t>
  </si>
  <si>
    <t>LPD12177</t>
  </si>
  <si>
    <t>AKRABUL LASKAR</t>
  </si>
  <si>
    <t>LPD12177 | AKRABUL LASKAR</t>
  </si>
  <si>
    <t>LPDS94773</t>
  </si>
  <si>
    <t>ABDUL LATHIP</t>
  </si>
  <si>
    <t>LPDS94773 | ABDUL LATHIP</t>
  </si>
  <si>
    <t>LPDS94797</t>
  </si>
  <si>
    <t>BEBE FATHIMA S</t>
  </si>
  <si>
    <t>LPDS94797 | BEBE FATHIMA S</t>
  </si>
  <si>
    <t>LPDS95266</t>
  </si>
  <si>
    <t>S SHOBA</t>
  </si>
  <si>
    <t>LPDS95266 | S SHOBA</t>
  </si>
  <si>
    <t>LPDS95399</t>
  </si>
  <si>
    <t>M KAVITHA</t>
  </si>
  <si>
    <t>LPDS95399 | M KAVITHA</t>
  </si>
  <si>
    <t>LPDS95633</t>
  </si>
  <si>
    <t>R ANITHA</t>
  </si>
  <si>
    <t>LPDS95633 | R ANITHA</t>
  </si>
  <si>
    <t>LPDS95791</t>
  </si>
  <si>
    <t>SUDHA VENKATESAN</t>
  </si>
  <si>
    <t>LPDS95791 | SUDHA VENKATESAN</t>
  </si>
  <si>
    <t>LPD07312</t>
  </si>
  <si>
    <t>AMUTHA</t>
  </si>
  <si>
    <t>LPD07312 | AMUTHA</t>
  </si>
  <si>
    <t>LPD07572</t>
  </si>
  <si>
    <t>E. SARMILA</t>
  </si>
  <si>
    <t>LPD07572 | E. SARMILA</t>
  </si>
  <si>
    <t>LPD09533</t>
  </si>
  <si>
    <t>F. MOHAMMED AMEEN</t>
  </si>
  <si>
    <t>LPD09533 | F. MOHAMMED AMEEN</t>
  </si>
  <si>
    <t>LPD10196</t>
  </si>
  <si>
    <t>S. SARANYA</t>
  </si>
  <si>
    <t>LPD10196 | S. SARANYA</t>
  </si>
  <si>
    <t>LPD11735</t>
  </si>
  <si>
    <t>PARIMALA</t>
  </si>
  <si>
    <t>LPD11735 | PARIMALA</t>
  </si>
  <si>
    <t>LPD11747</t>
  </si>
  <si>
    <t>A. YOUSUF KHAN</t>
  </si>
  <si>
    <t>LPD11747 | A. YOUSUF KHAN</t>
  </si>
  <si>
    <t>LPD11784</t>
  </si>
  <si>
    <t>M. SAMUNDEESWARI</t>
  </si>
  <si>
    <t>LPD11784 | M. SAMUNDEESWARI</t>
  </si>
  <si>
    <t>LPD11948</t>
  </si>
  <si>
    <t>MEHERAB MOLLA</t>
  </si>
  <si>
    <t>LPD11948 | MEHERAB MOLLA</t>
  </si>
  <si>
    <t>LPD12118</t>
  </si>
  <si>
    <t>NAJIMUL MOLLA</t>
  </si>
  <si>
    <t>LPD12118 | NAJIMUL MOLLA</t>
  </si>
  <si>
    <t>LPD12250</t>
  </si>
  <si>
    <t>ALINUR MOLLA</t>
  </si>
  <si>
    <t>LPD12250 | ALINUR MOLLA</t>
  </si>
  <si>
    <t>LPD12272</t>
  </si>
  <si>
    <t>NUR ALAM MONDAL</t>
  </si>
  <si>
    <t>LPD12272 | NUR ALAM MONDAL</t>
  </si>
  <si>
    <t>LPDS94670</t>
  </si>
  <si>
    <t>SABIYA</t>
  </si>
  <si>
    <t>LPDS94670 | SABIYA</t>
  </si>
  <si>
    <t>LPDS94675</t>
  </si>
  <si>
    <t>THABASUM I</t>
  </si>
  <si>
    <t>LPDS94675 | THABASUM I</t>
  </si>
  <si>
    <t>LPDS95011</t>
  </si>
  <si>
    <t>SHENBAGAM JEEVA</t>
  </si>
  <si>
    <t>LPDS95011 | SHENBAGAM JEEVA</t>
  </si>
  <si>
    <t>LPDS95174</t>
  </si>
  <si>
    <t>K MOHAMMED NADHEEM</t>
  </si>
  <si>
    <t>LPDS95174 | K MOHAMMED NADHEEM</t>
  </si>
  <si>
    <t>LPDS95430</t>
  </si>
  <si>
    <t>NAVEEN TAJ</t>
  </si>
  <si>
    <t>LPDS95430 | NAVEEN TAJ</t>
  </si>
  <si>
    <t>LPDS95724</t>
  </si>
  <si>
    <t>JABEENA BANU</t>
  </si>
  <si>
    <t>LPDS95724 | JABEENA BANU</t>
  </si>
  <si>
    <t>LPD05076</t>
  </si>
  <si>
    <t>A. KAVITHA</t>
  </si>
  <si>
    <t>LPD05076 | A. KAVITHA</t>
  </si>
  <si>
    <t>LPD05258</t>
  </si>
  <si>
    <t>S. NASIRA</t>
  </si>
  <si>
    <t>LPD05258 | S. NASIRA</t>
  </si>
  <si>
    <t>LPD05789</t>
  </si>
  <si>
    <t>K. BHARATHI</t>
  </si>
  <si>
    <t>LPD05789 | K. BHARATHI</t>
  </si>
  <si>
    <t>LPD05958</t>
  </si>
  <si>
    <t>V. MALARVIZHI</t>
  </si>
  <si>
    <t>LPD05958 | V. MALARVIZHI</t>
  </si>
  <si>
    <t>LPD06277</t>
  </si>
  <si>
    <t>A. NASRUNNISA</t>
  </si>
  <si>
    <t>LPD06277 | A. NASRUNNISA</t>
  </si>
  <si>
    <t>LPD06407</t>
  </si>
  <si>
    <t>K. MALINI</t>
  </si>
  <si>
    <t>LPD06407 | K. MALINI</t>
  </si>
  <si>
    <t>LPD06794</t>
  </si>
  <si>
    <t>R. GUNASUNDARI</t>
  </si>
  <si>
    <t>LPD06794 | R. GUNASUNDARI</t>
  </si>
  <si>
    <t>LPD07551</t>
  </si>
  <si>
    <t>V. VASANTHI</t>
  </si>
  <si>
    <t>LPD07551 | V. VASANTHI</t>
  </si>
  <si>
    <t>LPD08363</t>
  </si>
  <si>
    <t>GEETHA</t>
  </si>
  <si>
    <t>LPD08363 | GEETHA</t>
  </si>
  <si>
    <t>LPD08418</t>
  </si>
  <si>
    <t>S. NATHIYA</t>
  </si>
  <si>
    <t>LPD08418 | S. NATHIYA</t>
  </si>
  <si>
    <t>LPD08535</t>
  </si>
  <si>
    <t>S. RAMANI</t>
  </si>
  <si>
    <t>LPD08535 | S. RAMANI</t>
  </si>
  <si>
    <t>LPD08670</t>
  </si>
  <si>
    <t>V. DEVAGI</t>
  </si>
  <si>
    <t>LPD08670 | V. DEVAGI</t>
  </si>
  <si>
    <t>LPD08812</t>
  </si>
  <si>
    <t>P. BHARATHI</t>
  </si>
  <si>
    <t>LPD08812 | P. BHARATHI</t>
  </si>
  <si>
    <t>LPD10023</t>
  </si>
  <si>
    <t>R. THENMOZHI</t>
  </si>
  <si>
    <t>LPD10023 | R. THENMOZHI</t>
  </si>
  <si>
    <t>LPD10025</t>
  </si>
  <si>
    <t>SURIYA BEGUM</t>
  </si>
  <si>
    <t>LPD10025 | SURIYA BEGUM</t>
  </si>
  <si>
    <t>LPD10039</t>
  </si>
  <si>
    <t>G. SHAMALAVATHI</t>
  </si>
  <si>
    <t>LPD10039 | G. SHAMALAVATHI</t>
  </si>
  <si>
    <t>LPD10887</t>
  </si>
  <si>
    <t>VEDHAVALLI</t>
  </si>
  <si>
    <t>LPD10887 | VEDHAVALLI</t>
  </si>
  <si>
    <t>LPD11026</t>
  </si>
  <si>
    <t>SHAHATHA</t>
  </si>
  <si>
    <t>LPD11026 | SHAHATHA</t>
  </si>
  <si>
    <t>LPD11152</t>
  </si>
  <si>
    <t>LPD11152 | SHABANA</t>
  </si>
  <si>
    <t>LPD11353</t>
  </si>
  <si>
    <t>J. VENNILA</t>
  </si>
  <si>
    <t>LPD11353 | J. VENNILA</t>
  </si>
  <si>
    <t>LPD11362</t>
  </si>
  <si>
    <t>J. SIVARANJANI</t>
  </si>
  <si>
    <t>LPD11362 | J. SIVARANJANI</t>
  </si>
  <si>
    <t>LPD11567</t>
  </si>
  <si>
    <t>LPD11567 | SUMATHI</t>
  </si>
  <si>
    <t>LPD11657</t>
  </si>
  <si>
    <t>S. KUMUDHA</t>
  </si>
  <si>
    <t>LPD11657 | S. KUMUDHA</t>
  </si>
  <si>
    <t>LPD11681</t>
  </si>
  <si>
    <t>R. YASMEEN</t>
  </si>
  <si>
    <t>LPD11681 | R. YASMEEN</t>
  </si>
  <si>
    <t>LPD11685</t>
  </si>
  <si>
    <t>A. FASNA</t>
  </si>
  <si>
    <t>LPD11685 | A. FASNA</t>
  </si>
  <si>
    <t>LPD11733</t>
  </si>
  <si>
    <t>E. BHUVANESWARI</t>
  </si>
  <si>
    <t>LPD11733 | E. BHUVANESWARI</t>
  </si>
  <si>
    <t>LPD11746</t>
  </si>
  <si>
    <t>KANCHANA</t>
  </si>
  <si>
    <t>LPD11746 | KANCHANA</t>
  </si>
  <si>
    <t>LPD12047</t>
  </si>
  <si>
    <t>SABIR HOSEN SARDAR</t>
  </si>
  <si>
    <t>LPD12047 | SABIR HOSEN SARDAR</t>
  </si>
  <si>
    <t>LPDS94631</t>
  </si>
  <si>
    <t>LPDS94631 | SHABANA</t>
  </si>
  <si>
    <t>LPDS94682</t>
  </si>
  <si>
    <t>HAJIRA B</t>
  </si>
  <si>
    <t>LPDS94682 | HAJIRA B</t>
  </si>
  <si>
    <t>LPDS94700</t>
  </si>
  <si>
    <t>AYESHA BANU K</t>
  </si>
  <si>
    <t>LPDS94700 | AYESHA BANU K</t>
  </si>
  <si>
    <t>LPDS95019</t>
  </si>
  <si>
    <t>AMEERUNNISA SAMIULLA</t>
  </si>
  <si>
    <t>LPDS95019 | AMEERUNNISA SAMIULLA</t>
  </si>
  <si>
    <t>LPDS95379</t>
  </si>
  <si>
    <t>A PARVEEN</t>
  </si>
  <si>
    <t>LPDS95379 | A PARVEEN</t>
  </si>
  <si>
    <t>LPDS95548</t>
  </si>
  <si>
    <t>P DIVYA</t>
  </si>
  <si>
    <t>LPDS95548 | P DIVYA</t>
  </si>
  <si>
    <t>LPDS95703</t>
  </si>
  <si>
    <t>B SIVA SANKARI</t>
  </si>
  <si>
    <t>LPDS95703 | B SIVA SANKARI</t>
  </si>
  <si>
    <t>LPDS95783</t>
  </si>
  <si>
    <t>R SUMITHRA</t>
  </si>
  <si>
    <t>LPDS95783 | R SUMITHRA</t>
  </si>
  <si>
    <t>LPD04763</t>
  </si>
  <si>
    <t>S. MUBARAK BASHA</t>
  </si>
  <si>
    <t>LPD04763 | S. MUBARAK BASHA</t>
  </si>
  <si>
    <t>LPD05182</t>
  </si>
  <si>
    <t>BAGAWATHI</t>
  </si>
  <si>
    <t>LPD05182 | BAGAWATHI</t>
  </si>
  <si>
    <t>LPD05562</t>
  </si>
  <si>
    <t>V. KALAIARASI</t>
  </si>
  <si>
    <t>LPD05562 | V. KALAIARASI</t>
  </si>
  <si>
    <t>LPD06002</t>
  </si>
  <si>
    <t>K. NADHIYA</t>
  </si>
  <si>
    <t>LPD06002 | K. NADHIYA</t>
  </si>
  <si>
    <t>LPD06051</t>
  </si>
  <si>
    <t>S. GEETHA</t>
  </si>
  <si>
    <t>LPD06051 | S. GEETHA</t>
  </si>
  <si>
    <t>LPD07780</t>
  </si>
  <si>
    <t>R. BHARATHI</t>
  </si>
  <si>
    <t>LPD07780 | R. BHARATHI</t>
  </si>
  <si>
    <t>LPD09001</t>
  </si>
  <si>
    <t>E. SHANTHI</t>
  </si>
  <si>
    <t>LPD09001 | E. SHANTHI</t>
  </si>
  <si>
    <t>LPD09065</t>
  </si>
  <si>
    <t>VALLI</t>
  </si>
  <si>
    <t>LPD09065 | VALLI</t>
  </si>
  <si>
    <t>LPD10052</t>
  </si>
  <si>
    <t>G. HUSSAIN SHARIFF</t>
  </si>
  <si>
    <t>LPD10052 | G. HUSSAIN SHARIFF</t>
  </si>
  <si>
    <t>LPD10084</t>
  </si>
  <si>
    <t>A. ASEENA</t>
  </si>
  <si>
    <t>LPD10084 | A. ASEENA</t>
  </si>
  <si>
    <t>LPD10365</t>
  </si>
  <si>
    <t>M. GEETHA</t>
  </si>
  <si>
    <t>LPD10365 | M. GEETHA</t>
  </si>
  <si>
    <t>LPD10745</t>
  </si>
  <si>
    <t>A. RAHMATHULLAH</t>
  </si>
  <si>
    <t>LPD10745 | A. RAHMATHULLAH</t>
  </si>
  <si>
    <t>LPD11259</t>
  </si>
  <si>
    <t>RAMYA</t>
  </si>
  <si>
    <t>LPD11259 | RAMYA</t>
  </si>
  <si>
    <t>LPD11294</t>
  </si>
  <si>
    <t>LUTHFUR RAHMAN</t>
  </si>
  <si>
    <t>LPD11294 | LUTHFUR RAHMAN</t>
  </si>
  <si>
    <t>LPD11343</t>
  </si>
  <si>
    <t>T. PAVITHRA</t>
  </si>
  <si>
    <t>LPD11343 | T. PAVITHRA</t>
  </si>
  <si>
    <t>LPD11402</t>
  </si>
  <si>
    <t>S. CHANMA BEE</t>
  </si>
  <si>
    <t>LPD11402 | S. CHANMA BEE</t>
  </si>
  <si>
    <t>LPD11404</t>
  </si>
  <si>
    <t>V. SOBA</t>
  </si>
  <si>
    <t>LPD11404 | V. SOBA</t>
  </si>
  <si>
    <t>LPD11727</t>
  </si>
  <si>
    <t>USHARANI</t>
  </si>
  <si>
    <t>LPD11727 | USHARANI</t>
  </si>
  <si>
    <t>LPD12009</t>
  </si>
  <si>
    <t>MUKITUR RAHMAN</t>
  </si>
  <si>
    <t>LPD12009 | MUKITUR RAHMAN</t>
  </si>
  <si>
    <t>LPD12231</t>
  </si>
  <si>
    <t>MASUM AHMED</t>
  </si>
  <si>
    <t>LPD12231 | MASUM AHMED</t>
  </si>
  <si>
    <t>LPDS94635</t>
  </si>
  <si>
    <t>THARANI T</t>
  </si>
  <si>
    <t>LPDS94635 | THARANI T</t>
  </si>
  <si>
    <t>LPDS94638</t>
  </si>
  <si>
    <t>PRAVEENA  S</t>
  </si>
  <si>
    <t>LPDS94638 | PRAVEENA  S</t>
  </si>
  <si>
    <t>LPDS94673</t>
  </si>
  <si>
    <t>PRIYA M</t>
  </si>
  <si>
    <t>LPDS94673 | PRIYA M</t>
  </si>
  <si>
    <t>LPDS94769</t>
  </si>
  <si>
    <t>VAGHA BANU I</t>
  </si>
  <si>
    <t>LPDS94769 | VAGHA BANU I</t>
  </si>
  <si>
    <t>LPDS94955</t>
  </si>
  <si>
    <t>MISBATAJ AMJATHKHAN</t>
  </si>
  <si>
    <t>LPDS94955 | MISBATAJ AMJATHKHAN</t>
  </si>
  <si>
    <t>LPDS94961</t>
  </si>
  <si>
    <t>NASRIN AYYUB</t>
  </si>
  <si>
    <t>LPDS94961 | NASRIN AYYUB</t>
  </si>
  <si>
    <t>LPDS94962</t>
  </si>
  <si>
    <t>M MEHRAJ</t>
  </si>
  <si>
    <t>LPDS94962 | M MEHRAJ</t>
  </si>
  <si>
    <t>LPDS95101</t>
  </si>
  <si>
    <t>R SANGEETHA</t>
  </si>
  <si>
    <t>LPDS95101 | R SANGEETHA</t>
  </si>
  <si>
    <t>LPDS95276</t>
  </si>
  <si>
    <t>B LAKSHMI</t>
  </si>
  <si>
    <t>LPDS95276 | B LAKSHMI</t>
  </si>
  <si>
    <t>LPDS95404</t>
  </si>
  <si>
    <t>RISWANA BILAL</t>
  </si>
  <si>
    <t>LPDS95404 | RISWANA BILAL</t>
  </si>
  <si>
    <t>LPDS95634</t>
  </si>
  <si>
    <t>NASEEMA S</t>
  </si>
  <si>
    <t>LPDS95634 | NASEEMA S</t>
  </si>
  <si>
    <t>LPDS95651</t>
  </si>
  <si>
    <t>C HALIMA</t>
  </si>
  <si>
    <t>LPDS95651 | C HALIMA</t>
  </si>
  <si>
    <t>LPDS95710</t>
  </si>
  <si>
    <t>MUSKAN BANU</t>
  </si>
  <si>
    <t>LPDS95710 | MUSKAN BANU</t>
  </si>
  <si>
    <t>LPDS95765</t>
  </si>
  <si>
    <t>B SARALA</t>
  </si>
  <si>
    <t>LPDS95765 | B SARALA</t>
  </si>
  <si>
    <t>LPDS95774</t>
  </si>
  <si>
    <t>R MANJULA</t>
  </si>
  <si>
    <t>LPDS95774 | R MANJULA</t>
  </si>
  <si>
    <t>LPD08676</t>
  </si>
  <si>
    <t>M. KASEEP</t>
  </si>
  <si>
    <t>LPD08676 | M. KASEEP</t>
  </si>
  <si>
    <t>LPD09799</t>
  </si>
  <si>
    <t>JAMIL HUSSAIN</t>
  </si>
  <si>
    <t>LPD09799 | JAMIL HUSSAIN</t>
  </si>
  <si>
    <t>LPD11068</t>
  </si>
  <si>
    <t>I. IRFAN</t>
  </si>
  <si>
    <t>LPD11068 | I. IRFAN</t>
  </si>
  <si>
    <t>LPD11307</t>
  </si>
  <si>
    <t>MAHABUF BASHA</t>
  </si>
  <si>
    <t>LPD11307 | MAHABUF BASHA</t>
  </si>
  <si>
    <t>LPD11956</t>
  </si>
  <si>
    <t>ABDUL H HASLIM</t>
  </si>
  <si>
    <t>LPD11956 | ABDUL H HASLIM</t>
  </si>
  <si>
    <t>LPD12206</t>
  </si>
  <si>
    <t>C MOHAMED HUZAIFA</t>
  </si>
  <si>
    <t>LPD12206 | C MOHAMED HUZAIFA</t>
  </si>
  <si>
    <t>LPD12207</t>
  </si>
  <si>
    <t>A P MD ASIF</t>
  </si>
  <si>
    <t>LPD12207 | A P MD ASIF</t>
  </si>
  <si>
    <t>LPDS94830</t>
  </si>
  <si>
    <t>RAMIZA R</t>
  </si>
  <si>
    <t>LPDS94830 | RAMIZA R</t>
  </si>
  <si>
    <t>LPDS95078</t>
  </si>
  <si>
    <t>G IRFAN AHMED</t>
  </si>
  <si>
    <t>LPDS95078 | G IRFAN AHMED</t>
  </si>
  <si>
    <t>LPDS95747</t>
  </si>
  <si>
    <t>N. JUNITH KHAN</t>
  </si>
  <si>
    <t>LPDS95747 | N. JUNITH KHAN</t>
  </si>
  <si>
    <t>LPD03193</t>
  </si>
  <si>
    <t>F. HADHI BASHA</t>
  </si>
  <si>
    <t>LPD03193 | F. HADHI BASHA</t>
  </si>
  <si>
    <t>LPD05449</t>
  </si>
  <si>
    <t>S. RAJESHWARI</t>
  </si>
  <si>
    <t>LPD05449 | S. RAJESHWARI</t>
  </si>
  <si>
    <t>LPD08276</t>
  </si>
  <si>
    <t>D. JAYANTHI</t>
  </si>
  <si>
    <t>LPD08276 | D. JAYANTHI</t>
  </si>
  <si>
    <t>LPD08637</t>
  </si>
  <si>
    <t>A. ARCHANA</t>
  </si>
  <si>
    <t>LPD08637 | A. ARCHANA</t>
  </si>
  <si>
    <t>LPD09078</t>
  </si>
  <si>
    <t>B. KOWSALYA</t>
  </si>
  <si>
    <t>LPD09078 | B. KOWSALYA</t>
  </si>
  <si>
    <t>LPD09371</t>
  </si>
  <si>
    <t>LPD09371 | RAJESWARI</t>
  </si>
  <si>
    <t>LPD09441</t>
  </si>
  <si>
    <t>M. VIJAYALAKSHMI</t>
  </si>
  <si>
    <t>LPD09441 | M. VIJAYALAKSHMI</t>
  </si>
  <si>
    <t>LPD09931</t>
  </si>
  <si>
    <t>A. SHAHUL HAMEED</t>
  </si>
  <si>
    <t>LPD09931 | A. SHAHUL HAMEED</t>
  </si>
  <si>
    <t>LPD10195</t>
  </si>
  <si>
    <t>P. DHARANI</t>
  </si>
  <si>
    <t>LPD10195 | P. DHARANI</t>
  </si>
  <si>
    <t>LPD10250</t>
  </si>
  <si>
    <t>MOHAMMED IRFAAN</t>
  </si>
  <si>
    <t>LPD10250 | MOHAMMED IRFAAN</t>
  </si>
  <si>
    <t>LPD10763</t>
  </si>
  <si>
    <t>SABIYA BEGAM</t>
  </si>
  <si>
    <t>LPD10763 | SABIYA BEGAM</t>
  </si>
  <si>
    <t>LPD10783</t>
  </si>
  <si>
    <t>N. FAHMIDA</t>
  </si>
  <si>
    <t>LPD10783 | N. FAHMIDA</t>
  </si>
  <si>
    <t>LPD11086</t>
  </si>
  <si>
    <t>RADHA</t>
  </si>
  <si>
    <t>LPD11086 | RADHA</t>
  </si>
  <si>
    <t>LPD11199</t>
  </si>
  <si>
    <t>THABARAK</t>
  </si>
  <si>
    <t>LPD11199 | THABARAK</t>
  </si>
  <si>
    <t>LPD11233</t>
  </si>
  <si>
    <t>H. MOHAMMED TOWFEEQUE</t>
  </si>
  <si>
    <t>LPD11233 | H. MOHAMMED TOWFEEQUE</t>
  </si>
  <si>
    <t>LPD11478</t>
  </si>
  <si>
    <t>S. INDRA</t>
  </si>
  <si>
    <t>LPD11478 | S. INDRA</t>
  </si>
  <si>
    <t>LPD11480</t>
  </si>
  <si>
    <t>A. SADIQUA SULTANA</t>
  </si>
  <si>
    <t>LPD11480 | A. SADIQUA SULTANA</t>
  </si>
  <si>
    <t>LPD11481</t>
  </si>
  <si>
    <t>YASMIN</t>
  </si>
  <si>
    <t>LPD11481 | YASMIN</t>
  </si>
  <si>
    <t>LPD11742</t>
  </si>
  <si>
    <t>S. HEERA</t>
  </si>
  <si>
    <t>LPD11742 | S. HEERA</t>
  </si>
  <si>
    <t>LPDS94695</t>
  </si>
  <si>
    <t>SUMITHRA VENKATESAN</t>
  </si>
  <si>
    <t>LPDS94695 | SUMITHRA VENKATESAN</t>
  </si>
  <si>
    <t>LPDS95758</t>
  </si>
  <si>
    <t>R KAMALI</t>
  </si>
  <si>
    <t>LPDS95758 | R KAMALI</t>
  </si>
  <si>
    <t>LPDS95785</t>
  </si>
  <si>
    <t>KAVITHA RAJESH</t>
  </si>
  <si>
    <t>LPDS95785 | KAVITHA RAJESH</t>
  </si>
  <si>
    <t>LPD02752</t>
  </si>
  <si>
    <t>M. LATHA</t>
  </si>
  <si>
    <t>LPD02752 | M. LATHA</t>
  </si>
  <si>
    <t>LPD03462</t>
  </si>
  <si>
    <t>T. SIKANDER</t>
  </si>
  <si>
    <t>LPD03462 | T. SIKANDER</t>
  </si>
  <si>
    <t>LPD07998</t>
  </si>
  <si>
    <t>AMUDHA</t>
  </si>
  <si>
    <t>LPD07998 | AMUDHA</t>
  </si>
  <si>
    <t>LPD08667</t>
  </si>
  <si>
    <t>K. NEEVETHA</t>
  </si>
  <si>
    <t>LPD08667 | K. NEEVETHA</t>
  </si>
  <si>
    <t>LPD08701</t>
  </si>
  <si>
    <t>R. SARANYA</t>
  </si>
  <si>
    <t>LPD08701 | R. SARANYA</t>
  </si>
  <si>
    <t>LPD10040</t>
  </si>
  <si>
    <t>A. SUBEDHA</t>
  </si>
  <si>
    <t>LPD10040 | A. SUBEDHA</t>
  </si>
  <si>
    <t>LPD10073</t>
  </si>
  <si>
    <t>THANGAM</t>
  </si>
  <si>
    <t>LPD10073 | THANGAM</t>
  </si>
  <si>
    <t>LPD10936</t>
  </si>
  <si>
    <t>A. SHAMSHATH BI</t>
  </si>
  <si>
    <t>LPD10936 | A. SHAMSHATH BI</t>
  </si>
  <si>
    <t>LPD11732</t>
  </si>
  <si>
    <t>G. KOMATHI</t>
  </si>
  <si>
    <t>LPD11732 | G. KOMATHI</t>
  </si>
  <si>
    <t>LPDS95012</t>
  </si>
  <si>
    <t>A SUMAIYA BANU</t>
  </si>
  <si>
    <t>LPDS95012 | A SUMAIYA BANU</t>
  </si>
  <si>
    <t>LPDS95018</t>
  </si>
  <si>
    <t>LPDS95018 | DIVYA</t>
  </si>
  <si>
    <t>LPDS95506</t>
  </si>
  <si>
    <t>S SELVI</t>
  </si>
  <si>
    <t>LPDS95506 | S SELVI</t>
  </si>
  <si>
    <t>LPDS95550</t>
  </si>
  <si>
    <t>TASLEEMA NAZEER</t>
  </si>
  <si>
    <t>LPDS95550 | TASLEEMA NAZEER</t>
  </si>
  <si>
    <t>LPDS95715</t>
  </si>
  <si>
    <t>A ANWAR BASHA</t>
  </si>
  <si>
    <t>LPDS95715 | A ANWAR BASHA</t>
  </si>
  <si>
    <t>LPDS95773</t>
  </si>
  <si>
    <t>S JAYANTHI</t>
  </si>
  <si>
    <t>LPDS95773 | S JAYANTHI</t>
  </si>
  <si>
    <t>LPDS95786</t>
  </si>
  <si>
    <t>M JARINA</t>
  </si>
  <si>
    <t>LPDS95786 | M JARINA</t>
  </si>
  <si>
    <t>LPD02281</t>
  </si>
  <si>
    <t>M. SARALA</t>
  </si>
  <si>
    <t>LPD02281 | M. SARALA</t>
  </si>
  <si>
    <t>LPD04052</t>
  </si>
  <si>
    <t>B. MUKTHIYAR</t>
  </si>
  <si>
    <t>LPD04052 | B. MUKTHIYAR</t>
  </si>
  <si>
    <t>LPD05038</t>
  </si>
  <si>
    <t>R.K. MOHAMMED RABIQUE</t>
  </si>
  <si>
    <t>LPD05038 | R.K. MOHAMMED RABIQUE</t>
  </si>
  <si>
    <t>LPD05364</t>
  </si>
  <si>
    <t>R. RADHA</t>
  </si>
  <si>
    <t>LPD05364 | R. RADHA</t>
  </si>
  <si>
    <t>LPD07297</t>
  </si>
  <si>
    <t>V. VIMALA</t>
  </si>
  <si>
    <t>LPD07297 | V. VIMALA</t>
  </si>
  <si>
    <t>LPD07362</t>
  </si>
  <si>
    <t>A. SUNDHARI</t>
  </si>
  <si>
    <t>LPD07362 | A. SUNDHARI</t>
  </si>
  <si>
    <t>LPD07974</t>
  </si>
  <si>
    <t>SUJATHA</t>
  </si>
  <si>
    <t>LPD07974 | SUJATHA</t>
  </si>
  <si>
    <t>LPD08177</t>
  </si>
  <si>
    <t>R. RAMYA</t>
  </si>
  <si>
    <t>LPD08177 | R. RAMYA</t>
  </si>
  <si>
    <t>LPD08513</t>
  </si>
  <si>
    <t>LPD08513 | KANCHANA</t>
  </si>
  <si>
    <t>LPD08552</t>
  </si>
  <si>
    <t>MANIMEGALAI</t>
  </si>
  <si>
    <t>LPD08552 | MANIMEGALAI</t>
  </si>
  <si>
    <t>LPD08565</t>
  </si>
  <si>
    <t>V. SIVAGAMI</t>
  </si>
  <si>
    <t>LPD08565 | V. SIVAGAMI</t>
  </si>
  <si>
    <t>LPD08580</t>
  </si>
  <si>
    <t>SHARMILI</t>
  </si>
  <si>
    <t>LPD08580 | SHARMILI</t>
  </si>
  <si>
    <t>LPD08626</t>
  </si>
  <si>
    <t>A.M. MUNEERA BEGAM</t>
  </si>
  <si>
    <t>LPD08626 | A.M. MUNEERA BEGAM</t>
  </si>
  <si>
    <t>LPD08716</t>
  </si>
  <si>
    <t>S. ROJINI</t>
  </si>
  <si>
    <t>LPD08716 | S. ROJINI</t>
  </si>
  <si>
    <t>LPD08897</t>
  </si>
  <si>
    <t>A.M. SABIYA KOWSAR</t>
  </si>
  <si>
    <t>LPD08897 | A.M. SABIYA KOWSAR</t>
  </si>
  <si>
    <t>LPD09013</t>
  </si>
  <si>
    <t>M. SANGEETHA</t>
  </si>
  <si>
    <t>LPD09013 | M. SANGEETHA</t>
  </si>
  <si>
    <t>LPD09233</t>
  </si>
  <si>
    <t>D. JEELANI</t>
  </si>
  <si>
    <t>LPD09233 | D. JEELANI</t>
  </si>
  <si>
    <t>LPD09416</t>
  </si>
  <si>
    <t>A. MUSTAK</t>
  </si>
  <si>
    <t>LPD09416 | A. MUSTAK</t>
  </si>
  <si>
    <t>LPD09538</t>
  </si>
  <si>
    <t>U. SHAMSHAD</t>
  </si>
  <si>
    <t>LPD09538 | U. SHAMSHAD</t>
  </si>
  <si>
    <t>LPD09589</t>
  </si>
  <si>
    <t>KOUSALYA</t>
  </si>
  <si>
    <t>LPD09589 | KOUSALYA</t>
  </si>
  <si>
    <t>LPD09759</t>
  </si>
  <si>
    <t>S. MUTHU LAKSHMI</t>
  </si>
  <si>
    <t>LPD09759 | S. MUTHU LAKSHMI</t>
  </si>
  <si>
    <t>LPD09849</t>
  </si>
  <si>
    <t>LPD09849 | R. VIJAYALAKSHMI</t>
  </si>
  <si>
    <t>LPD10027</t>
  </si>
  <si>
    <t>VIJAYALAKSHMI</t>
  </si>
  <si>
    <t>LPD10027 | VIJAYALAKSHMI</t>
  </si>
  <si>
    <t>LPD10049</t>
  </si>
  <si>
    <t>A. JAYANTHI</t>
  </si>
  <si>
    <t>LPD10049 | A. JAYANTHI</t>
  </si>
  <si>
    <t>LPD10157</t>
  </si>
  <si>
    <t>S. VANITHA</t>
  </si>
  <si>
    <t>LPD10157 | S. VANITHA</t>
  </si>
  <si>
    <t>LPD10691</t>
  </si>
  <si>
    <t>SK. ABDUL GAFFAR</t>
  </si>
  <si>
    <t>LPD10691 | SK. ABDUL GAFFAR</t>
  </si>
  <si>
    <t>LPD10828</t>
  </si>
  <si>
    <t>MD. SHAHJADA</t>
  </si>
  <si>
    <t>LPD10828 | MD. SHAHJADA</t>
  </si>
  <si>
    <t>LPD10953</t>
  </si>
  <si>
    <t>A. CHAND BASHA</t>
  </si>
  <si>
    <t>LPD10953 | A. CHAND BASHA</t>
  </si>
  <si>
    <t>LPD11040</t>
  </si>
  <si>
    <t>C. MOHAMMED AMEEN</t>
  </si>
  <si>
    <t>LPD11040 | C. MOHAMMED AMEEN</t>
  </si>
  <si>
    <t>LPD11456</t>
  </si>
  <si>
    <t>LPD11456 | PARIMALA</t>
  </si>
  <si>
    <t>LPD11601</t>
  </si>
  <si>
    <t>V. CHITRA</t>
  </si>
  <si>
    <t>LPD11601 | V. CHITRA</t>
  </si>
  <si>
    <t>LPD11605</t>
  </si>
  <si>
    <t>M. FATHIMA</t>
  </si>
  <si>
    <t>LPD11605 | M. FATHIMA</t>
  </si>
  <si>
    <t>LPD11714</t>
  </si>
  <si>
    <t>E. SHARMILA</t>
  </si>
  <si>
    <t>LPD11714 | E. SHARMILA</t>
  </si>
  <si>
    <t>LPD11722</t>
  </si>
  <si>
    <t>S. MALINI</t>
  </si>
  <si>
    <t>LPD11722 | S. MALINI</t>
  </si>
  <si>
    <t>LPD11774</t>
  </si>
  <si>
    <t>J. NASREEN BANU</t>
  </si>
  <si>
    <t>LPD11774 | J. NASREEN BANU</t>
  </si>
  <si>
    <t>LPD12135</t>
  </si>
  <si>
    <t>P SARASWATHI</t>
  </si>
  <si>
    <t>LPD12135 | P SARASWATHI</t>
  </si>
  <si>
    <t>LPD12136</t>
  </si>
  <si>
    <t>JOTHI</t>
  </si>
  <si>
    <t>LPD12136 | JOTHI</t>
  </si>
  <si>
    <t>LPD12198</t>
  </si>
  <si>
    <t>S DEEPA</t>
  </si>
  <si>
    <t>LPD12198 | S DEEPA</t>
  </si>
  <si>
    <t>LPD12199</t>
  </si>
  <si>
    <t>ANUSUYA</t>
  </si>
  <si>
    <t>LPD12199 | ANUSUYA</t>
  </si>
  <si>
    <t>LPDS94605</t>
  </si>
  <si>
    <t>LPDS94605 | SHABANA</t>
  </si>
  <si>
    <t>LPDS94720</t>
  </si>
  <si>
    <t>ZARINA</t>
  </si>
  <si>
    <t>LPDS94720 | ZARINA</t>
  </si>
  <si>
    <t>LPDS94747</t>
  </si>
  <si>
    <t>GNANASUNDARI B</t>
  </si>
  <si>
    <t>LPDS94747 | GNANASUNDARI B</t>
  </si>
  <si>
    <t>LPDS94966</t>
  </si>
  <si>
    <t>A SHARMILA</t>
  </si>
  <si>
    <t>LPDS94966 | A SHARMILA</t>
  </si>
  <si>
    <t>LPDS95158</t>
  </si>
  <si>
    <t>S SARASWATHI</t>
  </si>
  <si>
    <t>LPDS95158 | S SARASWATHI</t>
  </si>
  <si>
    <t>LPDS95186</t>
  </si>
  <si>
    <t>K VASANTHI</t>
  </si>
  <si>
    <t>LPDS95186 | K VASANTHI</t>
  </si>
  <si>
    <t>LPDS95360</t>
  </si>
  <si>
    <t>SUMAIYA BANU</t>
  </si>
  <si>
    <t>LPDS95360 | SUMAIYA BANU</t>
  </si>
  <si>
    <t>LPD02728</t>
  </si>
  <si>
    <t>R. RESHMA</t>
  </si>
  <si>
    <t>LPD02728 | R. RESHMA</t>
  </si>
  <si>
    <t>LPD03769</t>
  </si>
  <si>
    <t>TABASUM</t>
  </si>
  <si>
    <t>LPD03769 | TABASUM</t>
  </si>
  <si>
    <t>LPD04963</t>
  </si>
  <si>
    <t>HAYATH</t>
  </si>
  <si>
    <t>LPD04963 | HAYATH</t>
  </si>
  <si>
    <t>LPD06594</t>
  </si>
  <si>
    <t>PARVIN</t>
  </si>
  <si>
    <t>LPD06594 | PARVIN</t>
  </si>
  <si>
    <t>LPD07622</t>
  </si>
  <si>
    <t>N. SUGUNA</t>
  </si>
  <si>
    <t>LPD07622 | N. SUGUNA</t>
  </si>
  <si>
    <t>LPD07625</t>
  </si>
  <si>
    <t>S. RAHIMA</t>
  </si>
  <si>
    <t>LPD07625 | S. RAHIMA</t>
  </si>
  <si>
    <t>LPD07996</t>
  </si>
  <si>
    <t>R. UMA</t>
  </si>
  <si>
    <t>LPD07996 | R. UMA</t>
  </si>
  <si>
    <t>LPD07997</t>
  </si>
  <si>
    <t>LATHA</t>
  </si>
  <si>
    <t>LPD07997 | LATHA</t>
  </si>
  <si>
    <t>LPD08043</t>
  </si>
  <si>
    <t>SONIYA</t>
  </si>
  <si>
    <t>LPD08043 | SONIYA</t>
  </si>
  <si>
    <t>LPD08251</t>
  </si>
  <si>
    <t>K. JAYANTHI</t>
  </si>
  <si>
    <t>LPD08251 | K. JAYANTHI</t>
  </si>
  <si>
    <t>LPD08281</t>
  </si>
  <si>
    <t>LPD08281 | RAMYA</t>
  </si>
  <si>
    <t>LPD08306</t>
  </si>
  <si>
    <t>SANTHI</t>
  </si>
  <si>
    <t>LPD08306 | SANTHI</t>
  </si>
  <si>
    <t>LPD08628</t>
  </si>
  <si>
    <t>I. KURSHEED BEGAM</t>
  </si>
  <si>
    <t>LPD08628 | I. KURSHEED BEGAM</t>
  </si>
  <si>
    <t>LPD08808</t>
  </si>
  <si>
    <t>A. AMMU</t>
  </si>
  <si>
    <t>LPD08808 | A. AMMU</t>
  </si>
  <si>
    <t>LPD08985</t>
  </si>
  <si>
    <t>S. DHANALAKSHMI</t>
  </si>
  <si>
    <t>LPD08985 | S. DHANALAKSHMI</t>
  </si>
  <si>
    <t>LPD09159</t>
  </si>
  <si>
    <t>SATHYA</t>
  </si>
  <si>
    <t>LPD09159 | SATHYA</t>
  </si>
  <si>
    <t>LPD10114</t>
  </si>
  <si>
    <t>M. TAMIL SELVI</t>
  </si>
  <si>
    <t>LPD10114 | M. TAMIL SELVI</t>
  </si>
  <si>
    <t>LPD10254</t>
  </si>
  <si>
    <t>RISVANA</t>
  </si>
  <si>
    <t>LPD10254 | RISVANA</t>
  </si>
  <si>
    <t>LPD10890</t>
  </si>
  <si>
    <t>S. KALAIVANI</t>
  </si>
  <si>
    <t>LPD10890 | S. KALAIVANI</t>
  </si>
  <si>
    <t>LPD10900</t>
  </si>
  <si>
    <t>K. SUMITHRA</t>
  </si>
  <si>
    <t>LPD10900 | K. SUMITHRA</t>
  </si>
  <si>
    <t>LPD10918</t>
  </si>
  <si>
    <t>H. GAYATHRI</t>
  </si>
  <si>
    <t>LPD10918 | H. GAYATHRI</t>
  </si>
  <si>
    <t>LPD10961</t>
  </si>
  <si>
    <t>T. USHA</t>
  </si>
  <si>
    <t>LPD10961 | T. USHA</t>
  </si>
  <si>
    <t>LPD10964</t>
  </si>
  <si>
    <t>S. MOHAMMED ABU THAHIR</t>
  </si>
  <si>
    <t>LPD10964 | S. MOHAMMED ABU THAHIR</t>
  </si>
  <si>
    <t>LPD10984</t>
  </si>
  <si>
    <t>B. SHANTHI</t>
  </si>
  <si>
    <t>LPD10984 | B. SHANTHI</t>
  </si>
  <si>
    <t>LPD11103</t>
  </si>
  <si>
    <t>SANTHA</t>
  </si>
  <si>
    <t>LPD11103 | SANTHA</t>
  </si>
  <si>
    <t>LPD11150</t>
  </si>
  <si>
    <t>M. DEVI</t>
  </si>
  <si>
    <t>LPD11150 | M. DEVI</t>
  </si>
  <si>
    <t>LPD11479</t>
  </si>
  <si>
    <t>ARAVALLI</t>
  </si>
  <si>
    <t>LPD11479 | ARAVALLI</t>
  </si>
  <si>
    <t>LPD11683</t>
  </si>
  <si>
    <t>S. FARSANA BANU</t>
  </si>
  <si>
    <t>LPD11683 | S. FARSANA BANU</t>
  </si>
  <si>
    <t>LPD11790</t>
  </si>
  <si>
    <t>S. VASUGI</t>
  </si>
  <si>
    <t>LPD11790 | S. VASUGI</t>
  </si>
  <si>
    <t>LPD11892</t>
  </si>
  <si>
    <t>MD MONAZIR</t>
  </si>
  <si>
    <t>LPD11892 | MD MONAZIR</t>
  </si>
  <si>
    <t>LPD12069</t>
  </si>
  <si>
    <t>HASAN ALI</t>
  </si>
  <si>
    <t>LPD12069 | HASAN ALI</t>
  </si>
  <si>
    <t>LPD12116</t>
  </si>
  <si>
    <t>JAHIR ALI MOLLA</t>
  </si>
  <si>
    <t>LPD12116 | JAHIR ALI MOLLA</t>
  </si>
  <si>
    <t>LPDS94641</t>
  </si>
  <si>
    <t>SUDHA E</t>
  </si>
  <si>
    <t>LPDS94641 | SUDHA E</t>
  </si>
  <si>
    <t>LPDS94642</t>
  </si>
  <si>
    <t>PRIYANKA</t>
  </si>
  <si>
    <t>LPDS94642 | PRIYANKA</t>
  </si>
  <si>
    <t>LPDS95005</t>
  </si>
  <si>
    <t>B MEHAR TAJ</t>
  </si>
  <si>
    <t>LPDS95005 | B MEHAR TAJ</t>
  </si>
  <si>
    <t>LPDS95023</t>
  </si>
  <si>
    <t>AKBAR A</t>
  </si>
  <si>
    <t>LPDS95023 | AKBAR A</t>
  </si>
  <si>
    <t>LPDS95693</t>
  </si>
  <si>
    <t>V DEEPA</t>
  </si>
  <si>
    <t>LPDS95693 | V DEEPA</t>
  </si>
  <si>
    <t>LPDS95735</t>
  </si>
  <si>
    <t>SARAMBEE</t>
  </si>
  <si>
    <t>LPDS95735 | SARAMBEE</t>
  </si>
  <si>
    <t>LPDS95736</t>
  </si>
  <si>
    <t>G. CHITRA</t>
  </si>
  <si>
    <t>LPDS95736 | G. CHITRA</t>
  </si>
  <si>
    <t>LPDS95737</t>
  </si>
  <si>
    <t>S. SURAIYA</t>
  </si>
  <si>
    <t>LPDS95737 | S. SURAIYA</t>
  </si>
  <si>
    <t>LPD04827</t>
  </si>
  <si>
    <t>B. NASEEMA</t>
  </si>
  <si>
    <t>LPD04827 | B. NASEEMA</t>
  </si>
  <si>
    <t>LPD05774</t>
  </si>
  <si>
    <t>S. KARPAGAM</t>
  </si>
  <si>
    <t>LPD05774 | S. KARPAGAM</t>
  </si>
  <si>
    <t>LPD07162</t>
  </si>
  <si>
    <t>M. SUJATHA</t>
  </si>
  <si>
    <t>LPD07162 | M. SUJATHA</t>
  </si>
  <si>
    <t>LPD07609</t>
  </si>
  <si>
    <t>R. AMMU</t>
  </si>
  <si>
    <t>LPD07609 | R. AMMU</t>
  </si>
  <si>
    <t>LPD07690</t>
  </si>
  <si>
    <t>V. USHA RANI</t>
  </si>
  <si>
    <t>LPD07690 | V. USHA RANI</t>
  </si>
  <si>
    <t>LPD08095</t>
  </si>
  <si>
    <t>LPD08095 | SANGEETHA</t>
  </si>
  <si>
    <t>LPD08138</t>
  </si>
  <si>
    <t>S. PRABHAVATHI</t>
  </si>
  <si>
    <t>LPD08138 | S. PRABHAVATHI</t>
  </si>
  <si>
    <t>LPD08171</t>
  </si>
  <si>
    <t>S. MANIMEGALAI</t>
  </si>
  <si>
    <t>LPD08171 | S. MANIMEGALAI</t>
  </si>
  <si>
    <t>LPD08172</t>
  </si>
  <si>
    <t>J. SUBALAKSHMI</t>
  </si>
  <si>
    <t>LPD08172 | J. SUBALAKSHMI</t>
  </si>
  <si>
    <t>LPD08199</t>
  </si>
  <si>
    <t>G. LATHA</t>
  </si>
  <si>
    <t>LPD08199 | G. LATHA</t>
  </si>
  <si>
    <t>LPD08211</t>
  </si>
  <si>
    <t>SHAREENA</t>
  </si>
  <si>
    <t>LPD08211 | SHAREENA</t>
  </si>
  <si>
    <t>LPD08301</t>
  </si>
  <si>
    <t>MALATHI</t>
  </si>
  <si>
    <t>LPD08301 | MALATHI</t>
  </si>
  <si>
    <t>LPD08404</t>
  </si>
  <si>
    <t>ESWARI</t>
  </si>
  <si>
    <t>LPD08404 | ESWARI</t>
  </si>
  <si>
    <t>LPD08657</t>
  </si>
  <si>
    <t>Y. YUSUF</t>
  </si>
  <si>
    <t>LPD08657 | Y. YUSUF</t>
  </si>
  <si>
    <t>LPD08905</t>
  </si>
  <si>
    <t>M. NEELA</t>
  </si>
  <si>
    <t>LPD08905 | M. NEELA</t>
  </si>
  <si>
    <t>LPD10036</t>
  </si>
  <si>
    <t>A. NATEERA</t>
  </si>
  <si>
    <t>LPD10036 | A. NATEERA</t>
  </si>
  <si>
    <t>LPD10602</t>
  </si>
  <si>
    <t>MD. NIJAM</t>
  </si>
  <si>
    <t>LPD10602 | MD. NIJAM</t>
  </si>
  <si>
    <t>LPD10983</t>
  </si>
  <si>
    <t>MD. ABUTALIB</t>
  </si>
  <si>
    <t>LPD10983 | MD. ABUTALIB</t>
  </si>
  <si>
    <t>LPD11022</t>
  </si>
  <si>
    <t>N. KOUSAR</t>
  </si>
  <si>
    <t>LPD11022 | N. KOUSAR</t>
  </si>
  <si>
    <t>LPD11129</t>
  </si>
  <si>
    <t>JAYACHITRA</t>
  </si>
  <si>
    <t>LPD11129 | JAYACHITRA</t>
  </si>
  <si>
    <t>LPD11448</t>
  </si>
  <si>
    <t>M. RAJESHWARI</t>
  </si>
  <si>
    <t>LPD11448 | M. RAJESHWARI</t>
  </si>
  <si>
    <t>LPD11457</t>
  </si>
  <si>
    <t>M. KANEESH JAHARA</t>
  </si>
  <si>
    <t>LPD11457 | M. KANEESH JAHARA</t>
  </si>
  <si>
    <t>LPD11493</t>
  </si>
  <si>
    <t>N. REEHU ANJUM</t>
  </si>
  <si>
    <t>LPD11493 | N. REEHU ANJUM</t>
  </si>
  <si>
    <t>LPD11496</t>
  </si>
  <si>
    <t>LPD11496 | PUNITHA</t>
  </si>
  <si>
    <t>LPD11554</t>
  </si>
  <si>
    <t>R. DHANA LAKSHMI</t>
  </si>
  <si>
    <t>LPD11554 | R. DHANA LAKSHMI</t>
  </si>
  <si>
    <t>LPD11556</t>
  </si>
  <si>
    <t>R. MOHANAPRIYA</t>
  </si>
  <si>
    <t>LPD11556 | R. MOHANAPRIYA</t>
  </si>
  <si>
    <t>LPD11581</t>
  </si>
  <si>
    <t>LPD11581 | REVATHI</t>
  </si>
  <si>
    <t>LPD11705</t>
  </si>
  <si>
    <t>SANDHYA</t>
  </si>
  <si>
    <t>LPD11705 | SANDHYA</t>
  </si>
  <si>
    <t>LPD11717</t>
  </si>
  <si>
    <t>LPD11717 | S. GEETHA</t>
  </si>
  <si>
    <t>LPD11751</t>
  </si>
  <si>
    <t>GOUSI</t>
  </si>
  <si>
    <t>LPD11751 | GOUSI</t>
  </si>
  <si>
    <t>LPD11960</t>
  </si>
  <si>
    <t>K THILAGA</t>
  </si>
  <si>
    <t>LPD11960 | K THILAGA</t>
  </si>
  <si>
    <t>LPD11974</t>
  </si>
  <si>
    <t>HASAN UDDIN</t>
  </si>
  <si>
    <t>LPD11974 | HASAN UDDIN</t>
  </si>
  <si>
    <t>LPD12064</t>
  </si>
  <si>
    <t>RAHATULLA MOLLA</t>
  </si>
  <si>
    <t>LPD12064 | RAHATULLA MOLLA</t>
  </si>
  <si>
    <t>LPD12068</t>
  </si>
  <si>
    <t>ASADUL GAIN</t>
  </si>
  <si>
    <t>LPD12068 | ASADUL GAIN</t>
  </si>
  <si>
    <t>LPD12076</t>
  </si>
  <si>
    <t>AHMADULLA ALI</t>
  </si>
  <si>
    <t>LPD12076 | AHMADULLA ALI</t>
  </si>
  <si>
    <t>LPD12100</t>
  </si>
  <si>
    <t>ABDUL HASIM</t>
  </si>
  <si>
    <t>LPD12100 | ABDUL HASIM</t>
  </si>
  <si>
    <t>LPD12165</t>
  </si>
  <si>
    <t>MOSARAF MOLLA</t>
  </si>
  <si>
    <t>LPD12165 | MOSARAF MOLLA</t>
  </si>
  <si>
    <t>LPD12226</t>
  </si>
  <si>
    <t>S SEETHA</t>
  </si>
  <si>
    <t>LPD12226 | S SEETHA</t>
  </si>
  <si>
    <t>LPD12284</t>
  </si>
  <si>
    <t>FARHANA BANU</t>
  </si>
  <si>
    <t>LPD12284 | FARHANA BANU</t>
  </si>
  <si>
    <t>LPDS95017</t>
  </si>
  <si>
    <t>THULASIMANI</t>
  </si>
  <si>
    <t>LPDS95017 | THULASIMANI</t>
  </si>
  <si>
    <t>LPDS95022</t>
  </si>
  <si>
    <t>M THAMEEM BASHA</t>
  </si>
  <si>
    <t>LPDS95022 | M THAMEEM BASHA</t>
  </si>
  <si>
    <t>LPDS95027</t>
  </si>
  <si>
    <t>S KODEESWARI</t>
  </si>
  <si>
    <t>LPDS95027 | S KODEESWARI</t>
  </si>
  <si>
    <t>LPDS95059</t>
  </si>
  <si>
    <t>SNEGA</t>
  </si>
  <si>
    <t>LPDS95059 | SNEGA</t>
  </si>
  <si>
    <t>LPDS95155</t>
  </si>
  <si>
    <t>B METTA</t>
  </si>
  <si>
    <t>LPDS95155 | B METTA</t>
  </si>
  <si>
    <t>LPDS95157</t>
  </si>
  <si>
    <t>E MEENA</t>
  </si>
  <si>
    <t>LPDS95157 | E MEENA</t>
  </si>
  <si>
    <t>LPDS95169</t>
  </si>
  <si>
    <t>P NAVAMANI</t>
  </si>
  <si>
    <t>LPDS95169 | P NAVAMANI</t>
  </si>
  <si>
    <t>LPDS95173</t>
  </si>
  <si>
    <t>LPDS95173 | R SUMITHRA</t>
  </si>
  <si>
    <t>LPDS95185</t>
  </si>
  <si>
    <t>G SARIDHA</t>
  </si>
  <si>
    <t>LPDS95185 | G SARIDHA</t>
  </si>
  <si>
    <t>LPDS95198</t>
  </si>
  <si>
    <t>SULAIMAN</t>
  </si>
  <si>
    <t>LPDS95198 | SULAIMAN</t>
  </si>
  <si>
    <t>LPDS95200</t>
  </si>
  <si>
    <t>J MD BASHA</t>
  </si>
  <si>
    <t>LPDS95200 | J MD BASHA</t>
  </si>
  <si>
    <t>LPDS95384</t>
  </si>
  <si>
    <t>B HAJIRA</t>
  </si>
  <si>
    <t>LPDS95384 | B HAJIRA</t>
  </si>
  <si>
    <t>LPDS95385</t>
  </si>
  <si>
    <t>R SHABANA</t>
  </si>
  <si>
    <t>LPDS95385 | R SHABANA</t>
  </si>
  <si>
    <t>LPDS95388</t>
  </si>
  <si>
    <t>R AMUL</t>
  </si>
  <si>
    <t>LPDS95388 | R AMUL</t>
  </si>
  <si>
    <t>LPDS95398</t>
  </si>
  <si>
    <t>T SOWMIYA</t>
  </si>
  <si>
    <t>LPDS95398 | T SOWMIYA</t>
  </si>
  <si>
    <t>LPDS95402</t>
  </si>
  <si>
    <t>HAJIRA ABDUL SALAM</t>
  </si>
  <si>
    <t>LPDS95402 | HAJIRA ABDUL SALAM</t>
  </si>
  <si>
    <t>LPDS95442</t>
  </si>
  <si>
    <t>ABDUL WAJITH A</t>
  </si>
  <si>
    <t>LPDS95442 | ABDUL WAJITH A</t>
  </si>
  <si>
    <t>LPDS95733</t>
  </si>
  <si>
    <t>E. GEETHA</t>
  </si>
  <si>
    <t>LPDS95733 | E. GEETHA</t>
  </si>
  <si>
    <t>LPDS95754</t>
  </si>
  <si>
    <t>S AKTHAR BANU</t>
  </si>
  <si>
    <t>LPDS95754 | S AKTHAR BANU</t>
  </si>
  <si>
    <t>LPDS95771</t>
  </si>
  <si>
    <t>BAVANI</t>
  </si>
  <si>
    <t>LPDS95771 | BAVANI</t>
  </si>
  <si>
    <t>LPD04950</t>
  </si>
  <si>
    <t>K. VIJAYALAKSHMI</t>
  </si>
  <si>
    <t>LPD04950 | K. VIJAYALAKSHMI</t>
  </si>
  <si>
    <t>LPD07502</t>
  </si>
  <si>
    <t>MEENAKSHI</t>
  </si>
  <si>
    <t>LPD07502 | MEENAKSHI</t>
  </si>
  <si>
    <t>LPD08243</t>
  </si>
  <si>
    <t>S. VALARMATHI</t>
  </si>
  <si>
    <t>LPD08243 | S. VALARMATHI</t>
  </si>
  <si>
    <t>LPD08517</t>
  </si>
  <si>
    <t>P. MANJULA</t>
  </si>
  <si>
    <t>LPD08517 | P. MANJULA</t>
  </si>
  <si>
    <t>LPD08553</t>
  </si>
  <si>
    <t>SHABANA BEGUM</t>
  </si>
  <si>
    <t>LPD08553 | SHABANA BEGUM</t>
  </si>
  <si>
    <t>LPD08629</t>
  </si>
  <si>
    <t>U. MOHAMMED MATHEEN</t>
  </si>
  <si>
    <t>LPD08629 | U. MOHAMMED MATHEEN</t>
  </si>
  <si>
    <t>LPD08631</t>
  </si>
  <si>
    <t>M. GANDHIMATHI</t>
  </si>
  <si>
    <t>LPD08631 | M. GANDHIMATHI</t>
  </si>
  <si>
    <t>LPD08952</t>
  </si>
  <si>
    <t>SONA BAI</t>
  </si>
  <si>
    <t>LPD08952 | SONA BAI</t>
  </si>
  <si>
    <t>LPD08991</t>
  </si>
  <si>
    <t>V. THILAGAVATHY</t>
  </si>
  <si>
    <t>LPD08991 | V. THILAGAVATHY</t>
  </si>
  <si>
    <t>LPD09903</t>
  </si>
  <si>
    <t>R. DEVI</t>
  </si>
  <si>
    <t>LPD09903 | R. DEVI</t>
  </si>
  <si>
    <t>LPD10208</t>
  </si>
  <si>
    <t>LPD10208 | SHAMEEM</t>
  </si>
  <si>
    <t>R. RAMEEZA</t>
  </si>
  <si>
    <t>LPD10618 | R. RAMEEZA</t>
  </si>
  <si>
    <t>LPD10638</t>
  </si>
  <si>
    <t>MD. NAHAGIR</t>
  </si>
  <si>
    <t>LPD10638 | MD. NAHAGIR</t>
  </si>
  <si>
    <t>LPD10931</t>
  </si>
  <si>
    <t>A. AMEEN BASHA</t>
  </si>
  <si>
    <t>LPD10931 | A. AMEEN BASHA</t>
  </si>
  <si>
    <t>LPD11185</t>
  </si>
  <si>
    <t>RUKSHANA</t>
  </si>
  <si>
    <t>LPD11185 | RUKSHANA</t>
  </si>
  <si>
    <t>LPD11512</t>
  </si>
  <si>
    <t>M. SARANYA</t>
  </si>
  <si>
    <t>LPD11512 | M. SARANYA</t>
  </si>
  <si>
    <t>LPD11562</t>
  </si>
  <si>
    <t>A. MUBARAK KHAN</t>
  </si>
  <si>
    <t>LPD11562 | A. MUBARAK KHAN</t>
  </si>
  <si>
    <t>LPD11647</t>
  </si>
  <si>
    <t>M. SHAN BEE</t>
  </si>
  <si>
    <t>LPD11647 | M. SHAN BEE</t>
  </si>
  <si>
    <t>LPD11779</t>
  </si>
  <si>
    <t>BANU</t>
  </si>
  <si>
    <t>LPD11779 | BANU</t>
  </si>
  <si>
    <t>LPD11783</t>
  </si>
  <si>
    <t>LPD11783 | A. AMMU</t>
  </si>
  <si>
    <t>LPD11846</t>
  </si>
  <si>
    <t>LPD11846 | REVATHI</t>
  </si>
  <si>
    <t>LPD11987</t>
  </si>
  <si>
    <t>I AFROSE</t>
  </si>
  <si>
    <t>LPD11987 | I AFROSE</t>
  </si>
  <si>
    <t>LPD12040</t>
  </si>
  <si>
    <t>ILIYAS PIYADA</t>
  </si>
  <si>
    <t>LPD12040 | ILIYAS PIYADA</t>
  </si>
  <si>
    <t>LPD12282</t>
  </si>
  <si>
    <t>EJARUL MOLLA</t>
  </si>
  <si>
    <t>LPD12282 | EJARUL MOLLA</t>
  </si>
  <si>
    <t>LPDS94740</t>
  </si>
  <si>
    <t>FAMITHA</t>
  </si>
  <si>
    <t>LPDS94740 | FAMITHA</t>
  </si>
  <si>
    <t>LPDS94796</t>
  </si>
  <si>
    <t>ANJUGAM S</t>
  </si>
  <si>
    <t>LPDS94796 | ANJUGAM S</t>
  </si>
  <si>
    <t>LPDS94801</t>
  </si>
  <si>
    <t>RIZWANA BEGUM A</t>
  </si>
  <si>
    <t>LPDS94801 | RIZWANA BEGUM A</t>
  </si>
  <si>
    <t>LPDS95162</t>
  </si>
  <si>
    <t>S KAVITHA</t>
  </si>
  <si>
    <t>LPDS95162 | S KAVITHA</t>
  </si>
  <si>
    <t>LPDS95640</t>
  </si>
  <si>
    <t>NADHIYA D</t>
  </si>
  <si>
    <t>LPDS95640 | NADHIYA D</t>
  </si>
  <si>
    <t>LPD03298</t>
  </si>
  <si>
    <t>G. PADMINI</t>
  </si>
  <si>
    <t>LPD03298 | G. PADMINI</t>
  </si>
  <si>
    <t>LPD05183</t>
  </si>
  <si>
    <t>R. SRI DEVI</t>
  </si>
  <si>
    <t>LPD05183 | R. SRI DEVI</t>
  </si>
  <si>
    <t>LPD05609</t>
  </si>
  <si>
    <t>M. GOWRI</t>
  </si>
  <si>
    <t>LPD05609 | M. GOWRI</t>
  </si>
  <si>
    <t>LPD07392</t>
  </si>
  <si>
    <t>V.P. MUBARAK</t>
  </si>
  <si>
    <t>LPD07392 | V.P. MUBARAK</t>
  </si>
  <si>
    <t>LPD07459</t>
  </si>
  <si>
    <t>LPD07459 | S. VIJAYA</t>
  </si>
  <si>
    <t>LPD07514</t>
  </si>
  <si>
    <t>V. DHANALAKSHMI</t>
  </si>
  <si>
    <t>LPD07514 | V. DHANALAKSHMI</t>
  </si>
  <si>
    <t>LPD07590</t>
  </si>
  <si>
    <t>D. LATHA</t>
  </si>
  <si>
    <t>LPD07590 | D. LATHA</t>
  </si>
  <si>
    <t>LPD07870</t>
  </si>
  <si>
    <t>M. NIROSHA</t>
  </si>
  <si>
    <t>LPD07870 | M. NIROSHA</t>
  </si>
  <si>
    <t>LPD08142</t>
  </si>
  <si>
    <t>M. MUMTAJ</t>
  </si>
  <si>
    <t>LPD08142 | M. MUMTAJ</t>
  </si>
  <si>
    <t>LPD08268</t>
  </si>
  <si>
    <t>VASANTHI</t>
  </si>
  <si>
    <t>LPD08268 | VASANTHI</t>
  </si>
  <si>
    <t>LPD08372</t>
  </si>
  <si>
    <t>LPD08372 | JAYANTHI</t>
  </si>
  <si>
    <t>LPD08441</t>
  </si>
  <si>
    <t>LPD08441 | ESWARI</t>
  </si>
  <si>
    <t>LPD08523</t>
  </si>
  <si>
    <t>LPD08523 | DEVI</t>
  </si>
  <si>
    <t>LPD08664</t>
  </si>
  <si>
    <t>ANITHA</t>
  </si>
  <si>
    <t>LPD08664 | ANITHA</t>
  </si>
  <si>
    <t>LPD09146</t>
  </si>
  <si>
    <t>ALAMELU</t>
  </si>
  <si>
    <t>LPD09146 | ALAMELU</t>
  </si>
  <si>
    <t>LPD09393</t>
  </si>
  <si>
    <t>M. USHA RANI</t>
  </si>
  <si>
    <t>LPD09393 | M. USHA RANI</t>
  </si>
  <si>
    <t>LPD09683</t>
  </si>
  <si>
    <t>GIRIJA</t>
  </si>
  <si>
    <t>LPD09683 | GIRIJA</t>
  </si>
  <si>
    <t>LPD09702 | DEVI</t>
  </si>
  <si>
    <t>LPD09910</t>
  </si>
  <si>
    <t>JABINA BANU</t>
  </si>
  <si>
    <t>LPD09910 | JABINA BANU</t>
  </si>
  <si>
    <t>LPD10183</t>
  </si>
  <si>
    <t>M. KALAIMATHI</t>
  </si>
  <si>
    <t>LPD10183 | M. KALAIMATHI</t>
  </si>
  <si>
    <t>LPD10209</t>
  </si>
  <si>
    <t>HAJEERA</t>
  </si>
  <si>
    <t>LPD10209 | HAJEERA</t>
  </si>
  <si>
    <t>LPD10251</t>
  </si>
  <si>
    <t>LPD10251 | JAYACHITRA</t>
  </si>
  <si>
    <t>LPD10276</t>
  </si>
  <si>
    <t>LPD10276 | PARVEEN</t>
  </si>
  <si>
    <t>LPD10419</t>
  </si>
  <si>
    <t>A. FARHANA BEGAM</t>
  </si>
  <si>
    <t>LPD10419 | A. FARHANA BEGAM</t>
  </si>
  <si>
    <t>LPD10455</t>
  </si>
  <si>
    <t>THAMRIN</t>
  </si>
  <si>
    <t>LPD10455 | THAMRIN</t>
  </si>
  <si>
    <t>LPD10617</t>
  </si>
  <si>
    <t>ANJALI</t>
  </si>
  <si>
    <t>LPD10617 | ANJALI</t>
  </si>
  <si>
    <t>LPD10967</t>
  </si>
  <si>
    <t>K. SHANTHI</t>
  </si>
  <si>
    <t>LPD10967 | K. SHANTHI</t>
  </si>
  <si>
    <t>LPD11153</t>
  </si>
  <si>
    <t>SHAINAN</t>
  </si>
  <si>
    <t>LPD11153 | SHAINAN</t>
  </si>
  <si>
    <t>LPD11181</t>
  </si>
  <si>
    <t>SALLUBANU</t>
  </si>
  <si>
    <t>LPD11181 | SALLUBANU</t>
  </si>
  <si>
    <t>LPD11204</t>
  </si>
  <si>
    <t>MAHALAKSHMI</t>
  </si>
  <si>
    <t>LPD11204 | MAHALAKSHMI</t>
  </si>
  <si>
    <t>A. MUNNI</t>
  </si>
  <si>
    <t>LPD11453 | A. MUNNI</t>
  </si>
  <si>
    <t>LPD11463</t>
  </si>
  <si>
    <t>SHINAS</t>
  </si>
  <si>
    <t>LPD11463 | SHINAS</t>
  </si>
  <si>
    <t>LPD11572</t>
  </si>
  <si>
    <t>SHALINI</t>
  </si>
  <si>
    <t>LPD11572 | SHALINI</t>
  </si>
  <si>
    <t>LPD11712</t>
  </si>
  <si>
    <t>P. GAYATHRI</t>
  </si>
  <si>
    <t>LPD11712 | P. GAYATHRI</t>
  </si>
  <si>
    <t>A MEENAKSHI</t>
  </si>
  <si>
    <t>LPD12063</t>
  </si>
  <si>
    <t>SABIR ALI MOLLA</t>
  </si>
  <si>
    <t>LPD12063 | SABIR ALI MOLLA</t>
  </si>
  <si>
    <t>LPD12238</t>
  </si>
  <si>
    <t>MEENA S</t>
  </si>
  <si>
    <t>LPD12238 | MEENA S</t>
  </si>
  <si>
    <t>LPD12239</t>
  </si>
  <si>
    <t>U. SHYLAJA</t>
  </si>
  <si>
    <t>LPD12239 | U. SHYLAJA</t>
  </si>
  <si>
    <t>LPD12240</t>
  </si>
  <si>
    <t>M. HAJIRA</t>
  </si>
  <si>
    <t>LPD12240 | M. HAJIRA</t>
  </si>
  <si>
    <t>LPDS94717</t>
  </si>
  <si>
    <t>AKMAL A</t>
  </si>
  <si>
    <t>LPDS94717 | AKMAL A</t>
  </si>
  <si>
    <t>LPDS95684</t>
  </si>
  <si>
    <t>SELVI VENGATESAN</t>
  </si>
  <si>
    <t>LPDS95684 | SELVI VENGATESAN</t>
  </si>
  <si>
    <t>LPDS95714</t>
  </si>
  <si>
    <t>KAVITHA SURESH</t>
  </si>
  <si>
    <t>LPDS95714 | KAVITHA SURESH</t>
  </si>
  <si>
    <t>LPDS95725</t>
  </si>
  <si>
    <t>LAKSHMI JANAGIRAMAN</t>
  </si>
  <si>
    <t>LPDS95725 | LAKSHMI JANAGIRAMAN</t>
  </si>
  <si>
    <t>LPDS95728</t>
  </si>
  <si>
    <t>CHANDHINI NASEER</t>
  </si>
  <si>
    <t>LPDS95728 | CHANDHINI NASEER</t>
  </si>
  <si>
    <t>LPDS95729</t>
  </si>
  <si>
    <t>S MUNNI</t>
  </si>
  <si>
    <t>LPDS95729 | S MUNNI</t>
  </si>
  <si>
    <t>LPDS95740</t>
  </si>
  <si>
    <t>R. AMUDHA</t>
  </si>
  <si>
    <t>LPDS95740 | R. AMUDHA</t>
  </si>
  <si>
    <t>LPDS95741</t>
  </si>
  <si>
    <t>N. SUMITHRA</t>
  </si>
  <si>
    <t>LPDS95741 | N. SUMITHRA</t>
  </si>
  <si>
    <t>LPD00334</t>
  </si>
  <si>
    <t>R. VASANTHI</t>
  </si>
  <si>
    <t>LPD00334 | R. VASANTHI</t>
  </si>
  <si>
    <t>LPD00601</t>
  </si>
  <si>
    <t>A. SADIKHA</t>
  </si>
  <si>
    <t>LPD00601 | A. SADIKHA</t>
  </si>
  <si>
    <t>LPD02946</t>
  </si>
  <si>
    <t>A. ALEMELU</t>
  </si>
  <si>
    <t>LPD02946 | A. ALEMELU</t>
  </si>
  <si>
    <t>LPD04803</t>
  </si>
  <si>
    <t>S. RAJASHWARI</t>
  </si>
  <si>
    <t>LPD04803 | S. RAJASHWARI</t>
  </si>
  <si>
    <t>LPD04804</t>
  </si>
  <si>
    <t>V. MEENATCHI</t>
  </si>
  <si>
    <t>LPD04804 | V. MEENATCHI</t>
  </si>
  <si>
    <t>LPD04824</t>
  </si>
  <si>
    <t>P. LOGANAYAGI</t>
  </si>
  <si>
    <t>LPD04824 | P. LOGANAYAGI</t>
  </si>
  <si>
    <t>LPD05920</t>
  </si>
  <si>
    <t>S. PARMESHWARI</t>
  </si>
  <si>
    <t>LPD05920 | S. PARMESHWARI</t>
  </si>
  <si>
    <t>LPD06518</t>
  </si>
  <si>
    <t>M. ANITHA</t>
  </si>
  <si>
    <t>LPD06518 | M. ANITHA</t>
  </si>
  <si>
    <t>LPD07485</t>
  </si>
  <si>
    <t>R. VENNILA</t>
  </si>
  <si>
    <t>LPD07485 | R. VENNILA</t>
  </si>
  <si>
    <t>LPD07628</t>
  </si>
  <si>
    <t>GNANAMMAL</t>
  </si>
  <si>
    <t>LPD07628 | GNANAMMAL</t>
  </si>
  <si>
    <t>LPD07785</t>
  </si>
  <si>
    <t>S. RANI</t>
  </si>
  <si>
    <t>LPD07785 | S. RANI</t>
  </si>
  <si>
    <t>LPD07789</t>
  </si>
  <si>
    <t>R. KAVITHA</t>
  </si>
  <si>
    <t>LPD07789 | R. KAVITHA</t>
  </si>
  <si>
    <t>LPD08048</t>
  </si>
  <si>
    <t>S. RIYAZ</t>
  </si>
  <si>
    <t>LPD08048 | S. RIYAZ</t>
  </si>
  <si>
    <t>LPD08204</t>
  </si>
  <si>
    <t>P. ANITHA</t>
  </si>
  <si>
    <t>LPD08204 | P. ANITHA</t>
  </si>
  <si>
    <t>LPD08346</t>
  </si>
  <si>
    <t>M. KHADAR BEE</t>
  </si>
  <si>
    <t>LPD08346 | M. KHADAR BEE</t>
  </si>
  <si>
    <t>LPD08486</t>
  </si>
  <si>
    <t>SASIKALA</t>
  </si>
  <si>
    <t>LPD08486 | SASIKALA</t>
  </si>
  <si>
    <t>LPD08506</t>
  </si>
  <si>
    <t>AYESHA</t>
  </si>
  <si>
    <t>LPD08506 | AYESHA</t>
  </si>
  <si>
    <t>LPD08619</t>
  </si>
  <si>
    <t>SHARFUDDIN</t>
  </si>
  <si>
    <t>LPD08619 | SHARFUDDIN</t>
  </si>
  <si>
    <t>LPD08685</t>
  </si>
  <si>
    <t>Z. NAYEEMUNNISA</t>
  </si>
  <si>
    <t>LPD08685 | Z. NAYEEMUNNISA</t>
  </si>
  <si>
    <t>LPD08744</t>
  </si>
  <si>
    <t>S.L. LAKSHMI</t>
  </si>
  <si>
    <t>LPD08744 | S.L. LAKSHMI</t>
  </si>
  <si>
    <t>LPD08891</t>
  </si>
  <si>
    <t>UMA MAHESWARI</t>
  </si>
  <si>
    <t>LPD08891 | UMA MAHESWARI</t>
  </si>
  <si>
    <t>LPD09568</t>
  </si>
  <si>
    <t>M. SATHIYA</t>
  </si>
  <si>
    <t>LPD09568 | M. SATHIYA</t>
  </si>
  <si>
    <t>LPD09605</t>
  </si>
  <si>
    <t>REKHA</t>
  </si>
  <si>
    <t>LPD09605 | REKHA</t>
  </si>
  <si>
    <t>LPD09689</t>
  </si>
  <si>
    <t>SARANYA</t>
  </si>
  <si>
    <t>LPD09689 | SARANYA</t>
  </si>
  <si>
    <t>LPD09907</t>
  </si>
  <si>
    <t>RIZWAN</t>
  </si>
  <si>
    <t>LPD09907 | RIZWAN</t>
  </si>
  <si>
    <t>LPD10197</t>
  </si>
  <si>
    <t>M. GIRIJA</t>
  </si>
  <si>
    <t>LPD10197 | M. GIRIJA</t>
  </si>
  <si>
    <t>LPD10561</t>
  </si>
  <si>
    <t>G. SELVARANI</t>
  </si>
  <si>
    <t>LPD10561 | G. SELVARANI</t>
  </si>
  <si>
    <t>LPD10916</t>
  </si>
  <si>
    <t>N. JAYACHITRA</t>
  </si>
  <si>
    <t>LPD10916 | N. JAYACHITRA</t>
  </si>
  <si>
    <t>LPD11088</t>
  </si>
  <si>
    <t>Y. ALMAS BEGUM</t>
  </si>
  <si>
    <t>LPD11088 | Y. ALMAS BEGUM</t>
  </si>
  <si>
    <t>LPD11183</t>
  </si>
  <si>
    <t>M. RIZWANA</t>
  </si>
  <si>
    <t>LPD11183 | M. RIZWANA</t>
  </si>
  <si>
    <t>LPD11187</t>
  </si>
  <si>
    <t>LPD11187 | SUJATHA</t>
  </si>
  <si>
    <t>LPD11221</t>
  </si>
  <si>
    <t>KANIMOZHI</t>
  </si>
  <si>
    <t>LPD11221 | KANIMOZHI</t>
  </si>
  <si>
    <t>LPD11279</t>
  </si>
  <si>
    <t>M. ZEHRA</t>
  </si>
  <si>
    <t>LPD11279 | M. ZEHRA</t>
  </si>
  <si>
    <t>LPD11482</t>
  </si>
  <si>
    <t>S. MD. SULTAN</t>
  </si>
  <si>
    <t>LPD11482 | S. MD. SULTAN</t>
  </si>
  <si>
    <t>LPD11499</t>
  </si>
  <si>
    <t>I. RESHMA</t>
  </si>
  <si>
    <t>LPD11499 | I. RESHMA</t>
  </si>
  <si>
    <t>LPD11677</t>
  </si>
  <si>
    <t>B. LAKSHMI</t>
  </si>
  <si>
    <t>LPD11677 | B. LAKSHMI</t>
  </si>
  <si>
    <t>LPD11988</t>
  </si>
  <si>
    <t>F GULZAR</t>
  </si>
  <si>
    <t>LPD11988 | F GULZAR</t>
  </si>
  <si>
    <t>LPD12022</t>
  </si>
  <si>
    <t>K KHURSHEED BANU</t>
  </si>
  <si>
    <t>LPD12022 | K KHURSHEED BANU</t>
  </si>
  <si>
    <t>LPD12236</t>
  </si>
  <si>
    <t>S. UMA</t>
  </si>
  <si>
    <t>LPD12236 | S. UMA</t>
  </si>
  <si>
    <t>LPD12237</t>
  </si>
  <si>
    <t>SALIYA BANU</t>
  </si>
  <si>
    <t>LPD12237 | SALIYA BANU</t>
  </si>
  <si>
    <t>LPDS94756</t>
  </si>
  <si>
    <t>UMA C</t>
  </si>
  <si>
    <t>LPDS94756 | UMA C</t>
  </si>
  <si>
    <t>LPDS95161</t>
  </si>
  <si>
    <t>FOUSIYA</t>
  </si>
  <si>
    <t>LPDS95161 | FOUSIYA</t>
  </si>
  <si>
    <t>LPDS95657</t>
  </si>
  <si>
    <t>A JOTHI</t>
  </si>
  <si>
    <t>LPDS95657 | A JOTHI</t>
  </si>
  <si>
    <t>LPDS95689</t>
  </si>
  <si>
    <t>S DIVYA PRABA</t>
  </si>
  <si>
    <t>LPDS95689 | S DIVYA PRABA</t>
  </si>
  <si>
    <t>LPDS95702</t>
  </si>
  <si>
    <t>M DILSHATH</t>
  </si>
  <si>
    <t>LPDS95702 | M DILSHATH</t>
  </si>
  <si>
    <t>LPDS95743</t>
  </si>
  <si>
    <t>C. THILAGAWATHI</t>
  </si>
  <si>
    <t>LPDS95743 | C. THILAGAWATHI</t>
  </si>
  <si>
    <t>LPDS95787</t>
  </si>
  <si>
    <t>J VEDHAVALLI</t>
  </si>
  <si>
    <t>LPDS95787 | J VEDHAVALLI</t>
  </si>
  <si>
    <t>LPD03119</t>
  </si>
  <si>
    <t>M. SHANTHI</t>
  </si>
  <si>
    <t>LPD03119 | M. SHANTHI</t>
  </si>
  <si>
    <t>LPD04943</t>
  </si>
  <si>
    <t>M. NOORJAHAN</t>
  </si>
  <si>
    <t>LPD04943 | M. NOORJAHAN</t>
  </si>
  <si>
    <t>LPD05309</t>
  </si>
  <si>
    <t>P. DEVI</t>
  </si>
  <si>
    <t>LPD05309 | P. DEVI</t>
  </si>
  <si>
    <t>LPD05518</t>
  </si>
  <si>
    <t>V. MD.YOUNUS</t>
  </si>
  <si>
    <t>LPD05518 | V. MD.YOUNUS</t>
  </si>
  <si>
    <t>LPD05776</t>
  </si>
  <si>
    <t>LPD05776 | M. DEVI</t>
  </si>
  <si>
    <t>LPD05936</t>
  </si>
  <si>
    <t>K. SANGEETHA</t>
  </si>
  <si>
    <t>LPD05936 | K. SANGEETHA</t>
  </si>
  <si>
    <t>LPD06026</t>
  </si>
  <si>
    <t>D. USHA</t>
  </si>
  <si>
    <t>LPD06026 | D. USHA</t>
  </si>
  <si>
    <t>LPD06263</t>
  </si>
  <si>
    <t>B. MALATHI</t>
  </si>
  <si>
    <t>LPD06263 | B. MALATHI</t>
  </si>
  <si>
    <t>LPD06410</t>
  </si>
  <si>
    <t>P. MATHIVATHANA</t>
  </si>
  <si>
    <t>LPD06410 | P. MATHIVATHANA</t>
  </si>
  <si>
    <t>LPD07904</t>
  </si>
  <si>
    <t>P. SONIYA</t>
  </si>
  <si>
    <t>LPD07904 | P. SONIYA</t>
  </si>
  <si>
    <t>LPD08051</t>
  </si>
  <si>
    <t>S. JAYAKANTHI</t>
  </si>
  <si>
    <t>LPD08051 | S. JAYAKANTHI</t>
  </si>
  <si>
    <t>LPD08083</t>
  </si>
  <si>
    <t>B. BATHULA</t>
  </si>
  <si>
    <t>LPD08083 | B. BATHULA</t>
  </si>
  <si>
    <t>LPD08106</t>
  </si>
  <si>
    <t>MAHESWARI</t>
  </si>
  <si>
    <t>LPD08106 | MAHESWARI</t>
  </si>
  <si>
    <t>LPD08233</t>
  </si>
  <si>
    <t>H. SUJATHA</t>
  </si>
  <si>
    <t>LPD08233 | H. SUJATHA</t>
  </si>
  <si>
    <t>LPD08287</t>
  </si>
  <si>
    <t>LPD08287 | SATHYA</t>
  </si>
  <si>
    <t>LPD08356</t>
  </si>
  <si>
    <t>M. REVATHI</t>
  </si>
  <si>
    <t>LPD08356 | M. REVATHI</t>
  </si>
  <si>
    <t>LPD08455</t>
  </si>
  <si>
    <t>K.S. SABEEHA SULTHANA</t>
  </si>
  <si>
    <t>LPD08455 | K.S. SABEEHA SULTHANA</t>
  </si>
  <si>
    <t>LPD08541</t>
  </si>
  <si>
    <t>K. PUNITHA</t>
  </si>
  <si>
    <t>LPD08541 | K. PUNITHA</t>
  </si>
  <si>
    <t>LPD08550</t>
  </si>
  <si>
    <t>SHAHEEM SHAMEEM</t>
  </si>
  <si>
    <t>LPD08550 | SHAHEEM SHAMEEM</t>
  </si>
  <si>
    <t>LPD08610</t>
  </si>
  <si>
    <t>S. JEEVA</t>
  </si>
  <si>
    <t>LPD08610 | S. JEEVA</t>
  </si>
  <si>
    <t>LPD08993</t>
  </si>
  <si>
    <t>S. VASANTHA SHALINI</t>
  </si>
  <si>
    <t>LPD08993 | S. VASANTHA SHALINI</t>
  </si>
  <si>
    <t>LPD09543</t>
  </si>
  <si>
    <t>SAVITHRI</t>
  </si>
  <si>
    <t>LPD09543 | SAVITHRI</t>
  </si>
  <si>
    <t>LPD09937</t>
  </si>
  <si>
    <t>V. SUMATHI</t>
  </si>
  <si>
    <t>LPD09937 | V. SUMATHI</t>
  </si>
  <si>
    <t>LPD09976</t>
  </si>
  <si>
    <t>INDHUMATHI</t>
  </si>
  <si>
    <t>LPD09976 | INDHUMATHI</t>
  </si>
  <si>
    <t>LPD10247</t>
  </si>
  <si>
    <t>N. HADI BASHA</t>
  </si>
  <si>
    <t>LPD10247 | N. HADI BASHA</t>
  </si>
  <si>
    <t>LPD10321</t>
  </si>
  <si>
    <t>LPD10321 | M. SARANYA</t>
  </si>
  <si>
    <t>LPD10695</t>
  </si>
  <si>
    <t>EZHILARASI</t>
  </si>
  <si>
    <t>LPD10695 | EZHILARASI</t>
  </si>
  <si>
    <t>LPD10777</t>
  </si>
  <si>
    <t>CHITHRA</t>
  </si>
  <si>
    <t>LPD10777 | CHITHRA</t>
  </si>
  <si>
    <t>LPD10937</t>
  </si>
  <si>
    <t>A. SAJEETHA BANU</t>
  </si>
  <si>
    <t>LPD10937 | A. SAJEETHA BANU</t>
  </si>
  <si>
    <t>LPD11121</t>
  </si>
  <si>
    <t>VISHALI</t>
  </si>
  <si>
    <t>LPD11121 | VISHALI</t>
  </si>
  <si>
    <t>LPD11215</t>
  </si>
  <si>
    <t>A. SHYAMALA</t>
  </si>
  <si>
    <t>LPD11215 | A. SHYAMALA</t>
  </si>
  <si>
    <t>LPD11222</t>
  </si>
  <si>
    <t>T. SARGUNA</t>
  </si>
  <si>
    <t>LPD11222 | T. SARGUNA</t>
  </si>
  <si>
    <t>LPD11655</t>
  </si>
  <si>
    <t>B. BALKEES</t>
  </si>
  <si>
    <t>LPD11655 | B. BALKEES</t>
  </si>
  <si>
    <t>LPD11698</t>
  </si>
  <si>
    <t>LPD11698 | AMMU</t>
  </si>
  <si>
    <t>LPD12021</t>
  </si>
  <si>
    <t>S KALAVATHI</t>
  </si>
  <si>
    <t>LPD12021 | S KALAVATHI</t>
  </si>
  <si>
    <t>LPDS95451</t>
  </si>
  <si>
    <t>K ANJALAKSHI</t>
  </si>
  <si>
    <t>LPDS95451 | K ANJALAKSHI</t>
  </si>
  <si>
    <t>LPDS95511</t>
  </si>
  <si>
    <t>S SHEELA</t>
  </si>
  <si>
    <t>LPDS95511 | S SHEELA</t>
  </si>
  <si>
    <t>LPDS95523</t>
  </si>
  <si>
    <t>S SAJITHA</t>
  </si>
  <si>
    <t>LPDS95523 | S SAJITHA</t>
  </si>
  <si>
    <t>LPDS95744</t>
  </si>
  <si>
    <t>S. PRIYA</t>
  </si>
  <si>
    <t>LPDS95744 | S. PRIYA</t>
  </si>
  <si>
    <t>LPD07375</t>
  </si>
  <si>
    <t>J. PAVITHRA</t>
  </si>
  <si>
    <t>LPD07375 | J. PAVITHRA</t>
  </si>
  <si>
    <t>LPD07556</t>
  </si>
  <si>
    <t>M. SHABANA BEGUM</t>
  </si>
  <si>
    <t>LPD07556 | M. SHABANA BEGUM</t>
  </si>
  <si>
    <t>LPD07716</t>
  </si>
  <si>
    <t>A. FAROOK BASHA</t>
  </si>
  <si>
    <t>LPD07716 | A. FAROOK BASHA</t>
  </si>
  <si>
    <t>LPD07795</t>
  </si>
  <si>
    <t>FARITHA</t>
  </si>
  <si>
    <t>LPD07795 | FARITHA</t>
  </si>
  <si>
    <t>LPD08004</t>
  </si>
  <si>
    <t>LPD08004 | BANU</t>
  </si>
  <si>
    <t>LPD08098</t>
  </si>
  <si>
    <t>D. DEEPA</t>
  </si>
  <si>
    <t>LPD08098 | D. DEEPA</t>
  </si>
  <si>
    <t>LPD08894</t>
  </si>
  <si>
    <t>A. NASINI</t>
  </si>
  <si>
    <t>LPD08894 | A. NASINI</t>
  </si>
  <si>
    <t>LPD09516</t>
  </si>
  <si>
    <t>S. SABEENA</t>
  </si>
  <si>
    <t>LPD09516 | S. SABEENA</t>
  </si>
  <si>
    <t>LPD09919</t>
  </si>
  <si>
    <t>LPD09919 | B. BALKEES</t>
  </si>
  <si>
    <t>LPD10019</t>
  </si>
  <si>
    <t>K. LAKSHMI</t>
  </si>
  <si>
    <t>LPD10019 | K. LAKSHMI</t>
  </si>
  <si>
    <t>LPD10169</t>
  </si>
  <si>
    <t>R. MAMTHA</t>
  </si>
  <si>
    <t>LPD10169 | R. MAMTHA</t>
  </si>
  <si>
    <t>LPD10187</t>
  </si>
  <si>
    <t>R. RAJAKUMARI</t>
  </si>
  <si>
    <t>LPD10187 | R. RAJAKUMARI</t>
  </si>
  <si>
    <t>LPD11166</t>
  </si>
  <si>
    <t>ABDUL KATHIR</t>
  </si>
  <si>
    <t>LPD11166 | ABDUL KATHIR</t>
  </si>
  <si>
    <t>LPD11245</t>
  </si>
  <si>
    <t>RAJESHWARI</t>
  </si>
  <si>
    <t>LPD11245 | RAJESHWARI</t>
  </si>
  <si>
    <t>LPD11255</t>
  </si>
  <si>
    <t>M. IBRAHIM</t>
  </si>
  <si>
    <t>LPD11255 | M. IBRAHIM</t>
  </si>
  <si>
    <t>LPD11444</t>
  </si>
  <si>
    <t>P. VENDA</t>
  </si>
  <si>
    <t>LPD11444 | P. VENDA</t>
  </si>
  <si>
    <t>LPD11447</t>
  </si>
  <si>
    <t>S. POONKODI</t>
  </si>
  <si>
    <t>LPD11447 | S. POONKODI</t>
  </si>
  <si>
    <t>LPD11459</t>
  </si>
  <si>
    <t>MUBEENA BANU</t>
  </si>
  <si>
    <t>LPD11459 | MUBEENA BANU</t>
  </si>
  <si>
    <t>LPD11507</t>
  </si>
  <si>
    <t>A. KADHAR</t>
  </si>
  <si>
    <t>LPD11507 | A. KADHAR</t>
  </si>
  <si>
    <t>LPD11525</t>
  </si>
  <si>
    <t>LPD11525 | S. PRIYA</t>
  </si>
  <si>
    <t>LPD11608</t>
  </si>
  <si>
    <t>LPD11608 | MEENA</t>
  </si>
  <si>
    <t>LPD11697</t>
  </si>
  <si>
    <t>SHAHIN</t>
  </si>
  <si>
    <t>LPD11697 | SHAHIN</t>
  </si>
  <si>
    <t>LPD11985</t>
  </si>
  <si>
    <t>V UMA</t>
  </si>
  <si>
    <t>LPD11985 | V UMA</t>
  </si>
  <si>
    <t>LPD11986</t>
  </si>
  <si>
    <t>K SHANTHI</t>
  </si>
  <si>
    <t>LPD11986 | K SHANTHI</t>
  </si>
  <si>
    <t>LPD11996</t>
  </si>
  <si>
    <t>ABUL HASSAIN</t>
  </si>
  <si>
    <t>LPD11996 | ABUL HASSAIN</t>
  </si>
  <si>
    <t>LPD12010</t>
  </si>
  <si>
    <t>ABDUL OHID</t>
  </si>
  <si>
    <t>LPD12010 | ABDUL OHID</t>
  </si>
  <si>
    <t>LPD12025</t>
  </si>
  <si>
    <t>TAHIR HUSSAIN</t>
  </si>
  <si>
    <t>LPD12025 | TAHIR HUSSAIN</t>
  </si>
  <si>
    <t>LPD12256</t>
  </si>
  <si>
    <t>RAJIBUL MOLLA</t>
  </si>
  <si>
    <t>LPD12256 | RAJIBUL MOLLA</t>
  </si>
  <si>
    <t>LPDS94616</t>
  </si>
  <si>
    <t>HAJEERA T</t>
  </si>
  <si>
    <t>LPDS94616 | HAJEERA T</t>
  </si>
  <si>
    <t>LPDS95062</t>
  </si>
  <si>
    <t>S SIVAGAMI</t>
  </si>
  <si>
    <t>LPDS95062 | S SIVAGAMI</t>
  </si>
  <si>
    <t>LPDS95187</t>
  </si>
  <si>
    <t>K SHEELA</t>
  </si>
  <si>
    <t>LPDS95187 | K SHEELA</t>
  </si>
  <si>
    <t>LPDS95205</t>
  </si>
  <si>
    <t>P GEETHA</t>
  </si>
  <si>
    <t>LPDS95205 | P GEETHA</t>
  </si>
  <si>
    <t>LPDS95361</t>
  </si>
  <si>
    <t>PREMA SHANMUGAM</t>
  </si>
  <si>
    <t>LPDS95361 | PREMA SHANMUGAM</t>
  </si>
  <si>
    <t>LPDS95521</t>
  </si>
  <si>
    <t>MUBINA</t>
  </si>
  <si>
    <t>LPDS95521 | MUBINA</t>
  </si>
  <si>
    <t>LPDS95641</t>
  </si>
  <si>
    <t>DEEPIKA VASUDEVAN</t>
  </si>
  <si>
    <t>LPDS95641 | DEEPIKA VASUDEVAN</t>
  </si>
  <si>
    <t>LPDS95648</t>
  </si>
  <si>
    <t>SUBASHINI PERUMAL</t>
  </si>
  <si>
    <t>LPDS95648 | SUBASHINI PERUMAL</t>
  </si>
  <si>
    <t>LPDS95705</t>
  </si>
  <si>
    <t>LPDS95705 | SHABANA</t>
  </si>
  <si>
    <t>LPDS95722</t>
  </si>
  <si>
    <t>SARITHA THANGADURAI</t>
  </si>
  <si>
    <t>LPDS95722 | SARITHA THANGADURAI</t>
  </si>
  <si>
    <t>LPDS95777</t>
  </si>
  <si>
    <t>PRIYA S</t>
  </si>
  <si>
    <t>LPDS95777 | PRIYA S</t>
  </si>
  <si>
    <t>LPDS95796</t>
  </si>
  <si>
    <t>LPDS95796 | AMUTHA</t>
  </si>
  <si>
    <t>LPD09862</t>
  </si>
  <si>
    <t>T.M. HASSAIN</t>
  </si>
  <si>
    <t>LPD09862 | T.M. HASSAIN</t>
  </si>
  <si>
    <t>LPD11066</t>
  </si>
  <si>
    <t>M. PARVEZ</t>
  </si>
  <si>
    <t>LPD11066 | M. PARVEZ</t>
  </si>
  <si>
    <t>LPD11513</t>
  </si>
  <si>
    <t>A. SUHAIL AHMED</t>
  </si>
  <si>
    <t>LPD11513 | A. SUHAIL AHMED</t>
  </si>
  <si>
    <t>LPD12208</t>
  </si>
  <si>
    <t>T SHAMEEL AHMED</t>
  </si>
  <si>
    <t>LPD12208 | T SHAMEEL AHMED</t>
  </si>
  <si>
    <t>LPD12209</t>
  </si>
  <si>
    <t>UMAR FAROOQUE</t>
  </si>
  <si>
    <t>LPD12209 | UMAR FAROOQUE</t>
  </si>
  <si>
    <t>LPDS95694</t>
  </si>
  <si>
    <t>R REVATHI</t>
  </si>
  <si>
    <t>LPDS95694 | R REVATHI</t>
  </si>
  <si>
    <t>LPDS95723</t>
  </si>
  <si>
    <t>FARIDHA A</t>
  </si>
  <si>
    <t>LPDS95723 | FARIDHA A</t>
  </si>
  <si>
    <t>LPD02794</t>
  </si>
  <si>
    <t>K. BHUVANESWARI</t>
  </si>
  <si>
    <t>LPD02794 | K. BHUVANESWARI</t>
  </si>
  <si>
    <t>LPD03863</t>
  </si>
  <si>
    <t>S. SATHIYA VANI</t>
  </si>
  <si>
    <t>LPD03863 | S. SATHIYA VANI</t>
  </si>
  <si>
    <t>LPD05861</t>
  </si>
  <si>
    <t>LPD05861 | P. MANJULA</t>
  </si>
  <si>
    <t>LPD07728</t>
  </si>
  <si>
    <t>KUDIMA</t>
  </si>
  <si>
    <t>LPD07728 | KUDIMA</t>
  </si>
  <si>
    <t>LPD09469</t>
  </si>
  <si>
    <t>S.R. NAZIYA SIDDIQHA</t>
  </si>
  <si>
    <t>LPD09469 | S.R. NAZIYA SIDDIQHA</t>
  </si>
  <si>
    <t>LPD09737</t>
  </si>
  <si>
    <t>LPD09737 | RAMYA</t>
  </si>
  <si>
    <t>LPD10426</t>
  </si>
  <si>
    <t>M. MUZAMMIL AHAMED</t>
  </si>
  <si>
    <t>LPD10426 | M. MUZAMMIL AHAMED</t>
  </si>
  <si>
    <t>LPD10436</t>
  </si>
  <si>
    <t>LAKSHMI</t>
  </si>
  <si>
    <t>LPD10436 | LAKSHMI</t>
  </si>
  <si>
    <t>LPD10472</t>
  </si>
  <si>
    <t>M. KAMALEESWARI</t>
  </si>
  <si>
    <t>LPD10472 | M. KAMALEESWARI</t>
  </si>
  <si>
    <t>LPD10554</t>
  </si>
  <si>
    <t>G. SATHYA</t>
  </si>
  <si>
    <t>LPD10554 | G. SATHYA</t>
  </si>
  <si>
    <t>LPD10979</t>
  </si>
  <si>
    <t>S. JAMEELA BEE</t>
  </si>
  <si>
    <t>LPD10979 | S. JAMEELA BEE</t>
  </si>
  <si>
    <t>LPD11093</t>
  </si>
  <si>
    <t>N. FAHMIDA BANU</t>
  </si>
  <si>
    <t>LPD11093 | N. FAHMIDA BANU</t>
  </si>
  <si>
    <t>LPD11483</t>
  </si>
  <si>
    <t>V. PAVITHRA</t>
  </si>
  <si>
    <t>LPD11483 | V. PAVITHRA</t>
  </si>
  <si>
    <t>LPDS94697</t>
  </si>
  <si>
    <t>NITHYA D</t>
  </si>
  <si>
    <t>LPDS94697 | NITHYA D</t>
  </si>
  <si>
    <t>LPDS95071</t>
  </si>
  <si>
    <t>RUTHRA VENKATESAN</t>
  </si>
  <si>
    <t>LPDS95071 | RUTHRA VENKATESAN</t>
  </si>
  <si>
    <t>LPDS95072</t>
  </si>
  <si>
    <t>ISHAMA S</t>
  </si>
  <si>
    <t>LPDS95072 | ISHAMA S</t>
  </si>
  <si>
    <t>LPDS95102</t>
  </si>
  <si>
    <t>JAYAPRIYA JAGADEESAN</t>
  </si>
  <si>
    <t>LPDS95102 | JAYAPRIYA JAGADEESAN</t>
  </si>
  <si>
    <t>LPDS95167</t>
  </si>
  <si>
    <t>NAWAZ NOORUDEEN</t>
  </si>
  <si>
    <t>LPDS95167 | NAWAZ NOORUDEEN</t>
  </si>
  <si>
    <t>LPDS95210</t>
  </si>
  <si>
    <t>J AYISHA</t>
  </si>
  <si>
    <t>LPDS95210 | J AYISHA</t>
  </si>
  <si>
    <t>LPDS95716</t>
  </si>
  <si>
    <t>RESHMA MOHAMED SALEEM</t>
  </si>
  <si>
    <t>LPDS95716 | RESHMA MOHAMED SALEEM</t>
  </si>
  <si>
    <t>LPDS95721</t>
  </si>
  <si>
    <t>VIJAYALAKSHMI THANGAVEL</t>
  </si>
  <si>
    <t>LPDS95721 | VIJAYALAKSHMI THANGAVEL</t>
  </si>
  <si>
    <t>LPDS95745</t>
  </si>
  <si>
    <t>SUMITHRA</t>
  </si>
  <si>
    <t>LPDS95745 | SUMITHRA</t>
  </si>
  <si>
    <t>LPDS95792</t>
  </si>
  <si>
    <t>PRABAKARAN RAJENDIRAN</t>
  </si>
  <si>
    <t>LPDS95792 | PRABAKARAN RAJENDIRAN</t>
  </si>
  <si>
    <t>LPD05690</t>
  </si>
  <si>
    <t>K. HAROON RASHEED</t>
  </si>
  <si>
    <t>LPD05690 | K. HAROON RASHEED</t>
  </si>
  <si>
    <t>LPD05724</t>
  </si>
  <si>
    <t>A. VIJAYALAKSHMI</t>
  </si>
  <si>
    <t>LPD05724 | A. VIJAYALAKSHMI</t>
  </si>
  <si>
    <t>LPD07866</t>
  </si>
  <si>
    <t>R. ARIFA</t>
  </si>
  <si>
    <t>LPD07866 | R. ARIFA</t>
  </si>
  <si>
    <t>LPD08203</t>
  </si>
  <si>
    <t>LPD08203 | SASIKALA</t>
  </si>
  <si>
    <t>LPD09152</t>
  </si>
  <si>
    <t>LPD09152 | AMMU</t>
  </si>
  <si>
    <t>LPD09153</t>
  </si>
  <si>
    <t>S. THAHIRA BEGAM</t>
  </si>
  <si>
    <t>LPD09153 | S. THAHIRA BEGAM</t>
  </si>
  <si>
    <t>LPD09343</t>
  </si>
  <si>
    <t>HASSAN BASHA</t>
  </si>
  <si>
    <t>LPD09343 | HASSAN BASHA</t>
  </si>
  <si>
    <t>LPD10151</t>
  </si>
  <si>
    <t>M. HEERA BANU</t>
  </si>
  <si>
    <t>LPD10151 | M. HEERA BANU</t>
  </si>
  <si>
    <t>LPD10424</t>
  </si>
  <si>
    <t>LPD10424 | FARITHA</t>
  </si>
  <si>
    <t>LPD10879</t>
  </si>
  <si>
    <t>K. THAGIRA BANU</t>
  </si>
  <si>
    <t>LPD10879 | K. THAGIRA BANU</t>
  </si>
  <si>
    <t>LPD11458</t>
  </si>
  <si>
    <t>SAKEENA FIRDOSE</t>
  </si>
  <si>
    <t>LPD11458 | SAKEENA FIRDOSE</t>
  </si>
  <si>
    <t>LPDS95708</t>
  </si>
  <si>
    <t>SNEHA SEENIVASAN</t>
  </si>
  <si>
    <t>LPDS95708 | SNEHA SEENIVASAN</t>
  </si>
  <si>
    <t>LPD06499</t>
  </si>
  <si>
    <t>H. RESHMA</t>
  </si>
  <si>
    <t>LPD06499 | H. RESHMA</t>
  </si>
  <si>
    <t>LPD08810</t>
  </si>
  <si>
    <t>V. VIJAYALAKSHMI</t>
  </si>
  <si>
    <t>LPD08810 | V. VIJAYALAKSHMI</t>
  </si>
  <si>
    <t>LPD09076</t>
  </si>
  <si>
    <t>K. KOMATHI</t>
  </si>
  <si>
    <t>LPD09076 | K. KOMATHI</t>
  </si>
  <si>
    <t>LPD10127</t>
  </si>
  <si>
    <t>KASTHURI</t>
  </si>
  <si>
    <t>LPD10127 | KASTHURI</t>
  </si>
  <si>
    <t>LPD10299</t>
  </si>
  <si>
    <t>RAGAVI</t>
  </si>
  <si>
    <t>LPD10299 | RAGAVI</t>
  </si>
  <si>
    <t>LPD10302</t>
  </si>
  <si>
    <t>P. NEELAVENI</t>
  </si>
  <si>
    <t>LPD10302 | P. NEELAVENI</t>
  </si>
  <si>
    <t>LPD10815</t>
  </si>
  <si>
    <t>I. MD. ASLAM</t>
  </si>
  <si>
    <t>LPD10815 | I. MD. ASLAM</t>
  </si>
  <si>
    <t>LPD11916</t>
  </si>
  <si>
    <t>MD RAKIB</t>
  </si>
  <si>
    <t>LPD11916 | MD RAKIB</t>
  </si>
  <si>
    <t>LPD12060</t>
  </si>
  <si>
    <t>D VIJAYALAKSHMI</t>
  </si>
  <si>
    <t>LPD12060 | D VIJAYALAKSHMI</t>
  </si>
  <si>
    <t>LPD12075</t>
  </si>
  <si>
    <t>BAKIBULLA GAZI</t>
  </si>
  <si>
    <t>LPD12075 | BAKIBULLA GAZI</t>
  </si>
  <si>
    <t>LPD12107</t>
  </si>
  <si>
    <t>JUBEL AKTAR BARBHUIYA</t>
  </si>
  <si>
    <t>LPD12107 | JUBEL AKTAR BARBHUIYA</t>
  </si>
  <si>
    <t>LPD12108</t>
  </si>
  <si>
    <t>SK SHARUKH</t>
  </si>
  <si>
    <t>LPD12108 | SK SHARUKH</t>
  </si>
  <si>
    <t>LPD12137</t>
  </si>
  <si>
    <t>FATHIMUTHU</t>
  </si>
  <si>
    <t>LPD12137 | FATHIMUTHU</t>
  </si>
  <si>
    <t>LPD12149</t>
  </si>
  <si>
    <t>SAIFUL MOLLA</t>
  </si>
  <si>
    <t>LPD12149 | SAIFUL MOLLA</t>
  </si>
  <si>
    <t>LPD12152</t>
  </si>
  <si>
    <t>FOKHRUL ISLAM</t>
  </si>
  <si>
    <t>LPD12152 | FOKHRUL ISLAM</t>
  </si>
  <si>
    <t>LPD12154</t>
  </si>
  <si>
    <t>ISMAIL AHMED</t>
  </si>
  <si>
    <t>LPD12154 | ISMAIL AHMED</t>
  </si>
  <si>
    <t>LPD12164</t>
  </si>
  <si>
    <t>HARUN SARDAR</t>
  </si>
  <si>
    <t>LPD12164 | HARUN SARDAR</t>
  </si>
  <si>
    <t>LPD12175</t>
  </si>
  <si>
    <t>MD TANBEER</t>
  </si>
  <si>
    <t>LPD12175 | MD TANBEER</t>
  </si>
  <si>
    <t>LPD12178</t>
  </si>
  <si>
    <t>RAHAMAT ALI LASKAR</t>
  </si>
  <si>
    <t>LPD12178 | RAHAMAT ALI LASKAR</t>
  </si>
  <si>
    <t>LPD12183</t>
  </si>
  <si>
    <t>BADRUL ISLAM</t>
  </si>
  <si>
    <t>LPD12183 | BADRUL ISLAM</t>
  </si>
  <si>
    <t>LPD12184</t>
  </si>
  <si>
    <t>NAZMUL HUSSAIN</t>
  </si>
  <si>
    <t>LPD12184 | NAZMUL HUSSAIN</t>
  </si>
  <si>
    <t>LPD12187</t>
  </si>
  <si>
    <t>AMIRUL AHMED</t>
  </si>
  <si>
    <t>LPD12187 | AMIRUL AHMED</t>
  </si>
  <si>
    <t>LPD12188</t>
  </si>
  <si>
    <t>HIRAJUL HAQUE</t>
  </si>
  <si>
    <t>LPD12188 | HIRAJUL HAQUE</t>
  </si>
  <si>
    <t>LPD12189</t>
  </si>
  <si>
    <t>MD NAJM UDDIN</t>
  </si>
  <si>
    <t>LPD12189 | MD NAJM UDDIN</t>
  </si>
  <si>
    <t>LPD12196</t>
  </si>
  <si>
    <t>SAFIULLA SEKH</t>
  </si>
  <si>
    <t>LPD12196 | SAFIULLA SEKH</t>
  </si>
  <si>
    <t>LPD12228</t>
  </si>
  <si>
    <t>MASIBUR MOLLA</t>
  </si>
  <si>
    <t>LPD12228 | MASIBUR MOLLA</t>
  </si>
  <si>
    <t>LPD12230</t>
  </si>
  <si>
    <t>P DEEPA</t>
  </si>
  <si>
    <t>LPD12230 | P DEEPA</t>
  </si>
  <si>
    <t>LPD12234</t>
  </si>
  <si>
    <t>MD MIRJAD KHAN</t>
  </si>
  <si>
    <t>LPD12234 | MD MIRJAD KHAN</t>
  </si>
  <si>
    <t>LPD12257</t>
  </si>
  <si>
    <t>MD MAHABUB</t>
  </si>
  <si>
    <t>LPD12257 | MD MAHABUB</t>
  </si>
  <si>
    <t>LPD12259</t>
  </si>
  <si>
    <t>MD SAIF ALI</t>
  </si>
  <si>
    <t>LPD12259 | MD SAIF ALI</t>
  </si>
  <si>
    <t>LPD12267</t>
  </si>
  <si>
    <t>JOYNAL AHMED</t>
  </si>
  <si>
    <t>LPD12267 | JOYNAL AHMED</t>
  </si>
  <si>
    <t>LPDS94954</t>
  </si>
  <si>
    <t>HANNA MURUGAN</t>
  </si>
  <si>
    <t>LPDS94954 | HANNA MURUGAN</t>
  </si>
  <si>
    <t>LPDS94964</t>
  </si>
  <si>
    <t>THILSHATH</t>
  </si>
  <si>
    <t>LPDS94964 | THILSHATH</t>
  </si>
  <si>
    <t>LPDS94983</t>
  </si>
  <si>
    <t>NASHEEMA</t>
  </si>
  <si>
    <t>LPDS94983 | NASHEEMA</t>
  </si>
  <si>
    <t>LPDS95458</t>
  </si>
  <si>
    <t>SANGEETHA BOOBALAN</t>
  </si>
  <si>
    <t>LPDS95458 | SANGEETHA BOOBALAN</t>
  </si>
  <si>
    <t>LPDS95480</t>
  </si>
  <si>
    <t>ANITHA SASIKUMAR</t>
  </si>
  <si>
    <t>LPDS95480 | ANITHA SASIKUMAR</t>
  </si>
  <si>
    <t>LPDS95481</t>
  </si>
  <si>
    <t>M UMA</t>
  </si>
  <si>
    <t>LPDS95481 | M UMA</t>
  </si>
  <si>
    <t>LPDS95546</t>
  </si>
  <si>
    <t>MOHAMED IMRAN ABUBAKER</t>
  </si>
  <si>
    <t>LPDS95546 | MOHAMED IMRAN ABUBAKER</t>
  </si>
  <si>
    <t>LPDS95554</t>
  </si>
  <si>
    <t>DEVI S</t>
  </si>
  <si>
    <t>LPDS95554 | DEVI S</t>
  </si>
  <si>
    <t>LPDS95656</t>
  </si>
  <si>
    <t>M ESWARI</t>
  </si>
  <si>
    <t>LPDS95656 | M ESWARI</t>
  </si>
  <si>
    <t>LPDS95671</t>
  </si>
  <si>
    <t>K DEEPALAKSHMI</t>
  </si>
  <si>
    <t>LPDS95671 | K DEEPALAKSHMI</t>
  </si>
  <si>
    <t>LPDS95673</t>
  </si>
  <si>
    <t>NASRIN A</t>
  </si>
  <si>
    <t>LPDS95673 | NASRIN A</t>
  </si>
  <si>
    <t>LPDS95685</t>
  </si>
  <si>
    <t>NANDHINI VENGATESAN</t>
  </si>
  <si>
    <t>LPDS95685 | NANDHINI VENGATESAN</t>
  </si>
  <si>
    <t>LPDS95691</t>
  </si>
  <si>
    <t>PUSHPA P</t>
  </si>
  <si>
    <t>LPDS95691 | PUSHPA P</t>
  </si>
  <si>
    <t>LPDS95698</t>
  </si>
  <si>
    <t>YASMEEN</t>
  </si>
  <si>
    <t>LPDS95698 | YASMEEN</t>
  </si>
  <si>
    <t>LPDS95711</t>
  </si>
  <si>
    <t>ASIFA BANU</t>
  </si>
  <si>
    <t>LPDS95711 | ASIFA BANU</t>
  </si>
  <si>
    <t>LPDS95726</t>
  </si>
  <si>
    <t>B YASMIN</t>
  </si>
  <si>
    <t>LPDS95726 | B YASMIN</t>
  </si>
  <si>
    <t>LPDS95751</t>
  </si>
  <si>
    <t>ABDUL RAHAMANA A</t>
  </si>
  <si>
    <t>LPDS95751 | ABDUL RAHAMANA A</t>
  </si>
  <si>
    <t>LPDS95764</t>
  </si>
  <si>
    <t>PRIYA</t>
  </si>
  <si>
    <t>LPDS95764 | PRIYA</t>
  </si>
  <si>
    <t>LPD03088</t>
  </si>
  <si>
    <t>S. KHADER BASHA</t>
  </si>
  <si>
    <t>LPD03088 | S. KHADER BASHA</t>
  </si>
  <si>
    <t>LPD06917</t>
  </si>
  <si>
    <t>USHA RANI</t>
  </si>
  <si>
    <t>LPD06917 | USHA RANI</t>
  </si>
  <si>
    <t>LPD11752</t>
  </si>
  <si>
    <t>S. MONIKA</t>
  </si>
  <si>
    <t>LPD11752 | S. MONIKA</t>
  </si>
  <si>
    <t>LPD00026</t>
  </si>
  <si>
    <t>A. FAIZULLAH</t>
  </si>
  <si>
    <t>LPD00026 | A. FAIZULLAH</t>
  </si>
  <si>
    <t>LPD07953</t>
  </si>
  <si>
    <t>V. THULASI</t>
  </si>
  <si>
    <t>LPD07953 | V. THULASI</t>
  </si>
  <si>
    <t>LPD08386</t>
  </si>
  <si>
    <t>V. USHA</t>
  </si>
  <si>
    <t>LPD08386 | V. USHA</t>
  </si>
  <si>
    <t>LPD08680</t>
  </si>
  <si>
    <t>LPD08680 | B. MALATHI</t>
  </si>
  <si>
    <t>LPD09633</t>
  </si>
  <si>
    <t>LPD09633 | LAKSHMI</t>
  </si>
  <si>
    <t>LPD09685</t>
  </si>
  <si>
    <t>LPD09685 | JAYANTHI</t>
  </si>
  <si>
    <t>LPD10316</t>
  </si>
  <si>
    <t>M. POONGODI</t>
  </si>
  <si>
    <t>LPD10316 | M. POONGODI</t>
  </si>
  <si>
    <t>LPD10858</t>
  </si>
  <si>
    <t>S. TAMILSELVI</t>
  </si>
  <si>
    <t>LPD10858 | S. TAMILSELVI</t>
  </si>
  <si>
    <t>LPD10993</t>
  </si>
  <si>
    <t>I. MOHAMMED IRFAN</t>
  </si>
  <si>
    <t>LPD10993 | I. MOHAMMED IRFAN</t>
  </si>
  <si>
    <t>LPD10996</t>
  </si>
  <si>
    <t>A. KALEEL AHMED</t>
  </si>
  <si>
    <t>LPD10996 | A. KALEEL AHMED</t>
  </si>
  <si>
    <t>LPD11770</t>
  </si>
  <si>
    <t>M. SIDDIQUE</t>
  </si>
  <si>
    <t>LPD11770 | M. SIDDIQUE</t>
  </si>
  <si>
    <t>LPD11771</t>
  </si>
  <si>
    <t>LPD11771 | S. MUBARAK</t>
  </si>
  <si>
    <t>LPDS94715</t>
  </si>
  <si>
    <t>THAMEEM SHAVAKATH</t>
  </si>
  <si>
    <t>LPDS94715 | THAMEEM SHAVAKATH</t>
  </si>
  <si>
    <t>LPDS95454</t>
  </si>
  <si>
    <t>SANDHIYA SETTU</t>
  </si>
  <si>
    <t>LPDS95454 | SANDHIYA SETTU</t>
  </si>
  <si>
    <t>LPDS95470</t>
  </si>
  <si>
    <t>NANDHINI KAMALADHASAN</t>
  </si>
  <si>
    <t>LPDS95470 | NANDHINI KAMALADHASAN</t>
  </si>
  <si>
    <t>LPDS95519</t>
  </si>
  <si>
    <t>SATHIYA</t>
  </si>
  <si>
    <t>LPDS95519 | SATHIYA</t>
  </si>
  <si>
    <t>LPD04470</t>
  </si>
  <si>
    <t>K.K. AZHAR AHMED</t>
  </si>
  <si>
    <t>LPD04470 | K.K. AZHAR AHMED</t>
  </si>
  <si>
    <t>LPD05966</t>
  </si>
  <si>
    <t>I. AKBAR</t>
  </si>
  <si>
    <t>LPD05966 | I. AKBAR</t>
  </si>
  <si>
    <t>LPD07027</t>
  </si>
  <si>
    <t>A. SAMIULLAH</t>
  </si>
  <si>
    <t>LPD07027 | A. SAMIULLAH</t>
  </si>
  <si>
    <t>LPD07423</t>
  </si>
  <si>
    <t>S. HASSAN BASHA</t>
  </si>
  <si>
    <t>LPD07423 | S. HASSAN BASHA</t>
  </si>
  <si>
    <t>LPD07617</t>
  </si>
  <si>
    <t>MUBARAK BASHA</t>
  </si>
  <si>
    <t>LPD07617 | MUBARAK BASHA</t>
  </si>
  <si>
    <t>LPD08019</t>
  </si>
  <si>
    <t>A. SALEEM BASHA</t>
  </si>
  <si>
    <t>LPD08019 | A. SALEEM BASHA</t>
  </si>
  <si>
    <t>LPD08919</t>
  </si>
  <si>
    <t>S. BARKATH ALI</t>
  </si>
  <si>
    <t>LPD08919 | S. BARKATH ALI</t>
  </si>
  <si>
    <t>LPD09497</t>
  </si>
  <si>
    <t>H. AFSAR</t>
  </si>
  <si>
    <t>LPD09497 | H. AFSAR</t>
  </si>
  <si>
    <t>LPD09977</t>
  </si>
  <si>
    <t>M. ABDUL GANI SHARIF</t>
  </si>
  <si>
    <t>LPD09977 | M. ABDUL GANI SHARIF</t>
  </si>
  <si>
    <t>LPD10088</t>
  </si>
  <si>
    <t>A. MOHAMMED KHALID</t>
  </si>
  <si>
    <t>LPD10088 | A. MOHAMMED KHALID</t>
  </si>
  <si>
    <t>LPD10092</t>
  </si>
  <si>
    <t>MOHAMMED SHARIQUE FOUZAN</t>
  </si>
  <si>
    <t>LPD10092 | MOHAMMED SHARIQUE FOUZAN</t>
  </si>
  <si>
    <t>LPD10407</t>
  </si>
  <si>
    <t>FAIROZ KHAN</t>
  </si>
  <si>
    <t>LPD10407 | FAIROZ KHAN</t>
  </si>
  <si>
    <t>LPD10417</t>
  </si>
  <si>
    <t>R. SHAFIULLAH</t>
  </si>
  <si>
    <t>LPD10417 | R. SHAFIULLAH</t>
  </si>
  <si>
    <t>LPD10418</t>
  </si>
  <si>
    <t>A. SADAM</t>
  </si>
  <si>
    <t>LPD10418 | A. SADAM</t>
  </si>
  <si>
    <t>LPD10566</t>
  </si>
  <si>
    <t>ANOWAR HUSSIAN</t>
  </si>
  <si>
    <t>LPD10566 | ANOWAR HUSSIAN</t>
  </si>
  <si>
    <t>LPD10854</t>
  </si>
  <si>
    <t>I. IMRAN</t>
  </si>
  <si>
    <t>LPD10854 | I. IMRAN</t>
  </si>
  <si>
    <t>LPD10855</t>
  </si>
  <si>
    <t>S. AKBAR BASHA</t>
  </si>
  <si>
    <t>LPD10855 | S. AKBAR BASHA</t>
  </si>
  <si>
    <t>LPD10932</t>
  </si>
  <si>
    <t>YASIN</t>
  </si>
  <si>
    <t>LPD10932 | YASIN</t>
  </si>
  <si>
    <t>LPD11286</t>
  </si>
  <si>
    <t>J. ADI BASHA</t>
  </si>
  <si>
    <t>LPD11286 | J. ADI BASHA</t>
  </si>
  <si>
    <t>LPD11287</t>
  </si>
  <si>
    <t>M. MOHAMMED IMRAN</t>
  </si>
  <si>
    <t>LPD11287 | M. MOHAMMED IMRAN</t>
  </si>
  <si>
    <t>LPD11288</t>
  </si>
  <si>
    <t>M. LAEEQ AHMED</t>
  </si>
  <si>
    <t>LPD11288 | M. LAEEQ AHMED</t>
  </si>
  <si>
    <t>LPD11772</t>
  </si>
  <si>
    <t>LPD11772 | IMRAN</t>
  </si>
  <si>
    <t>LPDS95630</t>
  </si>
  <si>
    <t>J AFROSE BASHA</t>
  </si>
  <si>
    <t>LPDS95630 | J AFROSE BASHA</t>
  </si>
  <si>
    <t>LPD03247</t>
  </si>
  <si>
    <t>V. DASTAGEER</t>
  </si>
  <si>
    <t>LPD03247 | V. DASTAGEER</t>
  </si>
  <si>
    <t>LPD04923</t>
  </si>
  <si>
    <t>A. ROOPA</t>
  </si>
  <si>
    <t>LPD04923 | A. ROOPA</t>
  </si>
  <si>
    <t>LPD05352</t>
  </si>
  <si>
    <t>H. AHAMADI BANU</t>
  </si>
  <si>
    <t>LPD05352 | H. AHAMADI BANU</t>
  </si>
  <si>
    <t>LPD05455</t>
  </si>
  <si>
    <t>S. USHA</t>
  </si>
  <si>
    <t>LPD05455 | S. USHA</t>
  </si>
  <si>
    <t>LPD05496</t>
  </si>
  <si>
    <t>P. JAMUNA</t>
  </si>
  <si>
    <t>LPD05496 | P. JAMUNA</t>
  </si>
  <si>
    <t>LPD06058</t>
  </si>
  <si>
    <t>N. KALAIVANI</t>
  </si>
  <si>
    <t>LPD06058 | N. KALAIVANI</t>
  </si>
  <si>
    <t>LPD06232</t>
  </si>
  <si>
    <t>V. PARVATHI</t>
  </si>
  <si>
    <t>LPD06232 | V. PARVATHI</t>
  </si>
  <si>
    <t>LPD07631</t>
  </si>
  <si>
    <t>NAGAMMA</t>
  </si>
  <si>
    <t>LPD07631 | NAGAMMA</t>
  </si>
  <si>
    <t>LPD07671</t>
  </si>
  <si>
    <t>N. MUMTAJ BEGUM</t>
  </si>
  <si>
    <t>LPD07671 | N. MUMTAJ BEGUM</t>
  </si>
  <si>
    <t>LPD07673</t>
  </si>
  <si>
    <t>A. SHAKILA</t>
  </si>
  <si>
    <t>LPD07673 | A. SHAKILA</t>
  </si>
  <si>
    <t>LPD08422</t>
  </si>
  <si>
    <t>LPD08422 | VASANTHI</t>
  </si>
  <si>
    <t>LPD09050</t>
  </si>
  <si>
    <t>LPD09050 | V. VIJAYALAKSHMI</t>
  </si>
  <si>
    <t>LPDS95257</t>
  </si>
  <si>
    <t>R SUBITHA</t>
  </si>
  <si>
    <t>LPDS95257 | R SUBITHA</t>
  </si>
  <si>
    <t>LPDS95413</t>
  </si>
  <si>
    <t>JANANI G</t>
  </si>
  <si>
    <t>LPDS95413 | JANANI G</t>
  </si>
  <si>
    <t>LPDS95510</t>
  </si>
  <si>
    <t>FARZANA TAJ</t>
  </si>
  <si>
    <t>LPDS95510 | FARZANA TAJ</t>
  </si>
  <si>
    <t>LPDS95642</t>
  </si>
  <si>
    <t>A MUNNI</t>
  </si>
  <si>
    <t>LPDS95642 | A MUNNI</t>
  </si>
  <si>
    <t>LPDS95650</t>
  </si>
  <si>
    <t>DIVYABARATHI PURUSHOTHAMAN</t>
  </si>
  <si>
    <t>LPDS95650 | DIVYABARATHI PURUSHOTHAMAN</t>
  </si>
  <si>
    <t>LPDS95652</t>
  </si>
  <si>
    <t>NAGAVALLI APPAVU</t>
  </si>
  <si>
    <t>LPDS95652 | NAGAVALLI APPAVU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</si>
</sst>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0.0000"/>
  </numFmts>
  <fonts count="7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  <sz val="11"/>
    </font>
    <font>
      <sz val="11"/>
    </font>
    <font>
      <i/>
      <color rgb="FF6B7280"/>
      <sz val="10"/>
    </font>
    <font>
      <b/>
      <color rgb="FF1D6F42"/>
      <sz val="11"/>
    </font>
    <font>
      <b/>
      <color rgb="FFFFFFFF"/>
      <sz val="11"/>
    </font>
  </fonts>
  <fills count="11">
    <fill>
      <patternFill patternType="none"/>
    </fill>
    <fill>
      <patternFill patternType="gray125"/>
    </fill>
    <fill>
      <patternFill patternType="solid">
        <fgColor rgb="FF1D6F42"/>
      </patternFill>
    </fill>
    <fill>
      <patternFill patternType="solid">
        <fgColor rgb="FFF2F2F2"/>
      </patternFill>
    </fill>
    <fill>
      <patternFill/>
    </fill>
    <fill>
      <patternFill patternType="solid">
        <fgColor rgb="FFD1FAE5"/>
      </patternFill>
    </fill>
    <fill>
      <patternFill patternType="solid">
        <fgColor rgb="FFFFF9C4"/>
      </patternFill>
    </fill>
    <fill>
      <patternFill patternType="solid">
        <fgColor rgb="FF1E40AF"/>
      </patternFill>
    </fill>
    <fill>
      <patternFill patternType="solid">
        <fgColor rgb="FFFFFFFF"/>
      </patternFill>
    </fill>
    <fill>
      <patternFill patternType="solid">
        <fgColor rgb="FFEBEBEB"/>
      </patternFill>
    </fill>
    <fill>
      <patternFill patternType="solid">
        <fgColor rgb="FFE8F5E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4" fillId="4" borderId="0" xfId="0" applyFont="1" applyFill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left" vertical="center"/>
    </xf>
    <xf numFmtId="0" fontId="6" fillId="7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left" vertical="center"/>
    </xf>
    <xf numFmtId="2" fontId="0" fillId="8" borderId="1" xfId="0" applyNumberFormat="1" applyFill="1" applyBorder="1" applyAlignment="1">
      <alignment horizontal="center" vertical="center"/>
    </xf>
    <xf numFmtId="2" fontId="0" fillId="9" borderId="1" xfId="0" applyNumberFormat="1" applyFill="1" applyBorder="1" applyAlignment="1">
      <alignment horizontal="center" vertical="center"/>
    </xf>
    <xf numFmtId="164" fontId="0" fillId="9" borderId="1" xfId="0" applyNumberFormat="1" applyFill="1" applyBorder="1" applyAlignment="1">
      <alignment horizontal="center" vertical="center"/>
    </xf>
    <xf numFmtId="165" fontId="0" fillId="9" borderId="1" xfId="0" applyNumberFormat="1" applyFill="1" applyBorder="1" applyAlignment="1">
      <alignment horizontal="center" vertical="center"/>
    </xf>
    <xf numFmtId="0" fontId="0" fillId="10" borderId="1" xfId="0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L502"/>
  <sheetViews>
    <sheetView workbookViewId="0" zoomScale="100" zoomScaleNormal="100">
      <selection activeCell="A1" sqref="A1"/>
    </sheetView>
  </sheetViews>
  <sheetFormatPr defaultRowHeight="15" outlineLevelRow="0" outlineLevelCol="0" x14ac:dyDescent="0"/>
  <cols>
    <col min="1" max="1" width="14" customWidth="1"/>
    <col min="2" max="2" width="10" customWidth="1"/>
    <col min="3" max="3" width="16" customWidth="1"/>
    <col min="4" max="4" width="18" customWidth="1"/>
    <col min="5" max="5" width="36" customWidth="1"/>
    <col min="6" max="7" width="16" customWidth="1"/>
    <col min="8" max="8" width="14" customWidth="1"/>
    <col min="9" max="9" width="13" customWidth="1"/>
    <col min="10" max="10" width="12" customWidth="1"/>
    <col min="11" max="11" width="18" customWidth="1"/>
    <col min="12" max="12" width="28" customWidth="1"/>
  </cols>
  <sheetData>
    <row r="1" ht="30" customHeight="1" spans="1:12" x14ac:dyDescent="0.25">
      <c r="A1" s="1" t="s">
        <v>0</v>
      </c>
      <c r="B1"/>
      <c r="C1"/>
      <c r="D1"/>
      <c r="E1"/>
      <c r="F1"/>
      <c r="G1"/>
      <c r="H1"/>
      <c r="I1"/>
      <c r="J1"/>
      <c r="K1"/>
      <c r="L1"/>
    </row>
    <row r="2" ht="6" customHeight="1" x14ac:dyDescent="0.25"/>
    <row r="3" spans="1:12" x14ac:dyDescent="0.25">
      <c r="A3" s="2" t="s">
        <v>1</v>
      </c>
      <c r="B3" s="3" t="s">
        <v>2</v>
      </c>
      <c r="C3" s="4" t="s">
        <v>3</v>
      </c>
      <c r="D3"/>
      <c r="E3"/>
      <c r="F3"/>
      <c r="G3"/>
      <c r="H3"/>
      <c r="I3"/>
      <c r="J3"/>
      <c r="K3"/>
      <c r="L3"/>
    </row>
    <row r="4" spans="1:12" x14ac:dyDescent="0.25">
      <c r="A4" s="2" t="s">
        <v>4</v>
      </c>
      <c r="B4" s="3" t="s">
        <v>5</v>
      </c>
      <c r="C4" s="4" t="s">
        <v>6</v>
      </c>
      <c r="D4"/>
      <c r="E4"/>
      <c r="F4"/>
      <c r="G4"/>
      <c r="H4"/>
      <c r="I4"/>
      <c r="J4"/>
      <c r="K4"/>
      <c r="L4"/>
    </row>
    <row r="5" spans="1:12" x14ac:dyDescent="0.25">
      <c r="A5" s="2" t="s">
        <v>7</v>
      </c>
      <c r="B5" s="3" t="s">
        <v>8</v>
      </c>
      <c r="C5" s="4" t="s">
        <v>9</v>
      </c>
      <c r="D5"/>
      <c r="E5"/>
      <c r="F5"/>
      <c r="G5"/>
      <c r="H5"/>
      <c r="I5"/>
      <c r="J5"/>
      <c r="K5"/>
      <c r="L5"/>
    </row>
    <row r="6" spans="1:12" x14ac:dyDescent="0.25">
      <c r="A6" s="2" t="s">
        <v>10</v>
      </c>
      <c r="B6" s="3" t="s">
        <v>11</v>
      </c>
      <c r="C6" s="4" t="s">
        <v>12</v>
      </c>
      <c r="D6"/>
      <c r="E6"/>
      <c r="F6"/>
      <c r="G6"/>
      <c r="H6"/>
      <c r="I6"/>
      <c r="J6"/>
      <c r="K6"/>
      <c r="L6"/>
    </row>
    <row r="7" spans="1:12" x14ac:dyDescent="0.25">
      <c r="A7" s="2" t="s">
        <v>13</v>
      </c>
      <c r="B7" s="3" t="s">
        <v>14</v>
      </c>
      <c r="C7" s="4" t="s">
        <v>15</v>
      </c>
      <c r="D7"/>
      <c r="E7"/>
      <c r="F7"/>
      <c r="G7"/>
      <c r="H7"/>
      <c r="I7"/>
      <c r="J7"/>
      <c r="K7"/>
      <c r="L7"/>
    </row>
    <row r="8" spans="1:12" x14ac:dyDescent="0.25">
      <c r="A8" s="2" t="s">
        <v>16</v>
      </c>
      <c r="B8" s="3"/>
      <c r="C8" s="4" t="s">
        <v>17</v>
      </c>
      <c r="D8"/>
      <c r="E8"/>
      <c r="F8"/>
      <c r="G8"/>
      <c r="H8"/>
      <c r="I8"/>
      <c r="J8"/>
      <c r="K8"/>
      <c r="L8"/>
    </row>
    <row r="9" spans="1:12" x14ac:dyDescent="0.25">
      <c r="A9" s="2" t="s">
        <v>18</v>
      </c>
      <c r="B9" s="3" t="s">
        <v>19</v>
      </c>
      <c r="C9" s="4" t="s">
        <v>20</v>
      </c>
      <c r="D9"/>
      <c r="E9"/>
      <c r="F9"/>
      <c r="G9"/>
      <c r="H9"/>
      <c r="I9"/>
      <c r="J9"/>
      <c r="K9"/>
      <c r="L9"/>
    </row>
    <row r="10" spans="1:12" x14ac:dyDescent="0.25">
      <c r="A10" s="2" t="s">
        <v>21</v>
      </c>
      <c r="B10" s="3">
        <v>350</v>
      </c>
      <c r="C10" s="4" t="s">
        <v>22</v>
      </c>
      <c r="D10"/>
      <c r="E10"/>
      <c r="F10"/>
      <c r="G10"/>
      <c r="H10"/>
      <c r="I10"/>
      <c r="J10"/>
      <c r="K10"/>
      <c r="L10"/>
    </row>
    <row r="11" spans="1:12" x14ac:dyDescent="0.25">
      <c r="A11" s="2" t="s">
        <v>23</v>
      </c>
      <c r="B11" s="3"/>
      <c r="C11" s="4" t="s">
        <v>24</v>
      </c>
      <c r="D11"/>
      <c r="E11"/>
      <c r="F11"/>
      <c r="G11"/>
      <c r="H11"/>
      <c r="I11"/>
      <c r="J11"/>
      <c r="K11"/>
      <c r="L11"/>
    </row>
    <row r="12" spans="1:12" x14ac:dyDescent="0.25">
      <c r="A12" s="2" t="s">
        <v>25</v>
      </c>
      <c r="B12" s="3"/>
      <c r="C12" s="4" t="s">
        <v>26</v>
      </c>
      <c r="D12"/>
      <c r="E12"/>
      <c r="F12"/>
      <c r="G12"/>
      <c r="H12"/>
      <c r="I12"/>
      <c r="J12"/>
      <c r="K12"/>
      <c r="L12"/>
    </row>
    <row r="13" spans="1:12" x14ac:dyDescent="0.25">
      <c r="A13" s="2" t="s">
        <v>27</v>
      </c>
      <c r="B13" s="5" t="s">
        <v>28</v>
      </c>
      <c r="C13" s="4" t="s">
        <v>29</v>
      </c>
      <c r="D13"/>
      <c r="E13"/>
      <c r="F13"/>
      <c r="G13"/>
      <c r="H13"/>
      <c r="I13"/>
      <c r="J13"/>
      <c r="K13"/>
      <c r="L13"/>
    </row>
    <row r="14" spans="1:12" x14ac:dyDescent="0.25">
      <c r="A14" s="6" t="s">
        <v>30</v>
      </c>
      <c r="B14" s="7">
        <v>32400</v>
      </c>
      <c r="C14" s="4" t="s">
        <v>31</v>
      </c>
      <c r="D14"/>
      <c r="E14"/>
      <c r="F14"/>
      <c r="G14"/>
      <c r="H14"/>
      <c r="I14"/>
      <c r="J14"/>
      <c r="K14"/>
      <c r="L14"/>
    </row>
    <row r="15" ht="8" customHeight="1" x14ac:dyDescent="0.25"/>
    <row r="16" ht="22" customHeight="1" spans="1:12" x14ac:dyDescent="0.25">
      <c r="A16" s="8" t="s">
        <v>32</v>
      </c>
      <c r="B16" s="8" t="s">
        <v>33</v>
      </c>
      <c r="C16" s="8" t="s">
        <v>34</v>
      </c>
      <c r="D16" s="9" t="s">
        <v>35</v>
      </c>
      <c r="E16" s="8" t="s">
        <v>36</v>
      </c>
      <c r="F16" s="8" t="s">
        <v>37</v>
      </c>
      <c r="G16" s="9" t="s">
        <v>38</v>
      </c>
      <c r="H16" s="9" t="s">
        <v>39</v>
      </c>
      <c r="I16" s="9" t="s">
        <v>40</v>
      </c>
      <c r="J16" s="9" t="s">
        <v>41</v>
      </c>
      <c r="K16" s="9" t="s">
        <v>42</v>
      </c>
      <c r="L16" s="8" t="s">
        <v>43</v>
      </c>
    </row>
    <row r="17" ht="18" customHeight="1" spans="1:12" x14ac:dyDescent="0.25">
      <c r="A17" s="10" t="s">
        <v>44</v>
      </c>
      <c r="B17" s="10" t="s">
        <v>45</v>
      </c>
      <c r="C17" s="10" t="s">
        <v>46</v>
      </c>
      <c r="D17" s="11" t="s">
        <v>47</v>
      </c>
      <c r="E17" s="12" t="s">
        <v>48</v>
      </c>
      <c r="F17" s="13">
        <v>10</v>
      </c>
      <c r="G17" s="14">
        <f>=SUMIF($C$17:$C$502,C17,$F$17:$F$502)</f>
      </c>
      <c r="H17" s="14">
        <f>=IFERROR($B$14/$B$10,"")</f>
      </c>
      <c r="I17" s="15">
        <f>=IFERROR(G17/H17,"")</f>
      </c>
      <c r="J17" s="16">
        <v>0.002777777777777778</v>
      </c>
      <c r="K17" s="11" t="s">
        <v>49</v>
      </c>
      <c r="L17" s="12" t="s">
        <v>50</v>
      </c>
    </row>
    <row r="18" ht="18" customHeight="1" spans="1:12" x14ac:dyDescent="0.25">
      <c r="A18" s="10" t="s">
        <v>44</v>
      </c>
      <c r="B18" s="10" t="s">
        <v>51</v>
      </c>
      <c r="C18" s="10" t="s">
        <v>46</v>
      </c>
      <c r="D18" s="11" t="s">
        <v>52</v>
      </c>
      <c r="E18" s="12" t="s">
        <v>53</v>
      </c>
      <c r="F18" s="13">
        <v>25.5</v>
      </c>
      <c r="G18" s="14">
        <f>=SUMIF($C$17:$C$502,C18,$F$17:$F$502)</f>
      </c>
      <c r="H18" s="14">
        <f>=IFERROR($B$14/$B$10,"")</f>
      </c>
      <c r="I18" s="15">
        <f>=IFERROR(G18/H18,"")</f>
      </c>
      <c r="J18" s="16">
        <v>0.007083333333333333</v>
      </c>
      <c r="K18" s="11" t="s">
        <v>49</v>
      </c>
      <c r="L18" s="17" t="s">
        <v>50</v>
      </c>
    </row>
    <row r="19" ht="18" customHeight="1" spans="1:12" x14ac:dyDescent="0.25">
      <c r="A19" s="10" t="s">
        <v>44</v>
      </c>
      <c r="B19" s="10" t="s">
        <v>51</v>
      </c>
      <c r="C19" s="10" t="s">
        <v>46</v>
      </c>
      <c r="D19" s="11" t="s">
        <v>54</v>
      </c>
      <c r="E19" s="12" t="s">
        <v>55</v>
      </c>
      <c r="F19" s="13">
        <v>25.5</v>
      </c>
      <c r="G19" s="14">
        <f>=SUMIF($C$17:$C$502,C19,$F$17:$F$502)</f>
      </c>
      <c r="H19" s="14">
        <f>=IFERROR($B$14/$B$10,"")</f>
      </c>
      <c r="I19" s="15">
        <f>=IFERROR(G19/H19,"")</f>
      </c>
      <c r="J19" s="16">
        <v>0.007083333333333333</v>
      </c>
      <c r="K19" s="11" t="s">
        <v>49</v>
      </c>
      <c r="L19" s="17" t="s">
        <v>50</v>
      </c>
    </row>
    <row r="20" ht="18" customHeight="1" spans="1:12" x14ac:dyDescent="0.25">
      <c r="A20" s="10" t="s">
        <v>44</v>
      </c>
      <c r="B20" s="10" t="s">
        <v>51</v>
      </c>
      <c r="C20" s="10" t="s">
        <v>56</v>
      </c>
      <c r="D20" s="11" t="s">
        <v>47</v>
      </c>
      <c r="E20" s="12" t="s">
        <v>48</v>
      </c>
      <c r="F20" s="13">
        <v>10</v>
      </c>
      <c r="G20" s="14">
        <f>=SUMIF($C$17:$C$502,C20,$F$17:$F$502)</f>
      </c>
      <c r="H20" s="14">
        <f>=IFERROR($B$14/$B$10,"")</f>
      </c>
      <c r="I20" s="15">
        <f>=IFERROR(G20/H20,"")</f>
      </c>
      <c r="J20" s="16">
        <v>0.002777777777777778</v>
      </c>
      <c r="K20" s="11" t="s">
        <v>57</v>
      </c>
      <c r="L20" s="17" t="s">
        <v>58</v>
      </c>
    </row>
    <row r="21" ht="18" customHeight="1" spans="1:12" x14ac:dyDescent="0.25">
      <c r="A21" s="10" t="s">
        <v>44</v>
      </c>
      <c r="B21" s="10" t="s">
        <v>51</v>
      </c>
      <c r="C21" s="10" t="s">
        <v>56</v>
      </c>
      <c r="D21" s="11" t="s">
        <v>52</v>
      </c>
      <c r="E21" s="12" t="s">
        <v>53</v>
      </c>
      <c r="F21" s="13">
        <v>25.5</v>
      </c>
      <c r="G21" s="14">
        <f>=SUMIF($C$17:$C$502,C21,$F$17:$F$502)</f>
      </c>
      <c r="H21" s="14">
        <f>=IFERROR($B$14/$B$10,"")</f>
      </c>
      <c r="I21" s="15">
        <f>=IFERROR(G21/H21,"")</f>
      </c>
      <c r="J21" s="16">
        <v>0.007083333333333333</v>
      </c>
      <c r="K21" s="11" t="s">
        <v>57</v>
      </c>
      <c r="L21" s="17" t="s">
        <v>58</v>
      </c>
    </row>
    <row r="22" ht="18" customHeight="1" spans="1:12" x14ac:dyDescent="0.25">
      <c r="A22" s="10" t="s">
        <v>44</v>
      </c>
      <c r="B22" s="10" t="s">
        <v>51</v>
      </c>
      <c r="C22" s="10" t="s">
        <v>56</v>
      </c>
      <c r="D22" s="11" t="s">
        <v>54</v>
      </c>
      <c r="E22" s="12" t="s">
        <v>55</v>
      </c>
      <c r="F22" s="13">
        <v>25.5</v>
      </c>
      <c r="G22" s="14">
        <f>=SUMIF($C$17:$C$502,C22,$F$17:$F$502)</f>
      </c>
      <c r="H22" s="14">
        <f>=IFERROR($B$14/$B$10,"")</f>
      </c>
      <c r="I22" s="15">
        <f>=IFERROR(G22/H22,"")</f>
      </c>
      <c r="J22" s="16">
        <v>0.007083333333333333</v>
      </c>
      <c r="K22" s="11" t="s">
        <v>57</v>
      </c>
      <c r="L22" s="17" t="s">
        <v>58</v>
      </c>
    </row>
    <row r="23" ht="18" customHeight="1" spans="1:12" x14ac:dyDescent="0.25">
      <c r="A23" s="10" t="s">
        <v>44</v>
      </c>
      <c r="B23" s="10" t="s">
        <v>51</v>
      </c>
      <c r="C23" s="10" t="s">
        <v>59</v>
      </c>
      <c r="D23" s="11" t="s">
        <v>60</v>
      </c>
      <c r="E23" s="12" t="s">
        <v>61</v>
      </c>
      <c r="F23" s="13">
        <v>15</v>
      </c>
      <c r="G23" s="14">
        <f>=SUMIF($C$17:$C$502,C23,$F$17:$F$502)</f>
      </c>
      <c r="H23" s="14">
        <f>=IFERROR($B$14/$B$10,"")</f>
      </c>
      <c r="I23" s="15">
        <f>=IFERROR(G23/H23,"")</f>
      </c>
      <c r="J23" s="16">
        <v>0.004166666666666667</v>
      </c>
      <c r="K23" s="11" t="s">
        <v>57</v>
      </c>
      <c r="L23" s="17" t="s">
        <v>58</v>
      </c>
    </row>
    <row r="24" ht="18" customHeight="1" spans="1:12" x14ac:dyDescent="0.25">
      <c r="A24" s="10" t="s">
        <v>44</v>
      </c>
      <c r="B24" s="10" t="s">
        <v>51</v>
      </c>
      <c r="C24" s="10" t="s">
        <v>59</v>
      </c>
      <c r="D24" s="11" t="s">
        <v>62</v>
      </c>
      <c r="E24" s="12" t="s">
        <v>63</v>
      </c>
      <c r="F24" s="13">
        <v>16</v>
      </c>
      <c r="G24" s="14">
        <f>=SUMIF($C$17:$C$502,C24,$F$17:$F$502)</f>
      </c>
      <c r="H24" s="14">
        <f>=IFERROR($B$14/$B$10,"")</f>
      </c>
      <c r="I24" s="15">
        <f>=IFERROR(G24/H24,"")</f>
      </c>
      <c r="J24" s="16">
        <v>0.004444444444444444</v>
      </c>
      <c r="K24" s="11" t="s">
        <v>57</v>
      </c>
      <c r="L24" s="17" t="s">
        <v>58</v>
      </c>
    </row>
    <row r="25" ht="18" customHeight="1" spans="1:12" x14ac:dyDescent="0.25">
      <c r="A25" s="10" t="s">
        <v>44</v>
      </c>
      <c r="B25" s="10" t="s">
        <v>51</v>
      </c>
      <c r="C25" s="10" t="s">
        <v>59</v>
      </c>
      <c r="D25" s="11" t="s">
        <v>64</v>
      </c>
      <c r="E25" s="12" t="s">
        <v>65</v>
      </c>
      <c r="F25" s="13">
        <v>12</v>
      </c>
      <c r="G25" s="14">
        <f>=SUMIF($C$17:$C$502,C25,$F$17:$F$502)</f>
      </c>
      <c r="H25" s="14">
        <f>=IFERROR($B$14/$B$10,"")</f>
      </c>
      <c r="I25" s="15">
        <f>=IFERROR(G25/H25,"")</f>
      </c>
      <c r="J25" s="16">
        <v>0.003333333333333334</v>
      </c>
      <c r="K25" s="11" t="s">
        <v>57</v>
      </c>
      <c r="L25" s="17" t="s">
        <v>58</v>
      </c>
    </row>
    <row r="26" ht="18" customHeight="1" spans="1:12" x14ac:dyDescent="0.25">
      <c r="A26" s="10" t="s">
        <v>44</v>
      </c>
      <c r="B26" s="10" t="s">
        <v>51</v>
      </c>
      <c r="C26" s="10" t="s">
        <v>59</v>
      </c>
      <c r="D26" s="11" t="s">
        <v>66</v>
      </c>
      <c r="E26" s="12" t="s">
        <v>67</v>
      </c>
      <c r="F26" s="13">
        <v>8</v>
      </c>
      <c r="G26" s="14">
        <f>=SUMIF($C$17:$C$502,C26,$F$17:$F$502)</f>
      </c>
      <c r="H26" s="14">
        <f>=IFERROR($B$14/$B$10,"")</f>
      </c>
      <c r="I26" s="15">
        <f>=IFERROR(G26/H26,"")</f>
      </c>
      <c r="J26" s="16">
        <v>0.002222222222222222</v>
      </c>
      <c r="K26" s="11" t="s">
        <v>57</v>
      </c>
      <c r="L26" s="17" t="s">
        <v>58</v>
      </c>
    </row>
    <row r="27" ht="18" customHeight="1" spans="1:12" x14ac:dyDescent="0.25">
      <c r="A27" s="10" t="s">
        <v>44</v>
      </c>
      <c r="B27" s="10" t="s">
        <v>51</v>
      </c>
      <c r="C27" s="10" t="s">
        <v>59</v>
      </c>
      <c r="D27" s="11" t="s">
        <v>68</v>
      </c>
      <c r="E27" s="12" t="s">
        <v>69</v>
      </c>
      <c r="F27" s="13">
        <v>12</v>
      </c>
      <c r="G27" s="14">
        <f>=SUMIF($C$17:$C$502,C27,$F$17:$F$502)</f>
      </c>
      <c r="H27" s="14">
        <f>=IFERROR($B$14/$B$10,"")</f>
      </c>
      <c r="I27" s="15">
        <f>=IFERROR(G27/H27,"")</f>
      </c>
      <c r="J27" s="16">
        <v>0.003333333333333334</v>
      </c>
      <c r="K27" s="11" t="s">
        <v>57</v>
      </c>
      <c r="L27" s="17" t="s">
        <v>58</v>
      </c>
    </row>
    <row r="28" ht="18" customHeight="1" spans="1:12" x14ac:dyDescent="0.25">
      <c r="A28" s="10" t="s">
        <v>44</v>
      </c>
      <c r="B28" s="10" t="s">
        <v>51</v>
      </c>
      <c r="C28" s="10" t="s">
        <v>59</v>
      </c>
      <c r="D28" s="11" t="s">
        <v>70</v>
      </c>
      <c r="E28" s="12" t="s">
        <v>71</v>
      </c>
      <c r="F28" s="13">
        <v>12</v>
      </c>
      <c r="G28" s="14">
        <f>=SUMIF($C$17:$C$502,C28,$F$17:$F$502)</f>
      </c>
      <c r="H28" s="14">
        <f>=IFERROR($B$14/$B$10,"")</f>
      </c>
      <c r="I28" s="15">
        <f>=IFERROR(G28/H28,"")</f>
      </c>
      <c r="J28" s="16">
        <v>0.003333333333333334</v>
      </c>
      <c r="K28" s="11" t="s">
        <v>57</v>
      </c>
      <c r="L28" s="17" t="s">
        <v>58</v>
      </c>
    </row>
    <row r="29" ht="18" customHeight="1" spans="1:12" x14ac:dyDescent="0.25">
      <c r="A29" s="10" t="s">
        <v>44</v>
      </c>
      <c r="B29" s="10" t="s">
        <v>51</v>
      </c>
      <c r="C29" s="10" t="s">
        <v>72</v>
      </c>
      <c r="D29" s="11" t="s">
        <v>73</v>
      </c>
      <c r="E29" s="12" t="s">
        <v>74</v>
      </c>
      <c r="F29" s="13">
        <v>20</v>
      </c>
      <c r="G29" s="14">
        <f>=SUMIF($C$17:$C$502,C29,$F$17:$F$502)</f>
      </c>
      <c r="H29" s="14">
        <f>=IFERROR($B$14/$B$10,"")</f>
      </c>
      <c r="I29" s="15">
        <f>=IFERROR(G29/H29,"")</f>
      </c>
      <c r="J29" s="16">
        <v>0.005555555555555556</v>
      </c>
      <c r="K29" s="11" t="s">
        <v>75</v>
      </c>
      <c r="L29" s="17" t="s">
        <v>76</v>
      </c>
    </row>
    <row r="30" ht="18" customHeight="1" spans="1:12" x14ac:dyDescent="0.25">
      <c r="A30" s="10" t="s">
        <v>44</v>
      </c>
      <c r="B30" s="10" t="s">
        <v>51</v>
      </c>
      <c r="C30" s="10" t="s">
        <v>72</v>
      </c>
      <c r="D30" s="11" t="s">
        <v>77</v>
      </c>
      <c r="E30" s="12" t="s">
        <v>78</v>
      </c>
      <c r="F30" s="13">
        <v>12</v>
      </c>
      <c r="G30" s="14">
        <f>=SUMIF($C$17:$C$502,C30,$F$17:$F$502)</f>
      </c>
      <c r="H30" s="14">
        <f>=IFERROR($B$14/$B$10,"")</f>
      </c>
      <c r="I30" s="15">
        <f>=IFERROR(G30/H30,"")</f>
      </c>
      <c r="J30" s="16">
        <v>0.003333333333333334</v>
      </c>
      <c r="K30" s="11" t="s">
        <v>75</v>
      </c>
      <c r="L30" s="17" t="s">
        <v>76</v>
      </c>
    </row>
    <row r="31" ht="18" customHeight="1" spans="1:12" x14ac:dyDescent="0.25">
      <c r="A31" s="10" t="s">
        <v>44</v>
      </c>
      <c r="B31" s="10" t="s">
        <v>51</v>
      </c>
      <c r="C31" s="10" t="s">
        <v>72</v>
      </c>
      <c r="D31" s="11" t="s">
        <v>79</v>
      </c>
      <c r="E31" s="12" t="s">
        <v>80</v>
      </c>
      <c r="F31" s="13">
        <v>13.5</v>
      </c>
      <c r="G31" s="14">
        <f>=SUMIF($C$17:$C$502,C31,$F$17:$F$502)</f>
      </c>
      <c r="H31" s="14">
        <f>=IFERROR($B$14/$B$10,"")</f>
      </c>
      <c r="I31" s="15">
        <f>=IFERROR(G31/H31,"")</f>
      </c>
      <c r="J31" s="16">
        <v>0.00375</v>
      </c>
      <c r="K31" s="11" t="s">
        <v>75</v>
      </c>
      <c r="L31" s="17" t="s">
        <v>76</v>
      </c>
    </row>
    <row r="32" ht="18" customHeight="1" spans="1:12" x14ac:dyDescent="0.25">
      <c r="A32" s="10" t="s">
        <v>44</v>
      </c>
      <c r="B32" s="10" t="s">
        <v>51</v>
      </c>
      <c r="C32" s="10" t="s">
        <v>72</v>
      </c>
      <c r="D32" s="11" t="s">
        <v>81</v>
      </c>
      <c r="E32" s="12" t="s">
        <v>82</v>
      </c>
      <c r="F32" s="13">
        <v>5</v>
      </c>
      <c r="G32" s="14">
        <f>=SUMIF($C$17:$C$502,C32,$F$17:$F$502)</f>
      </c>
      <c r="H32" s="14">
        <f>=IFERROR($B$14/$B$10,"")</f>
      </c>
      <c r="I32" s="15">
        <f>=IFERROR(G32/H32,"")</f>
      </c>
      <c r="J32" s="16">
        <v>0.001388888888888889</v>
      </c>
      <c r="K32" s="11" t="s">
        <v>75</v>
      </c>
      <c r="L32" s="17" t="s">
        <v>76</v>
      </c>
    </row>
    <row r="33" ht="18" customHeight="1" spans="1:12" x14ac:dyDescent="0.25">
      <c r="A33" s="10" t="s">
        <v>44</v>
      </c>
      <c r="B33" s="10" t="s">
        <v>51</v>
      </c>
      <c r="C33" s="10" t="s">
        <v>83</v>
      </c>
      <c r="D33" s="11" t="s">
        <v>84</v>
      </c>
      <c r="E33" s="12" t="s">
        <v>85</v>
      </c>
      <c r="F33" s="13">
        <v>8</v>
      </c>
      <c r="G33" s="14">
        <f>=SUMIF($C$17:$C$502,C33,$F$17:$F$502)</f>
      </c>
      <c r="H33" s="14">
        <f>=IFERROR($B$14/$B$10,"")</f>
      </c>
      <c r="I33" s="15">
        <f>=IFERROR(G33/H33,"")</f>
      </c>
      <c r="J33" s="16">
        <v>0.002222222222222222</v>
      </c>
      <c r="K33" s="11" t="s">
        <v>86</v>
      </c>
      <c r="L33" s="17" t="s">
        <v>87</v>
      </c>
    </row>
    <row r="34" ht="18" customHeight="1" spans="1:12" x14ac:dyDescent="0.25">
      <c r="A34" s="10" t="s">
        <v>44</v>
      </c>
      <c r="B34" s="10" t="s">
        <v>51</v>
      </c>
      <c r="C34" s="10" t="s">
        <v>83</v>
      </c>
      <c r="D34" s="11" t="s">
        <v>84</v>
      </c>
      <c r="E34" s="12" t="s">
        <v>85</v>
      </c>
      <c r="F34" s="13">
        <v>8</v>
      </c>
      <c r="G34" s="14">
        <f>=SUMIF($C$17:$C$502,C34,$F$17:$F$502)</f>
      </c>
      <c r="H34" s="14">
        <f>=IFERROR($B$14/$B$10,"")</f>
      </c>
      <c r="I34" s="15">
        <f>=IFERROR(G34/H34,"")</f>
      </c>
      <c r="J34" s="16">
        <v>0.002222222222222222</v>
      </c>
      <c r="K34" s="11" t="s">
        <v>86</v>
      </c>
      <c r="L34" s="17" t="s">
        <v>87</v>
      </c>
    </row>
    <row r="35" ht="18" customHeight="1" spans="1:12" x14ac:dyDescent="0.25">
      <c r="A35" s="10" t="s">
        <v>44</v>
      </c>
      <c r="B35" s="10" t="s">
        <v>51</v>
      </c>
      <c r="C35" s="10" t="s">
        <v>83</v>
      </c>
      <c r="D35" s="11" t="s">
        <v>88</v>
      </c>
      <c r="E35" s="12" t="s">
        <v>89</v>
      </c>
      <c r="F35" s="13">
        <v>9</v>
      </c>
      <c r="G35" s="14">
        <f>=SUMIF($C$17:$C$502,C35,$F$17:$F$502)</f>
      </c>
      <c r="H35" s="14">
        <f>=IFERROR($B$14/$B$10,"")</f>
      </c>
      <c r="I35" s="15">
        <f>=IFERROR(G35/H35,"")</f>
      </c>
      <c r="J35" s="16">
        <v>0.0025</v>
      </c>
      <c r="K35" s="11" t="s">
        <v>86</v>
      </c>
      <c r="L35" s="17" t="s">
        <v>87</v>
      </c>
    </row>
    <row r="36" ht="18" customHeight="1" spans="1:12" x14ac:dyDescent="0.25">
      <c r="A36" s="10" t="s">
        <v>44</v>
      </c>
      <c r="B36" s="10" t="s">
        <v>51</v>
      </c>
      <c r="C36" s="10" t="s">
        <v>83</v>
      </c>
      <c r="D36" s="11" t="s">
        <v>88</v>
      </c>
      <c r="E36" s="12" t="s">
        <v>89</v>
      </c>
      <c r="F36" s="13">
        <v>9</v>
      </c>
      <c r="G36" s="14">
        <f>=SUMIF($C$17:$C$502,C36,$F$17:$F$502)</f>
      </c>
      <c r="H36" s="14">
        <f>=IFERROR($B$14/$B$10,"")</f>
      </c>
      <c r="I36" s="15">
        <f>=IFERROR(G36/H36,"")</f>
      </c>
      <c r="J36" s="16">
        <v>0.0025</v>
      </c>
      <c r="K36" s="11" t="s">
        <v>86</v>
      </c>
      <c r="L36" s="17" t="s">
        <v>87</v>
      </c>
    </row>
    <row r="37" ht="18" customHeight="1" spans="1:12" x14ac:dyDescent="0.25">
      <c r="A37" s="10" t="s">
        <v>44</v>
      </c>
      <c r="B37" s="10" t="s">
        <v>51</v>
      </c>
      <c r="C37" s="10" t="s">
        <v>90</v>
      </c>
      <c r="D37" s="11" t="s">
        <v>91</v>
      </c>
      <c r="E37" s="12" t="s">
        <v>92</v>
      </c>
      <c r="F37" s="13">
        <v>10</v>
      </c>
      <c r="G37" s="14">
        <f>=SUMIF($C$17:$C$502,C37,$F$17:$F$502)</f>
      </c>
      <c r="H37" s="14">
        <f>=IFERROR($B$14/$B$10,"")</f>
      </c>
      <c r="I37" s="15">
        <f>=IFERROR(G37/H37,"")</f>
      </c>
      <c r="J37" s="16">
        <v>0.002777777777777778</v>
      </c>
      <c r="K37" s="11" t="s">
        <v>93</v>
      </c>
      <c r="L37" s="17" t="s">
        <v>94</v>
      </c>
    </row>
    <row r="38" ht="18" customHeight="1" spans="1:12" x14ac:dyDescent="0.25">
      <c r="A38" s="10" t="s">
        <v>44</v>
      </c>
      <c r="B38" s="10" t="s">
        <v>51</v>
      </c>
      <c r="C38" s="10" t="s">
        <v>90</v>
      </c>
      <c r="D38" s="11" t="s">
        <v>95</v>
      </c>
      <c r="E38" s="12" t="s">
        <v>96</v>
      </c>
      <c r="F38" s="13">
        <v>7</v>
      </c>
      <c r="G38" s="14">
        <f>=SUMIF($C$17:$C$502,C38,$F$17:$F$502)</f>
      </c>
      <c r="H38" s="14">
        <f>=IFERROR($B$14/$B$10,"")</f>
      </c>
      <c r="I38" s="15">
        <f>=IFERROR(G38/H38,"")</f>
      </c>
      <c r="J38" s="16">
        <v>0.001944444444444444</v>
      </c>
      <c r="K38" s="11" t="s">
        <v>93</v>
      </c>
      <c r="L38" s="17" t="s">
        <v>94</v>
      </c>
    </row>
    <row r="39" ht="18" customHeight="1" spans="1:12" x14ac:dyDescent="0.25">
      <c r="A39" s="10" t="s">
        <v>44</v>
      </c>
      <c r="B39" s="10" t="s">
        <v>51</v>
      </c>
      <c r="C39" s="10" t="s">
        <v>90</v>
      </c>
      <c r="D39" s="11" t="s">
        <v>97</v>
      </c>
      <c r="E39" s="12" t="s">
        <v>98</v>
      </c>
      <c r="F39" s="13">
        <v>14</v>
      </c>
      <c r="G39" s="14">
        <f>=SUMIF($C$17:$C$502,C39,$F$17:$F$502)</f>
      </c>
      <c r="H39" s="14">
        <f>=IFERROR($B$14/$B$10,"")</f>
      </c>
      <c r="I39" s="15">
        <f>=IFERROR(G39/H39,"")</f>
      </c>
      <c r="J39" s="16">
        <v>0.003888888888888889</v>
      </c>
      <c r="K39" s="11" t="s">
        <v>93</v>
      </c>
      <c r="L39" s="17" t="s">
        <v>94</v>
      </c>
    </row>
    <row r="40" ht="18" customHeight="1" spans="1:12" x14ac:dyDescent="0.25">
      <c r="A40" s="10" t="s">
        <v>44</v>
      </c>
      <c r="B40" s="10" t="s">
        <v>51</v>
      </c>
      <c r="C40" s="10" t="s">
        <v>90</v>
      </c>
      <c r="D40" s="11" t="s">
        <v>99</v>
      </c>
      <c r="E40" s="12" t="s">
        <v>100</v>
      </c>
      <c r="F40" s="13">
        <v>10</v>
      </c>
      <c r="G40" s="14">
        <f>=SUMIF($C$17:$C$502,C40,$F$17:$F$502)</f>
      </c>
      <c r="H40" s="14">
        <f>=IFERROR($B$14/$B$10,"")</f>
      </c>
      <c r="I40" s="15">
        <f>=IFERROR(G40/H40,"")</f>
      </c>
      <c r="J40" s="16">
        <v>0.002777777777777778</v>
      </c>
      <c r="K40" s="11" t="s">
        <v>93</v>
      </c>
      <c r="L40" s="17" t="s">
        <v>94</v>
      </c>
    </row>
    <row r="41" ht="18" customHeight="1" spans="1:12" x14ac:dyDescent="0.25">
      <c r="A41" s="10" t="s">
        <v>44</v>
      </c>
      <c r="B41" s="10" t="s">
        <v>51</v>
      </c>
      <c r="C41" s="10" t="s">
        <v>90</v>
      </c>
      <c r="D41" s="11" t="s">
        <v>101</v>
      </c>
      <c r="E41" s="12" t="s">
        <v>102</v>
      </c>
      <c r="F41" s="13">
        <v>6</v>
      </c>
      <c r="G41" s="14">
        <f>=SUMIF($C$17:$C$502,C41,$F$17:$F$502)</f>
      </c>
      <c r="H41" s="14">
        <f>=IFERROR($B$14/$B$10,"")</f>
      </c>
      <c r="I41" s="15">
        <f>=IFERROR(G41/H41,"")</f>
      </c>
      <c r="J41" s="16">
        <v>0.001666666666666667</v>
      </c>
      <c r="K41" s="11" t="s">
        <v>93</v>
      </c>
      <c r="L41" s="17" t="s">
        <v>94</v>
      </c>
    </row>
    <row r="42" ht="18" customHeight="1" spans="1:12" x14ac:dyDescent="0.25">
      <c r="A42" s="10" t="s">
        <v>44</v>
      </c>
      <c r="B42" s="10" t="s">
        <v>51</v>
      </c>
      <c r="C42" s="10" t="s">
        <v>90</v>
      </c>
      <c r="D42" s="11" t="s">
        <v>103</v>
      </c>
      <c r="E42" s="12" t="s">
        <v>104</v>
      </c>
      <c r="F42" s="13">
        <v>6</v>
      </c>
      <c r="G42" s="14">
        <f>=SUMIF($C$17:$C$502,C42,$F$17:$F$502)</f>
      </c>
      <c r="H42" s="14">
        <f>=IFERROR($B$14/$B$10,"")</f>
      </c>
      <c r="I42" s="15">
        <f>=IFERROR(G42/H42,"")</f>
      </c>
      <c r="J42" s="16">
        <v>0.001666666666666667</v>
      </c>
      <c r="K42" s="11" t="s">
        <v>93</v>
      </c>
      <c r="L42" s="17" t="s">
        <v>94</v>
      </c>
    </row>
    <row r="43" ht="18" customHeight="1" spans="1:12" x14ac:dyDescent="0.25">
      <c r="A43" s="10" t="s">
        <v>44</v>
      </c>
      <c r="B43" s="10" t="s">
        <v>51</v>
      </c>
      <c r="C43" s="10" t="s">
        <v>90</v>
      </c>
      <c r="D43" s="11" t="s">
        <v>105</v>
      </c>
      <c r="E43" s="12" t="s">
        <v>106</v>
      </c>
      <c r="F43" s="13">
        <v>8</v>
      </c>
      <c r="G43" s="14">
        <f>=SUMIF($C$17:$C$502,C43,$F$17:$F$502)</f>
      </c>
      <c r="H43" s="14">
        <f>=IFERROR($B$14/$B$10,"")</f>
      </c>
      <c r="I43" s="15">
        <f>=IFERROR(G43/H43,"")</f>
      </c>
      <c r="J43" s="16">
        <v>0.002222222222222222</v>
      </c>
      <c r="K43" s="11" t="s">
        <v>93</v>
      </c>
      <c r="L43" s="17" t="s">
        <v>94</v>
      </c>
    </row>
    <row r="44" ht="18" customHeight="1" spans="1:12" x14ac:dyDescent="0.25">
      <c r="A44" s="10" t="s">
        <v>44</v>
      </c>
      <c r="B44" s="10" t="s">
        <v>51</v>
      </c>
      <c r="C44" s="10" t="s">
        <v>90</v>
      </c>
      <c r="D44" s="11" t="s">
        <v>107</v>
      </c>
      <c r="E44" s="12" t="s">
        <v>108</v>
      </c>
      <c r="F44" s="13">
        <v>8</v>
      </c>
      <c r="G44" s="14">
        <f>=SUMIF($C$17:$C$502,C44,$F$17:$F$502)</f>
      </c>
      <c r="H44" s="14">
        <f>=IFERROR($B$14/$B$10,"")</f>
      </c>
      <c r="I44" s="15">
        <f>=IFERROR(G44/H44,"")</f>
      </c>
      <c r="J44" s="16">
        <v>0.002222222222222222</v>
      </c>
      <c r="K44" s="11" t="s">
        <v>93</v>
      </c>
      <c r="L44" s="17" t="s">
        <v>94</v>
      </c>
    </row>
    <row r="45" ht="18" customHeight="1" spans="1:12" x14ac:dyDescent="0.25">
      <c r="A45" s="10" t="s">
        <v>44</v>
      </c>
      <c r="B45" s="10" t="s">
        <v>51</v>
      </c>
      <c r="C45" s="10" t="s">
        <v>109</v>
      </c>
      <c r="D45" s="11" t="s">
        <v>110</v>
      </c>
      <c r="E45" s="12" t="s">
        <v>111</v>
      </c>
      <c r="F45" s="13">
        <v>4</v>
      </c>
      <c r="G45" s="14">
        <f>=SUMIF($C$17:$C$502,C45,$F$17:$F$502)</f>
      </c>
      <c r="H45" s="14">
        <f>=IFERROR($B$14/$B$10,"")</f>
      </c>
      <c r="I45" s="15">
        <f>=IFERROR(G45/H45,"")</f>
      </c>
      <c r="J45" s="16">
        <v>0.001111111111111111</v>
      </c>
      <c r="K45" s="11" t="s">
        <v>112</v>
      </c>
      <c r="L45" s="17" t="s">
        <v>113</v>
      </c>
    </row>
    <row r="46" ht="18" customHeight="1" spans="1:12" x14ac:dyDescent="0.25">
      <c r="A46" s="10" t="s">
        <v>44</v>
      </c>
      <c r="B46" s="10" t="s">
        <v>51</v>
      </c>
      <c r="C46" s="10" t="s">
        <v>109</v>
      </c>
      <c r="D46" s="11" t="s">
        <v>114</v>
      </c>
      <c r="E46" s="12" t="s">
        <v>115</v>
      </c>
      <c r="F46" s="13">
        <v>5</v>
      </c>
      <c r="G46" s="14">
        <f>=SUMIF($C$17:$C$502,C46,$F$17:$F$502)</f>
      </c>
      <c r="H46" s="14">
        <f>=IFERROR($B$14/$B$10,"")</f>
      </c>
      <c r="I46" s="15">
        <f>=IFERROR(G46/H46,"")</f>
      </c>
      <c r="J46" s="16">
        <v>0.001388888888888889</v>
      </c>
      <c r="K46" s="11" t="s">
        <v>112</v>
      </c>
      <c r="L46" s="17" t="s">
        <v>113</v>
      </c>
    </row>
    <row r="47" ht="18" customHeight="1" spans="1:12" x14ac:dyDescent="0.25">
      <c r="A47" s="10" t="s">
        <v>44</v>
      </c>
      <c r="B47" s="10" t="s">
        <v>51</v>
      </c>
      <c r="C47" s="10" t="s">
        <v>109</v>
      </c>
      <c r="D47" s="11" t="s">
        <v>116</v>
      </c>
      <c r="E47" s="12" t="s">
        <v>117</v>
      </c>
      <c r="F47" s="13">
        <v>10</v>
      </c>
      <c r="G47" s="14">
        <f>=SUMIF($C$17:$C$502,C47,$F$17:$F$502)</f>
      </c>
      <c r="H47" s="14">
        <f>=IFERROR($B$14/$B$10,"")</f>
      </c>
      <c r="I47" s="15">
        <f>=IFERROR(G47/H47,"")</f>
      </c>
      <c r="J47" s="16">
        <v>0.002777777777777778</v>
      </c>
      <c r="K47" s="11" t="s">
        <v>112</v>
      </c>
      <c r="L47" s="17" t="s">
        <v>113</v>
      </c>
    </row>
    <row r="48" ht="18" customHeight="1" spans="1:12" x14ac:dyDescent="0.25">
      <c r="A48" s="10" t="s">
        <v>44</v>
      </c>
      <c r="B48" s="10" t="s">
        <v>51</v>
      </c>
      <c r="C48" s="10" t="s">
        <v>109</v>
      </c>
      <c r="D48" s="11" t="s">
        <v>118</v>
      </c>
      <c r="E48" s="12" t="s">
        <v>119</v>
      </c>
      <c r="F48" s="13">
        <v>10</v>
      </c>
      <c r="G48" s="14">
        <f>=SUMIF($C$17:$C$502,C48,$F$17:$F$502)</f>
      </c>
      <c r="H48" s="14">
        <f>=IFERROR($B$14/$B$10,"")</f>
      </c>
      <c r="I48" s="15">
        <f>=IFERROR(G48/H48,"")</f>
      </c>
      <c r="J48" s="16">
        <v>0.002777777777777778</v>
      </c>
      <c r="K48" s="11" t="s">
        <v>112</v>
      </c>
      <c r="L48" s="17" t="s">
        <v>113</v>
      </c>
    </row>
    <row r="49" ht="18" customHeight="1" spans="1:12" x14ac:dyDescent="0.25">
      <c r="A49" s="10" t="s">
        <v>44</v>
      </c>
      <c r="B49" s="10" t="s">
        <v>51</v>
      </c>
      <c r="C49" s="10" t="s">
        <v>109</v>
      </c>
      <c r="D49" s="11" t="s">
        <v>120</v>
      </c>
      <c r="E49" s="12" t="s">
        <v>121</v>
      </c>
      <c r="F49" s="13">
        <v>10</v>
      </c>
      <c r="G49" s="14">
        <f>=SUMIF($C$17:$C$502,C49,$F$17:$F$502)</f>
      </c>
      <c r="H49" s="14">
        <f>=IFERROR($B$14/$B$10,"")</f>
      </c>
      <c r="I49" s="15">
        <f>=IFERROR(G49/H49,"")</f>
      </c>
      <c r="J49" s="16">
        <v>0.002777777777777778</v>
      </c>
      <c r="K49" s="11" t="s">
        <v>112</v>
      </c>
      <c r="L49" s="17" t="s">
        <v>113</v>
      </c>
    </row>
    <row r="50" ht="18" customHeight="1" spans="1:12" x14ac:dyDescent="0.25">
      <c r="A50" s="10" t="s">
        <v>44</v>
      </c>
      <c r="B50" s="10" t="s">
        <v>51</v>
      </c>
      <c r="C50" s="10" t="s">
        <v>109</v>
      </c>
      <c r="D50" s="11" t="s">
        <v>118</v>
      </c>
      <c r="E50" s="12" t="s">
        <v>119</v>
      </c>
      <c r="F50" s="13">
        <v>8</v>
      </c>
      <c r="G50" s="14">
        <f>=SUMIF($C$17:$C$502,C50,$F$17:$F$502)</f>
      </c>
      <c r="H50" s="14">
        <f>=IFERROR($B$14/$B$10,"")</f>
      </c>
      <c r="I50" s="15">
        <f>=IFERROR(G50/H50,"")</f>
      </c>
      <c r="J50" s="16">
        <v>0.002222222222222222</v>
      </c>
      <c r="K50" s="11" t="s">
        <v>112</v>
      </c>
      <c r="L50" s="17" t="s">
        <v>113</v>
      </c>
    </row>
    <row r="51" ht="18" customHeight="1" spans="1:12" x14ac:dyDescent="0.25">
      <c r="A51" s="10" t="s">
        <v>44</v>
      </c>
      <c r="B51" s="10" t="s">
        <v>51</v>
      </c>
      <c r="C51" s="10" t="s">
        <v>109</v>
      </c>
      <c r="D51" s="11" t="s">
        <v>122</v>
      </c>
      <c r="E51" s="12" t="s">
        <v>123</v>
      </c>
      <c r="F51" s="13">
        <v>8</v>
      </c>
      <c r="G51" s="14">
        <f>=SUMIF($C$17:$C$502,C51,$F$17:$F$502)</f>
      </c>
      <c r="H51" s="14">
        <f>=IFERROR($B$14/$B$10,"")</f>
      </c>
      <c r="I51" s="15">
        <f>=IFERROR(G51/H51,"")</f>
      </c>
      <c r="J51" s="16">
        <v>0.002222222222222222</v>
      </c>
      <c r="K51" s="11" t="s">
        <v>112</v>
      </c>
      <c r="L51" s="17" t="s">
        <v>113</v>
      </c>
    </row>
    <row r="52" ht="18" customHeight="1" spans="1:12" x14ac:dyDescent="0.25">
      <c r="A52" s="10" t="s">
        <v>44</v>
      </c>
      <c r="B52" s="10" t="s">
        <v>51</v>
      </c>
      <c r="C52" s="10" t="s">
        <v>109</v>
      </c>
      <c r="D52" s="11" t="s">
        <v>124</v>
      </c>
      <c r="E52" s="12" t="s">
        <v>125</v>
      </c>
      <c r="F52" s="13">
        <v>10</v>
      </c>
      <c r="G52" s="14">
        <f>=SUMIF($C$17:$C$502,C52,$F$17:$F$502)</f>
      </c>
      <c r="H52" s="14">
        <f>=IFERROR($B$14/$B$10,"")</f>
      </c>
      <c r="I52" s="15">
        <f>=IFERROR(G52/H52,"")</f>
      </c>
      <c r="J52" s="16">
        <v>0.002777777777777778</v>
      </c>
      <c r="K52" s="11" t="s">
        <v>112</v>
      </c>
      <c r="L52" s="17" t="s">
        <v>113</v>
      </c>
    </row>
    <row r="53" ht="18" customHeight="1" spans="1:12" x14ac:dyDescent="0.25">
      <c r="A53" s="10" t="s">
        <v>44</v>
      </c>
      <c r="B53" s="10" t="s">
        <v>51</v>
      </c>
      <c r="C53" s="10" t="s">
        <v>126</v>
      </c>
      <c r="D53" s="11" t="s">
        <v>127</v>
      </c>
      <c r="E53" s="12" t="s">
        <v>128</v>
      </c>
      <c r="F53" s="13">
        <v>14</v>
      </c>
      <c r="G53" s="14">
        <f>=SUMIF($C$17:$C$502,C53,$F$17:$F$502)</f>
      </c>
      <c r="H53" s="14">
        <f>=IFERROR($B$14/$B$10,"")</f>
      </c>
      <c r="I53" s="15">
        <f>=IFERROR(G53/H53,"")</f>
      </c>
      <c r="J53" s="16">
        <v>0.003888888888888889</v>
      </c>
      <c r="K53" s="11" t="s">
        <v>129</v>
      </c>
      <c r="L53" s="17" t="s">
        <v>130</v>
      </c>
    </row>
    <row r="54" ht="18" customHeight="1" spans="1:12" x14ac:dyDescent="0.25">
      <c r="A54" s="10" t="s">
        <v>44</v>
      </c>
      <c r="B54" s="10" t="s">
        <v>51</v>
      </c>
      <c r="C54" s="10" t="s">
        <v>126</v>
      </c>
      <c r="D54" s="11" t="s">
        <v>131</v>
      </c>
      <c r="E54" s="12" t="s">
        <v>132</v>
      </c>
      <c r="F54" s="13">
        <v>16</v>
      </c>
      <c r="G54" s="14">
        <f>=SUMIF($C$17:$C$502,C54,$F$17:$F$502)</f>
      </c>
      <c r="H54" s="14">
        <f>=IFERROR($B$14/$B$10,"")</f>
      </c>
      <c r="I54" s="15">
        <f>=IFERROR(G54/H54,"")</f>
      </c>
      <c r="J54" s="16">
        <v>0.004444444444444444</v>
      </c>
      <c r="K54" s="11" t="s">
        <v>129</v>
      </c>
      <c r="L54" s="17" t="s">
        <v>130</v>
      </c>
    </row>
    <row r="55" ht="18" customHeight="1" spans="1:12" x14ac:dyDescent="0.25">
      <c r="A55" s="10" t="s">
        <v>44</v>
      </c>
      <c r="B55" s="10" t="s">
        <v>51</v>
      </c>
      <c r="C55" s="10" t="s">
        <v>126</v>
      </c>
      <c r="D55" s="11" t="s">
        <v>133</v>
      </c>
      <c r="E55" s="12" t="s">
        <v>134</v>
      </c>
      <c r="F55" s="13">
        <v>18</v>
      </c>
      <c r="G55" s="14">
        <f>=SUMIF($C$17:$C$502,C55,$F$17:$F$502)</f>
      </c>
      <c r="H55" s="14">
        <f>=IFERROR($B$14/$B$10,"")</f>
      </c>
      <c r="I55" s="15">
        <f>=IFERROR(G55/H55,"")</f>
      </c>
      <c r="J55" s="16">
        <v>0.005</v>
      </c>
      <c r="K55" s="11" t="s">
        <v>129</v>
      </c>
      <c r="L55" s="17" t="s">
        <v>130</v>
      </c>
    </row>
    <row r="56" ht="18" customHeight="1" spans="1:12" x14ac:dyDescent="0.25">
      <c r="A56" s="10" t="s">
        <v>44</v>
      </c>
      <c r="B56" s="10" t="s">
        <v>51</v>
      </c>
      <c r="C56" s="10" t="s">
        <v>126</v>
      </c>
      <c r="D56" s="11" t="s">
        <v>135</v>
      </c>
      <c r="E56" s="12" t="s">
        <v>136</v>
      </c>
      <c r="F56" s="13">
        <v>7</v>
      </c>
      <c r="G56" s="14">
        <f>=SUMIF($C$17:$C$502,C56,$F$17:$F$502)</f>
      </c>
      <c r="H56" s="14">
        <f>=IFERROR($B$14/$B$10,"")</f>
      </c>
      <c r="I56" s="15">
        <f>=IFERROR(G56/H56,"")</f>
      </c>
      <c r="J56" s="16">
        <v>0.001944444444444444</v>
      </c>
      <c r="K56" s="11" t="s">
        <v>129</v>
      </c>
      <c r="L56" s="17" t="s">
        <v>130</v>
      </c>
    </row>
    <row r="57" ht="18" customHeight="1" spans="1:12" x14ac:dyDescent="0.25">
      <c r="A57" s="10" t="s">
        <v>137</v>
      </c>
      <c r="B57" s="10" t="s">
        <v>45</v>
      </c>
      <c r="C57" s="10" t="s">
        <v>138</v>
      </c>
      <c r="D57" s="11" t="s">
        <v>139</v>
      </c>
      <c r="E57" s="12" t="s">
        <v>140</v>
      </c>
      <c r="F57" s="13">
        <v>24</v>
      </c>
      <c r="G57" s="14">
        <f>=SUMIF($C$17:$C$502,C57,$F$17:$F$502)</f>
      </c>
      <c r="H57" s="14">
        <f>=IFERROR($B$14/$B$10,"")</f>
      </c>
      <c r="I57" s="15">
        <f>=IFERROR(G57/H57,"")</f>
      </c>
      <c r="J57" s="16">
        <v>0.006666666666666667</v>
      </c>
      <c r="K57" s="11" t="s">
        <v>141</v>
      </c>
      <c r="L57" s="17" t="s">
        <v>142</v>
      </c>
    </row>
    <row r="58" ht="18" customHeight="1" spans="1:12" x14ac:dyDescent="0.25">
      <c r="A58" s="10" t="s">
        <v>137</v>
      </c>
      <c r="B58" s="10" t="s">
        <v>51</v>
      </c>
      <c r="C58" s="10" t="s">
        <v>138</v>
      </c>
      <c r="D58" s="11" t="s">
        <v>143</v>
      </c>
      <c r="E58" s="12" t="s">
        <v>144</v>
      </c>
      <c r="F58" s="13">
        <v>20</v>
      </c>
      <c r="G58" s="14">
        <f>=SUMIF($C$17:$C$502,C58,$F$17:$F$502)</f>
      </c>
      <c r="H58" s="14">
        <f>=IFERROR($B$14/$B$10,"")</f>
      </c>
      <c r="I58" s="15">
        <f>=IFERROR(G58/H58,"")</f>
      </c>
      <c r="J58" s="16">
        <v>0.005555555555555556</v>
      </c>
      <c r="K58" s="11" t="s">
        <v>141</v>
      </c>
      <c r="L58" s="17" t="s">
        <v>142</v>
      </c>
    </row>
    <row r="59" ht="18" customHeight="1" spans="1:12" x14ac:dyDescent="0.25">
      <c r="A59" s="10" t="s">
        <v>137</v>
      </c>
      <c r="B59" s="10" t="s">
        <v>51</v>
      </c>
      <c r="C59" s="10" t="s">
        <v>138</v>
      </c>
      <c r="D59" s="11" t="s">
        <v>145</v>
      </c>
      <c r="E59" s="12" t="s">
        <v>146</v>
      </c>
      <c r="F59" s="13">
        <v>12</v>
      </c>
      <c r="G59" s="14">
        <f>=SUMIF($C$17:$C$502,C59,$F$17:$F$502)</f>
      </c>
      <c r="H59" s="14">
        <f>=IFERROR($B$14/$B$10,"")</f>
      </c>
      <c r="I59" s="15">
        <f>=IFERROR(G59/H59,"")</f>
      </c>
      <c r="J59" s="16">
        <v>0.003333333333333334</v>
      </c>
      <c r="K59" s="11" t="s">
        <v>141</v>
      </c>
      <c r="L59" s="17" t="s">
        <v>142</v>
      </c>
    </row>
    <row r="60" ht="18" customHeight="1" spans="1:12" x14ac:dyDescent="0.25">
      <c r="A60" s="10" t="s">
        <v>137</v>
      </c>
      <c r="B60" s="10" t="s">
        <v>51</v>
      </c>
      <c r="C60" s="10" t="s">
        <v>147</v>
      </c>
      <c r="D60" s="11" t="s">
        <v>148</v>
      </c>
      <c r="E60" s="12" t="s">
        <v>149</v>
      </c>
      <c r="F60" s="13">
        <v>12</v>
      </c>
      <c r="G60" s="14">
        <f>=SUMIF($C$17:$C$502,C60,$F$17:$F$502)</f>
      </c>
      <c r="H60" s="14">
        <f>=IFERROR($B$14/$B$10,"")</f>
      </c>
      <c r="I60" s="15">
        <f>=IFERROR(G60/H60,"")</f>
      </c>
      <c r="J60" s="16">
        <v>0.003333333333333334</v>
      </c>
      <c r="K60" s="11" t="s">
        <v>150</v>
      </c>
      <c r="L60" s="17" t="s">
        <v>151</v>
      </c>
    </row>
    <row r="61" ht="18" customHeight="1" spans="1:12" x14ac:dyDescent="0.25">
      <c r="A61" s="10" t="s">
        <v>137</v>
      </c>
      <c r="B61" s="10" t="s">
        <v>51</v>
      </c>
      <c r="C61" s="10" t="s">
        <v>147</v>
      </c>
      <c r="D61" s="11" t="s">
        <v>152</v>
      </c>
      <c r="E61" s="12" t="s">
        <v>153</v>
      </c>
      <c r="F61" s="13">
        <v>28</v>
      </c>
      <c r="G61" s="14">
        <f>=SUMIF($C$17:$C$502,C61,$F$17:$F$502)</f>
      </c>
      <c r="H61" s="14">
        <f>=IFERROR($B$14/$B$10,"")</f>
      </c>
      <c r="I61" s="15">
        <f>=IFERROR(G61/H61,"")</f>
      </c>
      <c r="J61" s="16">
        <v>0.007777777777777778</v>
      </c>
      <c r="K61" s="11" t="s">
        <v>150</v>
      </c>
      <c r="L61" s="17" t="s">
        <v>151</v>
      </c>
    </row>
    <row r="62" ht="18" customHeight="1" spans="1:12" x14ac:dyDescent="0.25">
      <c r="A62" s="10" t="s">
        <v>44</v>
      </c>
      <c r="B62" s="10" t="s">
        <v>51</v>
      </c>
      <c r="C62" s="10" t="s">
        <v>154</v>
      </c>
      <c r="D62" s="11" t="s">
        <v>155</v>
      </c>
      <c r="E62" s="12" t="s">
        <v>156</v>
      </c>
      <c r="F62" s="13">
        <v>7</v>
      </c>
      <c r="G62" s="14">
        <f>=SUMIF($C$17:$C$502,C62,$F$17:$F$502)</f>
      </c>
      <c r="H62" s="14">
        <f>=IFERROR($B$14/$B$10,"")</f>
      </c>
      <c r="I62" s="15">
        <f>=IFERROR(G62/H62,"")</f>
      </c>
      <c r="J62" s="16">
        <v>0.001944444444444444</v>
      </c>
      <c r="K62" s="11" t="s">
        <v>157</v>
      </c>
      <c r="L62" s="17" t="s">
        <v>158</v>
      </c>
    </row>
    <row r="63" ht="18" customHeight="1" spans="1:12" x14ac:dyDescent="0.25">
      <c r="A63" s="10" t="s">
        <v>44</v>
      </c>
      <c r="B63" s="10" t="s">
        <v>51</v>
      </c>
      <c r="C63" s="10" t="s">
        <v>154</v>
      </c>
      <c r="D63" s="11" t="s">
        <v>155</v>
      </c>
      <c r="E63" s="12" t="s">
        <v>156</v>
      </c>
      <c r="F63" s="13">
        <v>7</v>
      </c>
      <c r="G63" s="14">
        <f>=SUMIF($C$17:$C$502,C63,$F$17:$F$502)</f>
      </c>
      <c r="H63" s="14">
        <f>=IFERROR($B$14/$B$10,"")</f>
      </c>
      <c r="I63" s="15">
        <f>=IFERROR(G63/H63,"")</f>
      </c>
      <c r="J63" s="16">
        <v>0.001944444444444444</v>
      </c>
      <c r="K63" s="11" t="s">
        <v>157</v>
      </c>
      <c r="L63" s="17" t="s">
        <v>158</v>
      </c>
    </row>
    <row r="64" ht="18" customHeight="1" spans="1:12" x14ac:dyDescent="0.25">
      <c r="A64" s="10" t="s">
        <v>44</v>
      </c>
      <c r="B64" s="10" t="s">
        <v>51</v>
      </c>
      <c r="C64" s="10" t="s">
        <v>154</v>
      </c>
      <c r="D64" s="11" t="s">
        <v>155</v>
      </c>
      <c r="E64" s="12" t="s">
        <v>156</v>
      </c>
      <c r="F64" s="13">
        <v>8</v>
      </c>
      <c r="G64" s="14">
        <f>=SUMIF($C$17:$C$502,C64,$F$17:$F$502)</f>
      </c>
      <c r="H64" s="14">
        <f>=IFERROR($B$14/$B$10,"")</f>
      </c>
      <c r="I64" s="15">
        <f>=IFERROR(G64/H64,"")</f>
      </c>
      <c r="J64" s="16">
        <v>0.002222222222222222</v>
      </c>
      <c r="K64" s="11" t="s">
        <v>157</v>
      </c>
      <c r="L64" s="17" t="s">
        <v>158</v>
      </c>
    </row>
    <row r="65" ht="18" customHeight="1" spans="1:12" x14ac:dyDescent="0.25">
      <c r="A65" s="10" t="s">
        <v>44</v>
      </c>
      <c r="B65" s="10" t="s">
        <v>51</v>
      </c>
      <c r="C65" s="10" t="s">
        <v>154</v>
      </c>
      <c r="D65" s="11" t="s">
        <v>155</v>
      </c>
      <c r="E65" s="12" t="s">
        <v>156</v>
      </c>
      <c r="F65" s="13">
        <v>8</v>
      </c>
      <c r="G65" s="14">
        <f>=SUMIF($C$17:$C$502,C65,$F$17:$F$502)</f>
      </c>
      <c r="H65" s="14">
        <f>=IFERROR($B$14/$B$10,"")</f>
      </c>
      <c r="I65" s="15">
        <f>=IFERROR(G65/H65,"")</f>
      </c>
      <c r="J65" s="16">
        <v>0.002222222222222222</v>
      </c>
      <c r="K65" s="11" t="s">
        <v>157</v>
      </c>
      <c r="L65" s="17" t="s">
        <v>158</v>
      </c>
    </row>
    <row r="66" ht="18" customHeight="1" spans="1:12" x14ac:dyDescent="0.25">
      <c r="A66" s="10" t="s">
        <v>44</v>
      </c>
      <c r="B66" s="10" t="s">
        <v>51</v>
      </c>
      <c r="C66" s="10" t="s">
        <v>154</v>
      </c>
      <c r="D66" s="11" t="s">
        <v>159</v>
      </c>
      <c r="E66" s="12" t="s">
        <v>160</v>
      </c>
      <c r="F66" s="13">
        <v>8</v>
      </c>
      <c r="G66" s="14">
        <f>=SUMIF($C$17:$C$502,C66,$F$17:$F$502)</f>
      </c>
      <c r="H66" s="14">
        <f>=IFERROR($B$14/$B$10,"")</f>
      </c>
      <c r="I66" s="15">
        <f>=IFERROR(G66/H66,"")</f>
      </c>
      <c r="J66" s="16">
        <v>0.002222222222222222</v>
      </c>
      <c r="K66" s="11" t="s">
        <v>157</v>
      </c>
      <c r="L66" s="17" t="s">
        <v>158</v>
      </c>
    </row>
    <row r="67" ht="18" customHeight="1" spans="1:12" x14ac:dyDescent="0.25">
      <c r="A67" s="10" t="s">
        <v>44</v>
      </c>
      <c r="B67" s="10" t="s">
        <v>51</v>
      </c>
      <c r="C67" s="10" t="s">
        <v>154</v>
      </c>
      <c r="D67" s="11" t="s">
        <v>155</v>
      </c>
      <c r="E67" s="12" t="s">
        <v>156</v>
      </c>
      <c r="F67" s="13">
        <v>6</v>
      </c>
      <c r="G67" s="14">
        <f>=SUMIF($C$17:$C$502,C67,$F$17:$F$502)</f>
      </c>
      <c r="H67" s="14">
        <f>=IFERROR($B$14/$B$10,"")</f>
      </c>
      <c r="I67" s="15">
        <f>=IFERROR(G67/H67,"")</f>
      </c>
      <c r="J67" s="16">
        <v>0.001666666666666667</v>
      </c>
      <c r="K67" s="11" t="s">
        <v>157</v>
      </c>
      <c r="L67" s="17" t="s">
        <v>158</v>
      </c>
    </row>
    <row r="68" ht="18" customHeight="1" spans="1:12" x14ac:dyDescent="0.25">
      <c r="A68" s="10" t="s">
        <v>137</v>
      </c>
      <c r="B68" s="10" t="s">
        <v>51</v>
      </c>
      <c r="C68" s="10" t="s">
        <v>161</v>
      </c>
      <c r="D68" s="11" t="s">
        <v>162</v>
      </c>
      <c r="E68" s="12" t="s">
        <v>163</v>
      </c>
      <c r="F68" s="13">
        <v>8</v>
      </c>
      <c r="G68" s="14">
        <f>=SUMIF($C$17:$C$502,C68,$F$17:$F$502)</f>
      </c>
      <c r="H68" s="14">
        <f>=IFERROR($B$14/$B$10,"")</f>
      </c>
      <c r="I68" s="15">
        <f>=IFERROR(G68/H68,"")</f>
      </c>
      <c r="J68" s="16">
        <v>0.002222222222222222</v>
      </c>
      <c r="K68" s="11" t="s">
        <v>164</v>
      </c>
      <c r="L68" s="17" t="s">
        <v>165</v>
      </c>
    </row>
    <row r="69" ht="18" customHeight="1" spans="1:12" x14ac:dyDescent="0.25">
      <c r="A69" s="10" t="s">
        <v>137</v>
      </c>
      <c r="B69" s="10" t="s">
        <v>51</v>
      </c>
      <c r="C69" s="10" t="s">
        <v>161</v>
      </c>
      <c r="D69" s="11" t="s">
        <v>47</v>
      </c>
      <c r="E69" s="12" t="s">
        <v>48</v>
      </c>
      <c r="F69" s="13">
        <v>11</v>
      </c>
      <c r="G69" s="14">
        <f>=SUMIF($C$17:$C$502,C69,$F$17:$F$502)</f>
      </c>
      <c r="H69" s="14">
        <f>=IFERROR($B$14/$B$10,"")</f>
      </c>
      <c r="I69" s="15">
        <f>=IFERROR(G69/H69,"")</f>
      </c>
      <c r="J69" s="16">
        <v>0.003055555555555556</v>
      </c>
      <c r="K69" s="11" t="s">
        <v>164</v>
      </c>
      <c r="L69" s="17" t="s">
        <v>165</v>
      </c>
    </row>
    <row r="70" ht="18" customHeight="1" spans="1:12" x14ac:dyDescent="0.25">
      <c r="A70" s="10" t="s">
        <v>137</v>
      </c>
      <c r="B70" s="10" t="s">
        <v>51</v>
      </c>
      <c r="C70" s="10" t="s">
        <v>161</v>
      </c>
      <c r="D70" s="11" t="s">
        <v>166</v>
      </c>
      <c r="E70" s="12" t="s">
        <v>167</v>
      </c>
      <c r="F70" s="13">
        <v>14</v>
      </c>
      <c r="G70" s="14">
        <f>=SUMIF($C$17:$C$502,C70,$F$17:$F$502)</f>
      </c>
      <c r="H70" s="14">
        <f>=IFERROR($B$14/$B$10,"")</f>
      </c>
      <c r="I70" s="15">
        <f>=IFERROR(G70/H70,"")</f>
      </c>
      <c r="J70" s="16">
        <v>0.003888888888888889</v>
      </c>
      <c r="K70" s="11" t="s">
        <v>164</v>
      </c>
      <c r="L70" s="17" t="s">
        <v>165</v>
      </c>
    </row>
    <row r="71" ht="18" customHeight="1" spans="1:12" x14ac:dyDescent="0.25">
      <c r="A71" s="10" t="s">
        <v>137</v>
      </c>
      <c r="B71" s="10" t="s">
        <v>51</v>
      </c>
      <c r="C71" s="10" t="s">
        <v>161</v>
      </c>
      <c r="D71" s="11" t="s">
        <v>166</v>
      </c>
      <c r="E71" s="12" t="s">
        <v>167</v>
      </c>
      <c r="F71" s="13">
        <v>14</v>
      </c>
      <c r="G71" s="14">
        <f>=SUMIF($C$17:$C$502,C71,$F$17:$F$502)</f>
      </c>
      <c r="H71" s="14">
        <f>=IFERROR($B$14/$B$10,"")</f>
      </c>
      <c r="I71" s="15">
        <f>=IFERROR(G71/H71,"")</f>
      </c>
      <c r="J71" s="16">
        <v>0.003888888888888889</v>
      </c>
      <c r="K71" s="11" t="s">
        <v>164</v>
      </c>
      <c r="L71" s="17" t="s">
        <v>165</v>
      </c>
    </row>
    <row r="72" ht="18" customHeight="1" spans="1:12" x14ac:dyDescent="0.25">
      <c r="A72" s="10" t="s">
        <v>137</v>
      </c>
      <c r="B72" s="10" t="s">
        <v>51</v>
      </c>
      <c r="C72" s="10" t="s">
        <v>161</v>
      </c>
      <c r="D72" s="11" t="s">
        <v>168</v>
      </c>
      <c r="E72" s="12" t="s">
        <v>169</v>
      </c>
      <c r="F72" s="13">
        <v>14</v>
      </c>
      <c r="G72" s="14">
        <f>=SUMIF($C$17:$C$502,C72,$F$17:$F$502)</f>
      </c>
      <c r="H72" s="14">
        <f>=IFERROR($B$14/$B$10,"")</f>
      </c>
      <c r="I72" s="15">
        <f>=IFERROR(G72/H72,"")</f>
      </c>
      <c r="J72" s="16">
        <v>0.003888888888888889</v>
      </c>
      <c r="K72" s="11" t="s">
        <v>164</v>
      </c>
      <c r="L72" s="17" t="s">
        <v>165</v>
      </c>
    </row>
    <row r="73" ht="18" customHeight="1" spans="1:12" x14ac:dyDescent="0.25">
      <c r="A73" s="10" t="s">
        <v>44</v>
      </c>
      <c r="B73" s="10" t="s">
        <v>51</v>
      </c>
      <c r="C73" s="10" t="s">
        <v>170</v>
      </c>
      <c r="D73" s="11" t="s">
        <v>171</v>
      </c>
      <c r="E73" s="12" t="s">
        <v>172</v>
      </c>
      <c r="F73" s="13">
        <v>10</v>
      </c>
      <c r="G73" s="14">
        <f>=SUMIF($C$17:$C$502,C73,$F$17:$F$502)</f>
      </c>
      <c r="H73" s="14">
        <f>=IFERROR($B$14/$B$10,"")</f>
      </c>
      <c r="I73" s="15">
        <f>=IFERROR(G73/H73,"")</f>
      </c>
      <c r="J73" s="16">
        <v>0.002777777777777778</v>
      </c>
      <c r="K73" s="11" t="s">
        <v>173</v>
      </c>
      <c r="L73" s="17" t="s">
        <v>174</v>
      </c>
    </row>
    <row r="74" ht="18" customHeight="1" spans="1:12" x14ac:dyDescent="0.25">
      <c r="A74" s="10" t="s">
        <v>44</v>
      </c>
      <c r="B74" s="10" t="s">
        <v>51</v>
      </c>
      <c r="C74" s="10" t="s">
        <v>175</v>
      </c>
      <c r="D74" s="11" t="s">
        <v>171</v>
      </c>
      <c r="E74" s="12" t="s">
        <v>172</v>
      </c>
      <c r="F74" s="13">
        <v>10</v>
      </c>
      <c r="G74" s="14">
        <f>=SUMIF($C$17:$C$502,C74,$F$17:$F$502)</f>
      </c>
      <c r="H74" s="14">
        <f>=IFERROR($B$14/$B$10,"")</f>
      </c>
      <c r="I74" s="15">
        <f>=IFERROR(G74/H74,"")</f>
      </c>
      <c r="J74" s="16">
        <v>0.002777777777777778</v>
      </c>
      <c r="K74" s="11" t="s">
        <v>176</v>
      </c>
      <c r="L74" s="17" t="s">
        <v>177</v>
      </c>
    </row>
    <row r="75" ht="18" customHeight="1" spans="1:12" x14ac:dyDescent="0.25">
      <c r="A75" s="10" t="s">
        <v>44</v>
      </c>
      <c r="B75" s="10" t="s">
        <v>51</v>
      </c>
      <c r="C75" s="10" t="s">
        <v>170</v>
      </c>
      <c r="D75" s="11" t="s">
        <v>178</v>
      </c>
      <c r="E75" s="12" t="s">
        <v>179</v>
      </c>
      <c r="F75" s="13">
        <v>10</v>
      </c>
      <c r="G75" s="14">
        <f>=SUMIF($C$17:$C$502,C75,$F$17:$F$502)</f>
      </c>
      <c r="H75" s="14">
        <f>=IFERROR($B$14/$B$10,"")</f>
      </c>
      <c r="I75" s="15">
        <f>=IFERROR(G75/H75,"")</f>
      </c>
      <c r="J75" s="16">
        <v>0.002777777777777778</v>
      </c>
      <c r="K75" s="11" t="s">
        <v>173</v>
      </c>
      <c r="L75" s="17" t="s">
        <v>174</v>
      </c>
    </row>
    <row r="76" ht="18" customHeight="1" spans="1:12" x14ac:dyDescent="0.25">
      <c r="A76" s="10" t="s">
        <v>44</v>
      </c>
      <c r="B76" s="10" t="s">
        <v>51</v>
      </c>
      <c r="C76" s="10" t="s">
        <v>175</v>
      </c>
      <c r="D76" s="11" t="s">
        <v>178</v>
      </c>
      <c r="E76" s="12" t="s">
        <v>179</v>
      </c>
      <c r="F76" s="13">
        <v>10</v>
      </c>
      <c r="G76" s="14">
        <f>=SUMIF($C$17:$C$502,C76,$F$17:$F$502)</f>
      </c>
      <c r="H76" s="14">
        <f>=IFERROR($B$14/$B$10,"")</f>
      </c>
      <c r="I76" s="15">
        <f>=IFERROR(G76/H76,"")</f>
      </c>
      <c r="J76" s="16">
        <v>0.002777777777777778</v>
      </c>
      <c r="K76" s="11" t="s">
        <v>176</v>
      </c>
      <c r="L76" s="17" t="s">
        <v>177</v>
      </c>
    </row>
    <row r="77" ht="18" customHeight="1" spans="1:12" x14ac:dyDescent="0.25">
      <c r="A77" s="10" t="s">
        <v>44</v>
      </c>
      <c r="B77" s="10" t="s">
        <v>51</v>
      </c>
      <c r="C77" s="10" t="s">
        <v>170</v>
      </c>
      <c r="D77" s="11" t="s">
        <v>180</v>
      </c>
      <c r="E77" s="12" t="s">
        <v>181</v>
      </c>
      <c r="F77" s="13">
        <v>10</v>
      </c>
      <c r="G77" s="14">
        <f>=SUMIF($C$17:$C$502,C77,$F$17:$F$502)</f>
      </c>
      <c r="H77" s="14">
        <f>=IFERROR($B$14/$B$10,"")</f>
      </c>
      <c r="I77" s="15">
        <f>=IFERROR(G77/H77,"")</f>
      </c>
      <c r="J77" s="16">
        <v>0.002777777777777778</v>
      </c>
      <c r="K77" s="11" t="s">
        <v>173</v>
      </c>
      <c r="L77" s="17" t="s">
        <v>174</v>
      </c>
    </row>
    <row r="78" ht="18" customHeight="1" spans="1:12" x14ac:dyDescent="0.25">
      <c r="A78" s="10" t="s">
        <v>44</v>
      </c>
      <c r="B78" s="10" t="s">
        <v>51</v>
      </c>
      <c r="C78" s="10" t="s">
        <v>175</v>
      </c>
      <c r="D78" s="11" t="s">
        <v>180</v>
      </c>
      <c r="E78" s="12" t="s">
        <v>181</v>
      </c>
      <c r="F78" s="13">
        <v>10</v>
      </c>
      <c r="G78" s="14">
        <f>=SUMIF($C$17:$C$502,C78,$F$17:$F$502)</f>
      </c>
      <c r="H78" s="14">
        <f>=IFERROR($B$14/$B$10,"")</f>
      </c>
      <c r="I78" s="15">
        <f>=IFERROR(G78/H78,"")</f>
      </c>
      <c r="J78" s="16">
        <v>0.002777777777777778</v>
      </c>
      <c r="K78" s="11" t="s">
        <v>176</v>
      </c>
      <c r="L78" s="17" t="s">
        <v>177</v>
      </c>
    </row>
    <row r="79" ht="18" customHeight="1" spans="1:12" x14ac:dyDescent="0.25">
      <c r="A79" s="10" t="s">
        <v>44</v>
      </c>
      <c r="B79" s="10" t="s">
        <v>51</v>
      </c>
      <c r="C79" s="10" t="s">
        <v>170</v>
      </c>
      <c r="D79" s="11" t="s">
        <v>182</v>
      </c>
      <c r="E79" s="12" t="s">
        <v>183</v>
      </c>
      <c r="F79" s="13">
        <v>4</v>
      </c>
      <c r="G79" s="14">
        <f>=SUMIF($C$17:$C$502,C79,$F$17:$F$502)</f>
      </c>
      <c r="H79" s="14">
        <f>=IFERROR($B$14/$B$10,"")</f>
      </c>
      <c r="I79" s="15">
        <f>=IFERROR(G79/H79,"")</f>
      </c>
      <c r="J79" s="16">
        <v>0.001111111111111111</v>
      </c>
      <c r="K79" s="11" t="s">
        <v>173</v>
      </c>
      <c r="L79" s="17" t="s">
        <v>174</v>
      </c>
    </row>
    <row r="80" ht="18" customHeight="1" spans="1:12" x14ac:dyDescent="0.25">
      <c r="A80" s="10" t="s">
        <v>44</v>
      </c>
      <c r="B80" s="10" t="s">
        <v>51</v>
      </c>
      <c r="C80" s="10" t="s">
        <v>175</v>
      </c>
      <c r="D80" s="11" t="s">
        <v>182</v>
      </c>
      <c r="E80" s="12" t="s">
        <v>183</v>
      </c>
      <c r="F80" s="13">
        <v>4</v>
      </c>
      <c r="G80" s="14">
        <f>=SUMIF($C$17:$C$502,C80,$F$17:$F$502)</f>
      </c>
      <c r="H80" s="14">
        <f>=IFERROR($B$14/$B$10,"")</f>
      </c>
      <c r="I80" s="15">
        <f>=IFERROR(G80/H80,"")</f>
      </c>
      <c r="J80" s="16">
        <v>0.001111111111111111</v>
      </c>
      <c r="K80" s="11" t="s">
        <v>176</v>
      </c>
      <c r="L80" s="17" t="s">
        <v>177</v>
      </c>
    </row>
    <row r="81" ht="18" customHeight="1" spans="1:12" x14ac:dyDescent="0.25">
      <c r="A81" s="10" t="s">
        <v>44</v>
      </c>
      <c r="B81" s="10" t="s">
        <v>51</v>
      </c>
      <c r="C81" s="10" t="s">
        <v>170</v>
      </c>
      <c r="D81" s="11" t="s">
        <v>168</v>
      </c>
      <c r="E81" s="12" t="s">
        <v>169</v>
      </c>
      <c r="F81" s="13">
        <v>10</v>
      </c>
      <c r="G81" s="14">
        <f>=SUMIF($C$17:$C$502,C81,$F$17:$F$502)</f>
      </c>
      <c r="H81" s="14">
        <f>=IFERROR($B$14/$B$10,"")</f>
      </c>
      <c r="I81" s="15">
        <f>=IFERROR(G81/H81,"")</f>
      </c>
      <c r="J81" s="16">
        <v>0.002777777777777778</v>
      </c>
      <c r="K81" s="11" t="s">
        <v>173</v>
      </c>
      <c r="L81" s="17" t="s">
        <v>174</v>
      </c>
    </row>
    <row r="82" ht="18" customHeight="1" spans="1:12" x14ac:dyDescent="0.25">
      <c r="A82" s="10" t="s">
        <v>44</v>
      </c>
      <c r="B82" s="10" t="s">
        <v>51</v>
      </c>
      <c r="C82" s="10" t="s">
        <v>175</v>
      </c>
      <c r="D82" s="11" t="s">
        <v>168</v>
      </c>
      <c r="E82" s="12" t="s">
        <v>169</v>
      </c>
      <c r="F82" s="13">
        <v>10</v>
      </c>
      <c r="G82" s="14">
        <f>=SUMIF($C$17:$C$502,C82,$F$17:$F$502)</f>
      </c>
      <c r="H82" s="14">
        <f>=IFERROR($B$14/$B$10,"")</f>
      </c>
      <c r="I82" s="15">
        <f>=IFERROR(G82/H82,"")</f>
      </c>
      <c r="J82" s="16">
        <v>0.002777777777777778</v>
      </c>
      <c r="K82" s="11" t="s">
        <v>176</v>
      </c>
      <c r="L82" s="17" t="s">
        <v>177</v>
      </c>
    </row>
    <row r="83" ht="18" customHeight="1" spans="1:12" x14ac:dyDescent="0.25">
      <c r="A83" s="10" t="s">
        <v>44</v>
      </c>
      <c r="B83" s="10" t="s">
        <v>51</v>
      </c>
      <c r="C83" s="10" t="s">
        <v>170</v>
      </c>
      <c r="D83" s="11" t="s">
        <v>171</v>
      </c>
      <c r="E83" s="12" t="s">
        <v>172</v>
      </c>
      <c r="F83" s="13">
        <v>10</v>
      </c>
      <c r="G83" s="14">
        <f>=SUMIF($C$17:$C$502,C83,$F$17:$F$502)</f>
      </c>
      <c r="H83" s="14">
        <f>=IFERROR($B$14/$B$10,"")</f>
      </c>
      <c r="I83" s="15">
        <f>=IFERROR(G83/H83,"")</f>
      </c>
      <c r="J83" s="16">
        <v>0.002777777777777778</v>
      </c>
      <c r="K83" s="11" t="s">
        <v>173</v>
      </c>
      <c r="L83" s="17" t="s">
        <v>174</v>
      </c>
    </row>
    <row r="84" ht="18" customHeight="1" spans="1:12" x14ac:dyDescent="0.25">
      <c r="A84" s="10" t="s">
        <v>44</v>
      </c>
      <c r="B84" s="10" t="s">
        <v>51</v>
      </c>
      <c r="C84" s="10" t="s">
        <v>175</v>
      </c>
      <c r="D84" s="11" t="s">
        <v>171</v>
      </c>
      <c r="E84" s="12" t="s">
        <v>172</v>
      </c>
      <c r="F84" s="13">
        <v>10</v>
      </c>
      <c r="G84" s="14">
        <f>=SUMIF($C$17:$C$502,C84,$F$17:$F$502)</f>
      </c>
      <c r="H84" s="14">
        <f>=IFERROR($B$14/$B$10,"")</f>
      </c>
      <c r="I84" s="15">
        <f>=IFERROR(G84/H84,"")</f>
      </c>
      <c r="J84" s="16">
        <v>0.002777777777777778</v>
      </c>
      <c r="K84" s="11" t="s">
        <v>176</v>
      </c>
      <c r="L84" s="17" t="s">
        <v>177</v>
      </c>
    </row>
    <row r="85" ht="18" customHeight="1" spans="1:12" x14ac:dyDescent="0.25">
      <c r="A85" s="10" t="s">
        <v>44</v>
      </c>
      <c r="B85" s="10" t="s">
        <v>51</v>
      </c>
      <c r="C85" s="10" t="s">
        <v>170</v>
      </c>
      <c r="D85" s="11" t="s">
        <v>178</v>
      </c>
      <c r="E85" s="12" t="s">
        <v>179</v>
      </c>
      <c r="F85" s="13">
        <v>10</v>
      </c>
      <c r="G85" s="14">
        <f>=SUMIF($C$17:$C$502,C85,$F$17:$F$502)</f>
      </c>
      <c r="H85" s="14">
        <f>=IFERROR($B$14/$B$10,"")</f>
      </c>
      <c r="I85" s="15">
        <f>=IFERROR(G85/H85,"")</f>
      </c>
      <c r="J85" s="16">
        <v>0.002777777777777778</v>
      </c>
      <c r="K85" s="11" t="s">
        <v>173</v>
      </c>
      <c r="L85" s="17" t="s">
        <v>174</v>
      </c>
    </row>
    <row r="86" ht="18" customHeight="1" spans="1:12" x14ac:dyDescent="0.25">
      <c r="A86" s="10" t="s">
        <v>44</v>
      </c>
      <c r="B86" s="10" t="s">
        <v>51</v>
      </c>
      <c r="C86" s="10" t="s">
        <v>175</v>
      </c>
      <c r="D86" s="11" t="s">
        <v>178</v>
      </c>
      <c r="E86" s="12" t="s">
        <v>179</v>
      </c>
      <c r="F86" s="13">
        <v>10</v>
      </c>
      <c r="G86" s="14">
        <f>=SUMIF($C$17:$C$502,C86,$F$17:$F$502)</f>
      </c>
      <c r="H86" s="14">
        <f>=IFERROR($B$14/$B$10,"")</f>
      </c>
      <c r="I86" s="15">
        <f>=IFERROR(G86/H86,"")</f>
      </c>
      <c r="J86" s="16">
        <v>0.002777777777777778</v>
      </c>
      <c r="K86" s="11" t="s">
        <v>176</v>
      </c>
      <c r="L86" s="17" t="s">
        <v>177</v>
      </c>
    </row>
    <row r="87" ht="18" customHeight="1" spans="1:12" x14ac:dyDescent="0.25">
      <c r="A87" s="10" t="s">
        <v>44</v>
      </c>
      <c r="B87" s="10" t="s">
        <v>51</v>
      </c>
      <c r="C87" s="10" t="s">
        <v>170</v>
      </c>
      <c r="D87" s="11" t="s">
        <v>180</v>
      </c>
      <c r="E87" s="12" t="s">
        <v>181</v>
      </c>
      <c r="F87" s="13">
        <v>10</v>
      </c>
      <c r="G87" s="14">
        <f>=SUMIF($C$17:$C$502,C87,$F$17:$F$502)</f>
      </c>
      <c r="H87" s="14">
        <f>=IFERROR($B$14/$B$10,"")</f>
      </c>
      <c r="I87" s="15">
        <f>=IFERROR(G87/H87,"")</f>
      </c>
      <c r="J87" s="16">
        <v>0.002777777777777778</v>
      </c>
      <c r="K87" s="11" t="s">
        <v>173</v>
      </c>
      <c r="L87" s="17" t="s">
        <v>174</v>
      </c>
    </row>
    <row r="88" ht="18" customHeight="1" spans="1:12" x14ac:dyDescent="0.25">
      <c r="A88" s="10" t="s">
        <v>44</v>
      </c>
      <c r="B88" s="10" t="s">
        <v>51</v>
      </c>
      <c r="C88" s="10" t="s">
        <v>175</v>
      </c>
      <c r="D88" s="11" t="s">
        <v>180</v>
      </c>
      <c r="E88" s="12" t="s">
        <v>181</v>
      </c>
      <c r="F88" s="13">
        <v>10</v>
      </c>
      <c r="G88" s="14">
        <f>=SUMIF($C$17:$C$502,C88,$F$17:$F$502)</f>
      </c>
      <c r="H88" s="14">
        <f>=IFERROR($B$14/$B$10,"")</f>
      </c>
      <c r="I88" s="15">
        <f>=IFERROR(G88/H88,"")</f>
      </c>
      <c r="J88" s="16">
        <v>0.002777777777777778</v>
      </c>
      <c r="K88" s="11" t="s">
        <v>176</v>
      </c>
      <c r="L88" s="17" t="s">
        <v>177</v>
      </c>
    </row>
    <row r="89" ht="18" customHeight="1" spans="1:12" x14ac:dyDescent="0.25">
      <c r="A89" s="10" t="s">
        <v>44</v>
      </c>
      <c r="B89" s="10" t="s">
        <v>51</v>
      </c>
      <c r="C89" s="10" t="s">
        <v>170</v>
      </c>
      <c r="D89" s="11" t="s">
        <v>182</v>
      </c>
      <c r="E89" s="12" t="s">
        <v>183</v>
      </c>
      <c r="F89" s="13">
        <v>4</v>
      </c>
      <c r="G89" s="14">
        <f>=SUMIF($C$17:$C$502,C89,$F$17:$F$502)</f>
      </c>
      <c r="H89" s="14">
        <f>=IFERROR($B$14/$B$10,"")</f>
      </c>
      <c r="I89" s="15">
        <f>=IFERROR(G89/H89,"")</f>
      </c>
      <c r="J89" s="16">
        <v>0.001111111111111111</v>
      </c>
      <c r="K89" s="11" t="s">
        <v>173</v>
      </c>
      <c r="L89" s="17" t="s">
        <v>174</v>
      </c>
    </row>
    <row r="90" ht="18" customHeight="1" spans="1:12" x14ac:dyDescent="0.25">
      <c r="A90" s="10" t="s">
        <v>44</v>
      </c>
      <c r="B90" s="10" t="s">
        <v>51</v>
      </c>
      <c r="C90" s="10" t="s">
        <v>175</v>
      </c>
      <c r="D90" s="11" t="s">
        <v>182</v>
      </c>
      <c r="E90" s="12" t="s">
        <v>183</v>
      </c>
      <c r="F90" s="13">
        <v>4</v>
      </c>
      <c r="G90" s="14">
        <f>=SUMIF($C$17:$C$502,C90,$F$17:$F$502)</f>
      </c>
      <c r="H90" s="14">
        <f>=IFERROR($B$14/$B$10,"")</f>
      </c>
      <c r="I90" s="15">
        <f>=IFERROR(G90/H90,"")</f>
      </c>
      <c r="J90" s="16">
        <v>0.001111111111111111</v>
      </c>
      <c r="K90" s="11" t="s">
        <v>176</v>
      </c>
      <c r="L90" s="17" t="s">
        <v>177</v>
      </c>
    </row>
    <row r="91" ht="18" customHeight="1" spans="1:12" x14ac:dyDescent="0.25">
      <c r="A91" s="10" t="s">
        <v>44</v>
      </c>
      <c r="B91" s="10" t="s">
        <v>51</v>
      </c>
      <c r="C91" s="10" t="s">
        <v>170</v>
      </c>
      <c r="D91" s="11" t="s">
        <v>168</v>
      </c>
      <c r="E91" s="12" t="s">
        <v>169</v>
      </c>
      <c r="F91" s="13">
        <v>10</v>
      </c>
      <c r="G91" s="14">
        <f>=SUMIF($C$17:$C$502,C91,$F$17:$F$502)</f>
      </c>
      <c r="H91" s="14">
        <f>=IFERROR($B$14/$B$10,"")</f>
      </c>
      <c r="I91" s="15">
        <f>=IFERROR(G91/H91,"")</f>
      </c>
      <c r="J91" s="16">
        <v>0.002777777777777778</v>
      </c>
      <c r="K91" s="11" t="s">
        <v>173</v>
      </c>
      <c r="L91" s="17" t="s">
        <v>174</v>
      </c>
    </row>
    <row r="92" ht="18" customHeight="1" spans="1:12" x14ac:dyDescent="0.25">
      <c r="A92" s="10" t="s">
        <v>44</v>
      </c>
      <c r="B92" s="10" t="s">
        <v>51</v>
      </c>
      <c r="C92" s="10" t="s">
        <v>175</v>
      </c>
      <c r="D92" s="11" t="s">
        <v>168</v>
      </c>
      <c r="E92" s="12" t="s">
        <v>169</v>
      </c>
      <c r="F92" s="13">
        <v>10</v>
      </c>
      <c r="G92" s="14">
        <f>=SUMIF($C$17:$C$502,C92,$F$17:$F$502)</f>
      </c>
      <c r="H92" s="14">
        <f>=IFERROR($B$14/$B$10,"")</f>
      </c>
      <c r="I92" s="15">
        <f>=IFERROR(G92/H92,"")</f>
      </c>
      <c r="J92" s="16">
        <v>0.002777777777777778</v>
      </c>
      <c r="K92" s="11" t="s">
        <v>176</v>
      </c>
      <c r="L92" s="17" t="s">
        <v>177</v>
      </c>
    </row>
    <row r="93" ht="18" customHeight="1" spans="1:12" x14ac:dyDescent="0.25">
      <c r="A93" s="10" t="s">
        <v>44</v>
      </c>
      <c r="B93" s="10" t="s">
        <v>51</v>
      </c>
      <c r="C93" s="10" t="s">
        <v>170</v>
      </c>
      <c r="D93" s="11" t="s">
        <v>171</v>
      </c>
      <c r="E93" s="12" t="s">
        <v>172</v>
      </c>
      <c r="F93" s="13">
        <v>6</v>
      </c>
      <c r="G93" s="14">
        <f>=SUMIF($C$17:$C$502,C93,$F$17:$F$502)</f>
      </c>
      <c r="H93" s="14">
        <f>=IFERROR($B$14/$B$10,"")</f>
      </c>
      <c r="I93" s="15">
        <f>=IFERROR(G93/H93,"")</f>
      </c>
      <c r="J93" s="16">
        <v>0.001666666666666667</v>
      </c>
      <c r="K93" s="11" t="s">
        <v>173</v>
      </c>
      <c r="L93" s="17" t="s">
        <v>174</v>
      </c>
    </row>
    <row r="94" ht="18" customHeight="1" spans="1:12" x14ac:dyDescent="0.25">
      <c r="A94" s="10" t="s">
        <v>44</v>
      </c>
      <c r="B94" s="10" t="s">
        <v>51</v>
      </c>
      <c r="C94" s="10" t="s">
        <v>175</v>
      </c>
      <c r="D94" s="11" t="s">
        <v>171</v>
      </c>
      <c r="E94" s="12" t="s">
        <v>172</v>
      </c>
      <c r="F94" s="13">
        <v>6</v>
      </c>
      <c r="G94" s="14">
        <f>=SUMIF($C$17:$C$502,C94,$F$17:$F$502)</f>
      </c>
      <c r="H94" s="14">
        <f>=IFERROR($B$14/$B$10,"")</f>
      </c>
      <c r="I94" s="15">
        <f>=IFERROR(G94/H94,"")</f>
      </c>
      <c r="J94" s="16">
        <v>0.001666666666666667</v>
      </c>
      <c r="K94" s="11" t="s">
        <v>176</v>
      </c>
      <c r="L94" s="17" t="s">
        <v>177</v>
      </c>
    </row>
    <row r="95" ht="18" customHeight="1" spans="1:12" x14ac:dyDescent="0.25">
      <c r="A95" s="10" t="s">
        <v>44</v>
      </c>
      <c r="B95" s="10" t="s">
        <v>51</v>
      </c>
      <c r="C95" s="10" t="s">
        <v>170</v>
      </c>
      <c r="D95" s="11" t="s">
        <v>178</v>
      </c>
      <c r="E95" s="12" t="s">
        <v>179</v>
      </c>
      <c r="F95" s="13">
        <v>6</v>
      </c>
      <c r="G95" s="14">
        <f>=SUMIF($C$17:$C$502,C95,$F$17:$F$502)</f>
      </c>
      <c r="H95" s="14">
        <f>=IFERROR($B$14/$B$10,"")</f>
      </c>
      <c r="I95" s="15">
        <f>=IFERROR(G95/H95,"")</f>
      </c>
      <c r="J95" s="16">
        <v>0.001666666666666667</v>
      </c>
      <c r="K95" s="11" t="s">
        <v>173</v>
      </c>
      <c r="L95" s="17" t="s">
        <v>174</v>
      </c>
    </row>
    <row r="96" ht="18" customHeight="1" spans="1:12" x14ac:dyDescent="0.25">
      <c r="A96" s="10" t="s">
        <v>44</v>
      </c>
      <c r="B96" s="10" t="s">
        <v>51</v>
      </c>
      <c r="C96" s="10" t="s">
        <v>175</v>
      </c>
      <c r="D96" s="11" t="s">
        <v>178</v>
      </c>
      <c r="E96" s="12" t="s">
        <v>179</v>
      </c>
      <c r="F96" s="13">
        <v>6</v>
      </c>
      <c r="G96" s="14">
        <f>=SUMIF($C$17:$C$502,C96,$F$17:$F$502)</f>
      </c>
      <c r="H96" s="14">
        <f>=IFERROR($B$14/$B$10,"")</f>
      </c>
      <c r="I96" s="15">
        <f>=IFERROR(G96/H96,"")</f>
      </c>
      <c r="J96" s="16">
        <v>0.001666666666666667</v>
      </c>
      <c r="K96" s="11" t="s">
        <v>176</v>
      </c>
      <c r="L96" s="17" t="s">
        <v>177</v>
      </c>
    </row>
    <row r="97" ht="18" customHeight="1" spans="1:12" x14ac:dyDescent="0.25">
      <c r="A97" s="10" t="s">
        <v>44</v>
      </c>
      <c r="B97" s="10" t="s">
        <v>51</v>
      </c>
      <c r="C97" s="10" t="s">
        <v>170</v>
      </c>
      <c r="D97" s="11" t="s">
        <v>180</v>
      </c>
      <c r="E97" s="12" t="s">
        <v>181</v>
      </c>
      <c r="F97" s="13">
        <v>6</v>
      </c>
      <c r="G97" s="14">
        <f>=SUMIF($C$17:$C$502,C97,$F$17:$F$502)</f>
      </c>
      <c r="H97" s="14">
        <f>=IFERROR($B$14/$B$10,"")</f>
      </c>
      <c r="I97" s="15">
        <f>=IFERROR(G97/H97,"")</f>
      </c>
      <c r="J97" s="16">
        <v>0.001666666666666667</v>
      </c>
      <c r="K97" s="11" t="s">
        <v>173</v>
      </c>
      <c r="L97" s="17" t="s">
        <v>174</v>
      </c>
    </row>
    <row r="98" ht="18" customHeight="1" spans="1:12" x14ac:dyDescent="0.25">
      <c r="A98" s="10" t="s">
        <v>44</v>
      </c>
      <c r="B98" s="10" t="s">
        <v>51</v>
      </c>
      <c r="C98" s="10" t="s">
        <v>175</v>
      </c>
      <c r="D98" s="11" t="s">
        <v>180</v>
      </c>
      <c r="E98" s="12" t="s">
        <v>181</v>
      </c>
      <c r="F98" s="13">
        <v>6</v>
      </c>
      <c r="G98" s="14">
        <f>=SUMIF($C$17:$C$502,C98,$F$17:$F$502)</f>
      </c>
      <c r="H98" s="14">
        <f>=IFERROR($B$14/$B$10,"")</f>
      </c>
      <c r="I98" s="15">
        <f>=IFERROR(G98/H98,"")</f>
      </c>
      <c r="J98" s="16">
        <v>0.001666666666666667</v>
      </c>
      <c r="K98" s="11" t="s">
        <v>176</v>
      </c>
      <c r="L98" s="17" t="s">
        <v>177</v>
      </c>
    </row>
    <row r="99" ht="18" customHeight="1" spans="1:12" x14ac:dyDescent="0.25">
      <c r="A99" s="10" t="s">
        <v>44</v>
      </c>
      <c r="B99" s="10" t="s">
        <v>51</v>
      </c>
      <c r="C99" s="10" t="s">
        <v>170</v>
      </c>
      <c r="D99" s="11" t="s">
        <v>182</v>
      </c>
      <c r="E99" s="12" t="s">
        <v>183</v>
      </c>
      <c r="F99" s="13">
        <v>4</v>
      </c>
      <c r="G99" s="14">
        <f>=SUMIF($C$17:$C$502,C99,$F$17:$F$502)</f>
      </c>
      <c r="H99" s="14">
        <f>=IFERROR($B$14/$B$10,"")</f>
      </c>
      <c r="I99" s="15">
        <f>=IFERROR(G99/H99,"")</f>
      </c>
      <c r="J99" s="16">
        <v>0.001111111111111111</v>
      </c>
      <c r="K99" s="11" t="s">
        <v>173</v>
      </c>
      <c r="L99" s="17" t="s">
        <v>174</v>
      </c>
    </row>
    <row r="100" ht="18" customHeight="1" spans="1:12" x14ac:dyDescent="0.25">
      <c r="A100" s="10" t="s">
        <v>44</v>
      </c>
      <c r="B100" s="10" t="s">
        <v>51</v>
      </c>
      <c r="C100" s="10" t="s">
        <v>175</v>
      </c>
      <c r="D100" s="11" t="s">
        <v>182</v>
      </c>
      <c r="E100" s="12" t="s">
        <v>183</v>
      </c>
      <c r="F100" s="13">
        <v>4</v>
      </c>
      <c r="G100" s="14">
        <f>=SUMIF($C$17:$C$502,C100,$F$17:$F$502)</f>
      </c>
      <c r="H100" s="14">
        <f>=IFERROR($B$14/$B$10,"")</f>
      </c>
      <c r="I100" s="15">
        <f>=IFERROR(G100/H100,"")</f>
      </c>
      <c r="J100" s="16">
        <v>0.001111111111111111</v>
      </c>
      <c r="K100" s="11" t="s">
        <v>176</v>
      </c>
      <c r="L100" s="17" t="s">
        <v>177</v>
      </c>
    </row>
    <row r="101" ht="18" customHeight="1" spans="1:12" x14ac:dyDescent="0.25">
      <c r="A101" s="10" t="s">
        <v>44</v>
      </c>
      <c r="B101" s="10" t="s">
        <v>51</v>
      </c>
      <c r="C101" s="10" t="s">
        <v>170</v>
      </c>
      <c r="D101" s="11" t="s">
        <v>168</v>
      </c>
      <c r="E101" s="12" t="s">
        <v>169</v>
      </c>
      <c r="F101" s="13">
        <v>6</v>
      </c>
      <c r="G101" s="14">
        <f>=SUMIF($C$17:$C$502,C101,$F$17:$F$502)</f>
      </c>
      <c r="H101" s="14">
        <f>=IFERROR($B$14/$B$10,"")</f>
      </c>
      <c r="I101" s="15">
        <f>=IFERROR(G101/H101,"")</f>
      </c>
      <c r="J101" s="16">
        <v>0.001666666666666667</v>
      </c>
      <c r="K101" s="11" t="s">
        <v>173</v>
      </c>
      <c r="L101" s="17" t="s">
        <v>174</v>
      </c>
    </row>
    <row r="102" ht="18" customHeight="1" spans="1:12" x14ac:dyDescent="0.25">
      <c r="A102" s="10" t="s">
        <v>44</v>
      </c>
      <c r="B102" s="10" t="s">
        <v>51</v>
      </c>
      <c r="C102" s="10" t="s">
        <v>175</v>
      </c>
      <c r="D102" s="11" t="s">
        <v>168</v>
      </c>
      <c r="E102" s="12" t="s">
        <v>169</v>
      </c>
      <c r="F102" s="13">
        <v>6</v>
      </c>
      <c r="G102" s="14">
        <f>=SUMIF($C$17:$C$502,C102,$F$17:$F$502)</f>
      </c>
      <c r="H102" s="14">
        <f>=IFERROR($B$14/$B$10,"")</f>
      </c>
      <c r="I102" s="15">
        <f>=IFERROR(G102/H102,"")</f>
      </c>
      <c r="J102" s="16">
        <v>0.001666666666666667</v>
      </c>
      <c r="K102" s="11" t="s">
        <v>176</v>
      </c>
      <c r="L102" s="17" t="s">
        <v>177</v>
      </c>
    </row>
    <row r="103" ht="18" customHeight="1" spans="1:12" x14ac:dyDescent="0.25">
      <c r="A103" s="10" t="s">
        <v>184</v>
      </c>
      <c r="B103" s="10" t="s">
        <v>45</v>
      </c>
      <c r="C103" s="10" t="s">
        <v>185</v>
      </c>
      <c r="D103" s="11" t="s">
        <v>186</v>
      </c>
      <c r="E103" s="12" t="s">
        <v>187</v>
      </c>
      <c r="F103" s="13">
        <v>3</v>
      </c>
      <c r="G103" s="14">
        <f>=SUMIF($C$17:$C$502,C103,$F$17:$F$502)</f>
      </c>
      <c r="H103" s="14">
        <f>=IFERROR($B$14/$B$10,"")</f>
      </c>
      <c r="I103" s="15">
        <f>=IFERROR(G103/H103,"")</f>
      </c>
      <c r="J103" s="16">
        <v>0.0008333333333333334</v>
      </c>
      <c r="K103" s="11" t="s">
        <v>188</v>
      </c>
      <c r="L103" s="17" t="s">
        <v>189</v>
      </c>
    </row>
    <row r="104" ht="18" customHeight="1" spans="1:12" x14ac:dyDescent="0.25">
      <c r="A104" s="10" t="s">
        <v>184</v>
      </c>
      <c r="B104" s="10" t="s">
        <v>51</v>
      </c>
      <c r="C104" s="10" t="s">
        <v>185</v>
      </c>
      <c r="D104" s="11" t="s">
        <v>190</v>
      </c>
      <c r="E104" s="12" t="s">
        <v>191</v>
      </c>
      <c r="F104" s="13">
        <v>3</v>
      </c>
      <c r="G104" s="14">
        <f>=SUMIF($C$17:$C$502,C104,$F$17:$F$502)</f>
      </c>
      <c r="H104" s="14">
        <f>=IFERROR($B$14/$B$10,"")</f>
      </c>
      <c r="I104" s="15">
        <f>=IFERROR(G104/H104,"")</f>
      </c>
      <c r="J104" s="16">
        <v>0.0008333333333333334</v>
      </c>
      <c r="K104" s="11" t="s">
        <v>188</v>
      </c>
      <c r="L104" s="17" t="s">
        <v>189</v>
      </c>
    </row>
    <row r="105" ht="18" customHeight="1" spans="1:12" x14ac:dyDescent="0.25">
      <c r="A105" s="10" t="s">
        <v>184</v>
      </c>
      <c r="B105" s="10" t="s">
        <v>51</v>
      </c>
      <c r="C105" s="10" t="s">
        <v>185</v>
      </c>
      <c r="D105" s="11" t="s">
        <v>192</v>
      </c>
      <c r="E105" s="12" t="s">
        <v>193</v>
      </c>
      <c r="F105" s="13">
        <v>14</v>
      </c>
      <c r="G105" s="14">
        <f>=SUMIF($C$17:$C$502,C105,$F$17:$F$502)</f>
      </c>
      <c r="H105" s="14">
        <f>=IFERROR($B$14/$B$10,"")</f>
      </c>
      <c r="I105" s="15">
        <f>=IFERROR(G105/H105,"")</f>
      </c>
      <c r="J105" s="16">
        <v>0.003888888888888889</v>
      </c>
      <c r="K105" s="11" t="s">
        <v>188</v>
      </c>
      <c r="L105" s="17" t="s">
        <v>189</v>
      </c>
    </row>
    <row r="106" ht="18" customHeight="1" spans="1:12" x14ac:dyDescent="0.25">
      <c r="A106" s="10" t="s">
        <v>184</v>
      </c>
      <c r="B106" s="10" t="s">
        <v>51</v>
      </c>
      <c r="C106" s="10" t="s">
        <v>185</v>
      </c>
      <c r="D106" s="11" t="s">
        <v>194</v>
      </c>
      <c r="E106" s="12" t="s">
        <v>195</v>
      </c>
      <c r="F106" s="13">
        <v>15</v>
      </c>
      <c r="G106" s="14">
        <f>=SUMIF($C$17:$C$502,C106,$F$17:$F$502)</f>
      </c>
      <c r="H106" s="14">
        <f>=IFERROR($B$14/$B$10,"")</f>
      </c>
      <c r="I106" s="15">
        <f>=IFERROR(G106/H106,"")</f>
      </c>
      <c r="J106" s="16">
        <v>0.004166666666666667</v>
      </c>
      <c r="K106" s="11" t="s">
        <v>188</v>
      </c>
      <c r="L106" s="17" t="s">
        <v>189</v>
      </c>
    </row>
    <row r="107" ht="18" customHeight="1" spans="1:12" x14ac:dyDescent="0.25">
      <c r="A107" s="10" t="s">
        <v>184</v>
      </c>
      <c r="B107" s="10" t="s">
        <v>51</v>
      </c>
      <c r="C107" s="10" t="s">
        <v>185</v>
      </c>
      <c r="D107" s="11" t="s">
        <v>88</v>
      </c>
      <c r="E107" s="12" t="s">
        <v>89</v>
      </c>
      <c r="F107" s="13">
        <v>7.5</v>
      </c>
      <c r="G107" s="14">
        <f>=SUMIF($C$17:$C$502,C107,$F$17:$F$502)</f>
      </c>
      <c r="H107" s="14">
        <f>=IFERROR($B$14/$B$10,"")</f>
      </c>
      <c r="I107" s="15">
        <f>=IFERROR(G107/H107,"")</f>
      </c>
      <c r="J107" s="16">
        <v>0.002083333333333333</v>
      </c>
      <c r="K107" s="11" t="s">
        <v>188</v>
      </c>
      <c r="L107" s="17" t="s">
        <v>189</v>
      </c>
    </row>
    <row r="108" ht="18" customHeight="1" spans="1:12" x14ac:dyDescent="0.25">
      <c r="A108" s="10" t="s">
        <v>184</v>
      </c>
      <c r="B108" s="10" t="s">
        <v>51</v>
      </c>
      <c r="C108" s="10" t="s">
        <v>185</v>
      </c>
      <c r="D108" s="11" t="s">
        <v>88</v>
      </c>
      <c r="E108" s="12" t="s">
        <v>89</v>
      </c>
      <c r="F108" s="13">
        <v>8</v>
      </c>
      <c r="G108" s="14">
        <f>=SUMIF($C$17:$C$502,C108,$F$17:$F$502)</f>
      </c>
      <c r="H108" s="14">
        <f>=IFERROR($B$14/$B$10,"")</f>
      </c>
      <c r="I108" s="15">
        <f>=IFERROR(G108/H108,"")</f>
      </c>
      <c r="J108" s="16">
        <v>0.002222222222222222</v>
      </c>
      <c r="K108" s="11" t="s">
        <v>188</v>
      </c>
      <c r="L108" s="17" t="s">
        <v>189</v>
      </c>
    </row>
    <row r="109" ht="18" customHeight="1" spans="1:12" x14ac:dyDescent="0.25">
      <c r="A109" s="10" t="s">
        <v>44</v>
      </c>
      <c r="B109" s="10" t="s">
        <v>45</v>
      </c>
      <c r="C109" s="10" t="s">
        <v>196</v>
      </c>
      <c r="D109" s="11" t="s">
        <v>197</v>
      </c>
      <c r="E109" s="12" t="s">
        <v>198</v>
      </c>
      <c r="F109" s="13">
        <v>28</v>
      </c>
      <c r="G109" s="14">
        <f>=SUMIF($C$17:$C$502,C109,$F$17:$F$502)</f>
      </c>
      <c r="H109" s="14">
        <f>=IFERROR($B$14/$B$10,"")</f>
      </c>
      <c r="I109" s="15">
        <f>=IFERROR(G109/H109,"")</f>
      </c>
      <c r="J109" s="16">
        <v>0.007777777777777778</v>
      </c>
      <c r="K109" s="11" t="s">
        <v>199</v>
      </c>
      <c r="L109" s="17" t="s">
        <v>200</v>
      </c>
    </row>
    <row r="110" ht="18" customHeight="1" spans="1:12" x14ac:dyDescent="0.25">
      <c r="A110" s="10" t="s">
        <v>44</v>
      </c>
      <c r="B110" s="10" t="s">
        <v>51</v>
      </c>
      <c r="C110" s="10" t="s">
        <v>196</v>
      </c>
      <c r="D110" s="11" t="s">
        <v>201</v>
      </c>
      <c r="E110" s="12" t="s">
        <v>202</v>
      </c>
      <c r="F110" s="13">
        <v>18</v>
      </c>
      <c r="G110" s="14">
        <f>=SUMIF($C$17:$C$502,C110,$F$17:$F$502)</f>
      </c>
      <c r="H110" s="14">
        <f>=IFERROR($B$14/$B$10,"")</f>
      </c>
      <c r="I110" s="15">
        <f>=IFERROR(G110/H110,"")</f>
      </c>
      <c r="J110" s="16">
        <v>0.005</v>
      </c>
      <c r="K110" s="11" t="s">
        <v>199</v>
      </c>
      <c r="L110" s="17" t="s">
        <v>200</v>
      </c>
    </row>
    <row r="111" ht="18" customHeight="1" spans="1:12" x14ac:dyDescent="0.25">
      <c r="A111" s="10" t="s">
        <v>44</v>
      </c>
      <c r="B111" s="10" t="s">
        <v>51</v>
      </c>
      <c r="C111" s="10" t="s">
        <v>196</v>
      </c>
      <c r="D111" s="11" t="s">
        <v>203</v>
      </c>
      <c r="E111" s="12" t="s">
        <v>204</v>
      </c>
      <c r="F111" s="13">
        <v>18</v>
      </c>
      <c r="G111" s="14">
        <f>=SUMIF($C$17:$C$502,C111,$F$17:$F$502)</f>
      </c>
      <c r="H111" s="14">
        <f>=IFERROR($B$14/$B$10,"")</f>
      </c>
      <c r="I111" s="15">
        <f>=IFERROR(G111/H111,"")</f>
      </c>
      <c r="J111" s="16">
        <v>0.005</v>
      </c>
      <c r="K111" s="11" t="s">
        <v>199</v>
      </c>
      <c r="L111" s="17" t="s">
        <v>200</v>
      </c>
    </row>
    <row r="112" ht="18" customHeight="1" spans="1:12" x14ac:dyDescent="0.25">
      <c r="A112" s="10" t="s">
        <v>44</v>
      </c>
      <c r="B112" s="10" t="s">
        <v>51</v>
      </c>
      <c r="C112" s="10" t="s">
        <v>196</v>
      </c>
      <c r="D112" s="11" t="s">
        <v>205</v>
      </c>
      <c r="E112" s="12" t="s">
        <v>206</v>
      </c>
      <c r="F112" s="13">
        <v>16</v>
      </c>
      <c r="G112" s="14">
        <f>=SUMIF($C$17:$C$502,C112,$F$17:$F$502)</f>
      </c>
      <c r="H112" s="14">
        <f>=IFERROR($B$14/$B$10,"")</f>
      </c>
      <c r="I112" s="15">
        <f>=IFERROR(G112/H112,"")</f>
      </c>
      <c r="J112" s="16">
        <v>0.004444444444444444</v>
      </c>
      <c r="K112" s="11" t="s">
        <v>199</v>
      </c>
      <c r="L112" s="17" t="s">
        <v>200</v>
      </c>
    </row>
    <row r="113" ht="18" customHeight="1" spans="1:12" x14ac:dyDescent="0.25">
      <c r="A113" s="10" t="s">
        <v>184</v>
      </c>
      <c r="B113" s="10" t="s">
        <v>45</v>
      </c>
      <c r="C113" s="10" t="s">
        <v>207</v>
      </c>
      <c r="D113" s="11" t="s">
        <v>208</v>
      </c>
      <c r="E113" s="12" t="s">
        <v>209</v>
      </c>
      <c r="F113" s="13">
        <v>68</v>
      </c>
      <c r="G113" s="14">
        <f>=SUMIF($C$17:$C$502,C113,$F$17:$F$502)</f>
      </c>
      <c r="H113" s="14">
        <f>=IFERROR($B$14/$B$10,"")</f>
      </c>
      <c r="I113" s="15">
        <f>=IFERROR(G113/H113,"")</f>
      </c>
      <c r="J113" s="16">
        <v>0.01888888888888889</v>
      </c>
      <c r="K113" s="11" t="s">
        <v>210</v>
      </c>
      <c r="L113" s="17" t="s">
        <v>211</v>
      </c>
    </row>
    <row r="114" ht="18" customHeight="1" spans="1:12" x14ac:dyDescent="0.25">
      <c r="A114" s="10" t="s">
        <v>184</v>
      </c>
      <c r="B114" s="10" t="s">
        <v>51</v>
      </c>
      <c r="C114" s="10" t="s">
        <v>207</v>
      </c>
      <c r="D114" s="11" t="s">
        <v>212</v>
      </c>
      <c r="E114" s="12" t="s">
        <v>213</v>
      </c>
      <c r="F114" s="13">
        <v>12</v>
      </c>
      <c r="G114" s="14">
        <f>=SUMIF($C$17:$C$502,C114,$F$17:$F$502)</f>
      </c>
      <c r="H114" s="14">
        <f>=IFERROR($B$14/$B$10,"")</f>
      </c>
      <c r="I114" s="15">
        <f>=IFERROR(G114/H114,"")</f>
      </c>
      <c r="J114" s="16">
        <v>0.003333333333333334</v>
      </c>
      <c r="K114" s="11" t="s">
        <v>210</v>
      </c>
      <c r="L114" s="17" t="s">
        <v>211</v>
      </c>
    </row>
    <row r="115" ht="18" customHeight="1" spans="1:12" x14ac:dyDescent="0.25">
      <c r="A115" s="10" t="s">
        <v>184</v>
      </c>
      <c r="B115" s="10" t="s">
        <v>51</v>
      </c>
      <c r="C115" s="10" t="s">
        <v>214</v>
      </c>
      <c r="D115" s="11" t="s">
        <v>215</v>
      </c>
      <c r="E115" s="12" t="s">
        <v>216</v>
      </c>
      <c r="F115" s="13">
        <v>14</v>
      </c>
      <c r="G115" s="14">
        <f>=SUMIF($C$17:$C$502,C115,$F$17:$F$502)</f>
      </c>
      <c r="H115" s="14">
        <f>=IFERROR($B$14/$B$10,"")</f>
      </c>
      <c r="I115" s="15">
        <f>=IFERROR(G115/H115,"")</f>
      </c>
      <c r="J115" s="16">
        <v>0.003888888888888889</v>
      </c>
      <c r="K115" s="11" t="s">
        <v>217</v>
      </c>
      <c r="L115" s="17" t="s">
        <v>218</v>
      </c>
    </row>
    <row r="116" ht="18" customHeight="1" spans="1:12" x14ac:dyDescent="0.25">
      <c r="A116" s="10" t="s">
        <v>184</v>
      </c>
      <c r="B116" s="10" t="s">
        <v>51</v>
      </c>
      <c r="C116" s="10" t="s">
        <v>219</v>
      </c>
      <c r="D116" s="11" t="s">
        <v>215</v>
      </c>
      <c r="E116" s="12" t="s">
        <v>216</v>
      </c>
      <c r="F116" s="13">
        <v>14</v>
      </c>
      <c r="G116" s="14">
        <f>=SUMIF($C$17:$C$502,C116,$F$17:$F$502)</f>
      </c>
      <c r="H116" s="14">
        <f>=IFERROR($B$14/$B$10,"")</f>
      </c>
      <c r="I116" s="15">
        <f>=IFERROR(G116/H116,"")</f>
      </c>
      <c r="J116" s="16">
        <v>0.003888888888888889</v>
      </c>
      <c r="K116" s="11" t="s">
        <v>220</v>
      </c>
      <c r="L116" s="17" t="s">
        <v>221</v>
      </c>
    </row>
    <row r="117" ht="18" customHeight="1" spans="1:12" x14ac:dyDescent="0.25">
      <c r="A117" s="10" t="s">
        <v>184</v>
      </c>
      <c r="B117" s="10" t="s">
        <v>51</v>
      </c>
      <c r="C117" s="10" t="s">
        <v>214</v>
      </c>
      <c r="D117" s="11" t="s">
        <v>222</v>
      </c>
      <c r="E117" s="12" t="s">
        <v>223</v>
      </c>
      <c r="F117" s="13">
        <v>14</v>
      </c>
      <c r="G117" s="14">
        <f>=SUMIF($C$17:$C$502,C117,$F$17:$F$502)</f>
      </c>
      <c r="H117" s="14">
        <f>=IFERROR($B$14/$B$10,"")</f>
      </c>
      <c r="I117" s="15">
        <f>=IFERROR(G117/H117,"")</f>
      </c>
      <c r="J117" s="16">
        <v>0.003888888888888889</v>
      </c>
      <c r="K117" s="11" t="s">
        <v>217</v>
      </c>
      <c r="L117" s="17" t="s">
        <v>218</v>
      </c>
    </row>
    <row r="118" ht="18" customHeight="1" spans="1:12" x14ac:dyDescent="0.25">
      <c r="A118" s="10" t="s">
        <v>184</v>
      </c>
      <c r="B118" s="10" t="s">
        <v>51</v>
      </c>
      <c r="C118" s="10" t="s">
        <v>219</v>
      </c>
      <c r="D118" s="11" t="s">
        <v>222</v>
      </c>
      <c r="E118" s="12" t="s">
        <v>223</v>
      </c>
      <c r="F118" s="13">
        <v>14</v>
      </c>
      <c r="G118" s="14">
        <f>=SUMIF($C$17:$C$502,C118,$F$17:$F$502)</f>
      </c>
      <c r="H118" s="14">
        <f>=IFERROR($B$14/$B$10,"")</f>
      </c>
      <c r="I118" s="15">
        <f>=IFERROR(G118/H118,"")</f>
      </c>
      <c r="J118" s="16">
        <v>0.003888888888888889</v>
      </c>
      <c r="K118" s="11" t="s">
        <v>220</v>
      </c>
      <c r="L118" s="17" t="s">
        <v>221</v>
      </c>
    </row>
    <row r="119" ht="18" customHeight="1" spans="1:12" x14ac:dyDescent="0.25">
      <c r="A119" s="10" t="s">
        <v>184</v>
      </c>
      <c r="B119" s="10" t="s">
        <v>51</v>
      </c>
      <c r="C119" s="10" t="s">
        <v>214</v>
      </c>
      <c r="D119" s="11" t="s">
        <v>224</v>
      </c>
      <c r="E119" s="12" t="s">
        <v>225</v>
      </c>
      <c r="F119" s="13">
        <v>16</v>
      </c>
      <c r="G119" s="14">
        <f>=SUMIF($C$17:$C$502,C119,$F$17:$F$502)</f>
      </c>
      <c r="H119" s="14">
        <f>=IFERROR($B$14/$B$10,"")</f>
      </c>
      <c r="I119" s="15">
        <f>=IFERROR(G119/H119,"")</f>
      </c>
      <c r="J119" s="16">
        <v>0.004444444444444444</v>
      </c>
      <c r="K119" s="11" t="s">
        <v>217</v>
      </c>
      <c r="L119" s="17" t="s">
        <v>218</v>
      </c>
    </row>
    <row r="120" ht="18" customHeight="1" spans="1:12" x14ac:dyDescent="0.25">
      <c r="A120" s="10" t="s">
        <v>184</v>
      </c>
      <c r="B120" s="10" t="s">
        <v>51</v>
      </c>
      <c r="C120" s="10" t="s">
        <v>219</v>
      </c>
      <c r="D120" s="11" t="s">
        <v>224</v>
      </c>
      <c r="E120" s="12" t="s">
        <v>225</v>
      </c>
      <c r="F120" s="13">
        <v>16</v>
      </c>
      <c r="G120" s="14">
        <f>=SUMIF($C$17:$C$502,C120,$F$17:$F$502)</f>
      </c>
      <c r="H120" s="14">
        <f>=IFERROR($B$14/$B$10,"")</f>
      </c>
      <c r="I120" s="15">
        <f>=IFERROR(G120/H120,"")</f>
      </c>
      <c r="J120" s="16">
        <v>0.004444444444444444</v>
      </c>
      <c r="K120" s="11" t="s">
        <v>220</v>
      </c>
      <c r="L120" s="17" t="s">
        <v>221</v>
      </c>
    </row>
    <row r="121" ht="18" customHeight="1" spans="1:12" x14ac:dyDescent="0.25">
      <c r="A121" s="10" t="s">
        <v>184</v>
      </c>
      <c r="B121" s="10" t="s">
        <v>51</v>
      </c>
      <c r="C121" s="10" t="s">
        <v>214</v>
      </c>
      <c r="D121" s="11" t="s">
        <v>226</v>
      </c>
      <c r="E121" s="12" t="s">
        <v>227</v>
      </c>
      <c r="F121" s="13">
        <v>16</v>
      </c>
      <c r="G121" s="14">
        <f>=SUMIF($C$17:$C$502,C121,$F$17:$F$502)</f>
      </c>
      <c r="H121" s="14">
        <f>=IFERROR($B$14/$B$10,"")</f>
      </c>
      <c r="I121" s="15">
        <f>=IFERROR(G121/H121,"")</f>
      </c>
      <c r="J121" s="16">
        <v>0.004444444444444444</v>
      </c>
      <c r="K121" s="11" t="s">
        <v>217</v>
      </c>
      <c r="L121" s="17" t="s">
        <v>218</v>
      </c>
    </row>
    <row r="122" ht="18" customHeight="1" spans="1:12" x14ac:dyDescent="0.25">
      <c r="A122" s="10" t="s">
        <v>184</v>
      </c>
      <c r="B122" s="10" t="s">
        <v>51</v>
      </c>
      <c r="C122" s="10" t="s">
        <v>219</v>
      </c>
      <c r="D122" s="11" t="s">
        <v>226</v>
      </c>
      <c r="E122" s="12" t="s">
        <v>227</v>
      </c>
      <c r="F122" s="13">
        <v>16</v>
      </c>
      <c r="G122" s="14">
        <f>=SUMIF($C$17:$C$502,C122,$F$17:$F$502)</f>
      </c>
      <c r="H122" s="14">
        <f>=IFERROR($B$14/$B$10,"")</f>
      </c>
      <c r="I122" s="15">
        <f>=IFERROR(G122/H122,"")</f>
      </c>
      <c r="J122" s="16">
        <v>0.004444444444444444</v>
      </c>
      <c r="K122" s="11" t="s">
        <v>220</v>
      </c>
      <c r="L122" s="17" t="s">
        <v>221</v>
      </c>
    </row>
    <row r="123" ht="18" customHeight="1" spans="1:12" x14ac:dyDescent="0.25">
      <c r="A123" s="10" t="s">
        <v>184</v>
      </c>
      <c r="B123" s="10" t="s">
        <v>51</v>
      </c>
      <c r="C123" s="10" t="s">
        <v>214</v>
      </c>
      <c r="D123" s="11" t="s">
        <v>228</v>
      </c>
      <c r="E123" s="12" t="s">
        <v>229</v>
      </c>
      <c r="F123" s="13">
        <v>12</v>
      </c>
      <c r="G123" s="14">
        <f>=SUMIF($C$17:$C$502,C123,$F$17:$F$502)</f>
      </c>
      <c r="H123" s="14">
        <f>=IFERROR($B$14/$B$10,"")</f>
      </c>
      <c r="I123" s="15">
        <f>=IFERROR(G123/H123,"")</f>
      </c>
      <c r="J123" s="16">
        <v>0.003333333333333334</v>
      </c>
      <c r="K123" s="11" t="s">
        <v>217</v>
      </c>
      <c r="L123" s="17" t="s">
        <v>218</v>
      </c>
    </row>
    <row r="124" ht="18" customHeight="1" spans="1:12" x14ac:dyDescent="0.25">
      <c r="A124" s="10" t="s">
        <v>184</v>
      </c>
      <c r="B124" s="10" t="s">
        <v>51</v>
      </c>
      <c r="C124" s="10" t="s">
        <v>219</v>
      </c>
      <c r="D124" s="11" t="s">
        <v>228</v>
      </c>
      <c r="E124" s="12" t="s">
        <v>229</v>
      </c>
      <c r="F124" s="13">
        <v>12</v>
      </c>
      <c r="G124" s="14">
        <f>=SUMIF($C$17:$C$502,C124,$F$17:$F$502)</f>
      </c>
      <c r="H124" s="14">
        <f>=IFERROR($B$14/$B$10,"")</f>
      </c>
      <c r="I124" s="15">
        <f>=IFERROR(G124/H124,"")</f>
      </c>
      <c r="J124" s="16">
        <v>0.003333333333333334</v>
      </c>
      <c r="K124" s="11" t="s">
        <v>220</v>
      </c>
      <c r="L124" s="17" t="s">
        <v>221</v>
      </c>
    </row>
    <row r="125" ht="18" customHeight="1" spans="1:12" x14ac:dyDescent="0.25">
      <c r="A125" s="10" t="s">
        <v>184</v>
      </c>
      <c r="B125" s="10" t="s">
        <v>51</v>
      </c>
      <c r="C125" s="10" t="s">
        <v>214</v>
      </c>
      <c r="D125" s="11" t="s">
        <v>230</v>
      </c>
      <c r="E125" s="12" t="s">
        <v>231</v>
      </c>
      <c r="F125" s="13">
        <v>6</v>
      </c>
      <c r="G125" s="14">
        <f>=SUMIF($C$17:$C$502,C125,$F$17:$F$502)</f>
      </c>
      <c r="H125" s="14">
        <f>=IFERROR($B$14/$B$10,"")</f>
      </c>
      <c r="I125" s="15">
        <f>=IFERROR(G125/H125,"")</f>
      </c>
      <c r="J125" s="16">
        <v>0.001666666666666667</v>
      </c>
      <c r="K125" s="11" t="s">
        <v>217</v>
      </c>
      <c r="L125" s="17" t="s">
        <v>218</v>
      </c>
    </row>
    <row r="126" ht="18" customHeight="1" spans="1:12" x14ac:dyDescent="0.25">
      <c r="A126" s="10" t="s">
        <v>184</v>
      </c>
      <c r="B126" s="10" t="s">
        <v>51</v>
      </c>
      <c r="C126" s="10" t="s">
        <v>219</v>
      </c>
      <c r="D126" s="11" t="s">
        <v>230</v>
      </c>
      <c r="E126" s="12" t="s">
        <v>231</v>
      </c>
      <c r="F126" s="13">
        <v>6</v>
      </c>
      <c r="G126" s="14">
        <f>=SUMIF($C$17:$C$502,C126,$F$17:$F$502)</f>
      </c>
      <c r="H126" s="14">
        <f>=IFERROR($B$14/$B$10,"")</f>
      </c>
      <c r="I126" s="15">
        <f>=IFERROR(G126/H126,"")</f>
      </c>
      <c r="J126" s="16">
        <v>0.001666666666666667</v>
      </c>
      <c r="K126" s="11" t="s">
        <v>220</v>
      </c>
      <c r="L126" s="17" t="s">
        <v>221</v>
      </c>
    </row>
    <row r="127" ht="18" customHeight="1" spans="1:12" x14ac:dyDescent="0.25">
      <c r="A127" s="10" t="s">
        <v>184</v>
      </c>
      <c r="B127" s="10" t="s">
        <v>51</v>
      </c>
      <c r="C127" s="10" t="s">
        <v>214</v>
      </c>
      <c r="D127" s="11" t="s">
        <v>232</v>
      </c>
      <c r="E127" s="12" t="s">
        <v>233</v>
      </c>
      <c r="F127" s="13">
        <v>16</v>
      </c>
      <c r="G127" s="14">
        <f>=SUMIF($C$17:$C$502,C127,$F$17:$F$502)</f>
      </c>
      <c r="H127" s="14">
        <f>=IFERROR($B$14/$B$10,"")</f>
      </c>
      <c r="I127" s="15">
        <f>=IFERROR(G127/H127,"")</f>
      </c>
      <c r="J127" s="16">
        <v>0.004444444444444444</v>
      </c>
      <c r="K127" s="11" t="s">
        <v>217</v>
      </c>
      <c r="L127" s="17" t="s">
        <v>218</v>
      </c>
    </row>
    <row r="128" ht="18" customHeight="1" spans="1:12" x14ac:dyDescent="0.25">
      <c r="A128" s="10" t="s">
        <v>184</v>
      </c>
      <c r="B128" s="10" t="s">
        <v>51</v>
      </c>
      <c r="C128" s="10" t="s">
        <v>219</v>
      </c>
      <c r="D128" s="11" t="s">
        <v>232</v>
      </c>
      <c r="E128" s="12" t="s">
        <v>233</v>
      </c>
      <c r="F128" s="13">
        <v>16</v>
      </c>
      <c r="G128" s="14">
        <f>=SUMIF($C$17:$C$502,C128,$F$17:$F$502)</f>
      </c>
      <c r="H128" s="14">
        <f>=IFERROR($B$14/$B$10,"")</f>
      </c>
      <c r="I128" s="15">
        <f>=IFERROR(G128/H128,"")</f>
      </c>
      <c r="J128" s="16">
        <v>0.004444444444444444</v>
      </c>
      <c r="K128" s="11" t="s">
        <v>220</v>
      </c>
      <c r="L128" s="17" t="s">
        <v>221</v>
      </c>
    </row>
    <row r="129" ht="18" customHeight="1" spans="1:12" x14ac:dyDescent="0.25">
      <c r="A129" s="10" t="s">
        <v>184</v>
      </c>
      <c r="B129" s="10" t="s">
        <v>51</v>
      </c>
      <c r="C129" s="10" t="s">
        <v>214</v>
      </c>
      <c r="D129" s="11" t="s">
        <v>234</v>
      </c>
      <c r="E129" s="12" t="s">
        <v>235</v>
      </c>
      <c r="F129" s="13">
        <v>20</v>
      </c>
      <c r="G129" s="14">
        <f>=SUMIF($C$17:$C$502,C129,$F$17:$F$502)</f>
      </c>
      <c r="H129" s="14">
        <f>=IFERROR($B$14/$B$10,"")</f>
      </c>
      <c r="I129" s="15">
        <f>=IFERROR(G129/H129,"")</f>
      </c>
      <c r="J129" s="16">
        <v>0.005555555555555556</v>
      </c>
      <c r="K129" s="11" t="s">
        <v>217</v>
      </c>
      <c r="L129" s="17" t="s">
        <v>218</v>
      </c>
    </row>
    <row r="130" ht="18" customHeight="1" spans="1:12" x14ac:dyDescent="0.25">
      <c r="A130" s="10" t="s">
        <v>184</v>
      </c>
      <c r="B130" s="10" t="s">
        <v>51</v>
      </c>
      <c r="C130" s="10" t="s">
        <v>219</v>
      </c>
      <c r="D130" s="11" t="s">
        <v>234</v>
      </c>
      <c r="E130" s="12" t="s">
        <v>235</v>
      </c>
      <c r="F130" s="13">
        <v>20</v>
      </c>
      <c r="G130" s="14">
        <f>=SUMIF($C$17:$C$502,C130,$F$17:$F$502)</f>
      </c>
      <c r="H130" s="14">
        <f>=IFERROR($B$14/$B$10,"")</f>
      </c>
      <c r="I130" s="15">
        <f>=IFERROR(G130/H130,"")</f>
      </c>
      <c r="J130" s="16">
        <v>0.005555555555555556</v>
      </c>
      <c r="K130" s="11" t="s">
        <v>220</v>
      </c>
      <c r="L130" s="17" t="s">
        <v>221</v>
      </c>
    </row>
    <row r="131" ht="18" customHeight="1" spans="1:12" x14ac:dyDescent="0.25">
      <c r="A131" s="10" t="s">
        <v>184</v>
      </c>
      <c r="B131" s="10" t="s">
        <v>51</v>
      </c>
      <c r="C131" s="10" t="s">
        <v>214</v>
      </c>
      <c r="D131" s="11" t="s">
        <v>236</v>
      </c>
      <c r="E131" s="12" t="s">
        <v>237</v>
      </c>
      <c r="F131" s="13">
        <v>10</v>
      </c>
      <c r="G131" s="14">
        <f>=SUMIF($C$17:$C$502,C131,$F$17:$F$502)</f>
      </c>
      <c r="H131" s="14">
        <f>=IFERROR($B$14/$B$10,"")</f>
      </c>
      <c r="I131" s="15">
        <f>=IFERROR(G131/H131,"")</f>
      </c>
      <c r="J131" s="16">
        <v>0.002777777777777778</v>
      </c>
      <c r="K131" s="11" t="s">
        <v>217</v>
      </c>
      <c r="L131" s="17" t="s">
        <v>218</v>
      </c>
    </row>
    <row r="132" ht="18" customHeight="1" spans="1:12" x14ac:dyDescent="0.25">
      <c r="A132" s="10" t="s">
        <v>184</v>
      </c>
      <c r="B132" s="10" t="s">
        <v>51</v>
      </c>
      <c r="C132" s="10" t="s">
        <v>219</v>
      </c>
      <c r="D132" s="11" t="s">
        <v>236</v>
      </c>
      <c r="E132" s="12" t="s">
        <v>237</v>
      </c>
      <c r="F132" s="13">
        <v>10</v>
      </c>
      <c r="G132" s="14">
        <f>=SUMIF($C$17:$C$502,C132,$F$17:$F$502)</f>
      </c>
      <c r="H132" s="14">
        <f>=IFERROR($B$14/$B$10,"")</f>
      </c>
      <c r="I132" s="15">
        <f>=IFERROR(G132/H132,"")</f>
      </c>
      <c r="J132" s="16">
        <v>0.002777777777777778</v>
      </c>
      <c r="K132" s="11" t="s">
        <v>220</v>
      </c>
      <c r="L132" s="17" t="s">
        <v>221</v>
      </c>
    </row>
    <row r="133" ht="18" customHeight="1" spans="1:12" x14ac:dyDescent="0.25">
      <c r="A133" s="10" t="s">
        <v>184</v>
      </c>
      <c r="B133" s="10" t="s">
        <v>51</v>
      </c>
      <c r="C133" s="10" t="s">
        <v>214</v>
      </c>
      <c r="D133" s="11" t="s">
        <v>238</v>
      </c>
      <c r="E133" s="12" t="s">
        <v>239</v>
      </c>
      <c r="F133" s="13">
        <v>10</v>
      </c>
      <c r="G133" s="14">
        <f>=SUMIF($C$17:$C$502,C133,$F$17:$F$502)</f>
      </c>
      <c r="H133" s="14">
        <f>=IFERROR($B$14/$B$10,"")</f>
      </c>
      <c r="I133" s="15">
        <f>=IFERROR(G133/H133,"")</f>
      </c>
      <c r="J133" s="16">
        <v>0.002777777777777778</v>
      </c>
      <c r="K133" s="11" t="s">
        <v>217</v>
      </c>
      <c r="L133" s="17" t="s">
        <v>218</v>
      </c>
    </row>
    <row r="134" ht="18" customHeight="1" spans="1:12" x14ac:dyDescent="0.25">
      <c r="A134" s="10" t="s">
        <v>184</v>
      </c>
      <c r="B134" s="10" t="s">
        <v>51</v>
      </c>
      <c r="C134" s="10" t="s">
        <v>219</v>
      </c>
      <c r="D134" s="11" t="s">
        <v>238</v>
      </c>
      <c r="E134" s="12" t="s">
        <v>239</v>
      </c>
      <c r="F134" s="13">
        <v>10</v>
      </c>
      <c r="G134" s="14">
        <f>=SUMIF($C$17:$C$502,C134,$F$17:$F$502)</f>
      </c>
      <c r="H134" s="14">
        <f>=IFERROR($B$14/$B$10,"")</f>
      </c>
      <c r="I134" s="15">
        <f>=IFERROR(G134/H134,"")</f>
      </c>
      <c r="J134" s="16">
        <v>0.002777777777777778</v>
      </c>
      <c r="K134" s="11" t="s">
        <v>220</v>
      </c>
      <c r="L134" s="17" t="s">
        <v>221</v>
      </c>
    </row>
    <row r="135" ht="18" customHeight="1" spans="1:12" x14ac:dyDescent="0.25">
      <c r="A135" s="10" t="s">
        <v>240</v>
      </c>
      <c r="B135" s="10" t="s">
        <v>51</v>
      </c>
      <c r="C135" s="10" t="s">
        <v>241</v>
      </c>
      <c r="D135" s="11" t="s">
        <v>242</v>
      </c>
      <c r="E135" s="12" t="s">
        <v>243</v>
      </c>
      <c r="F135" s="13">
        <v>12</v>
      </c>
      <c r="G135" s="14">
        <f>=SUMIF($C$17:$C$502,C135,$F$17:$F$502)</f>
      </c>
      <c r="H135" s="14">
        <f>=IFERROR($B$14/$B$10,"")</f>
      </c>
      <c r="I135" s="15">
        <f>=IFERROR(G135/H135,"")</f>
      </c>
      <c r="J135" s="16">
        <v>0.003333333333333334</v>
      </c>
      <c r="K135" s="11" t="s">
        <v>244</v>
      </c>
      <c r="L135" s="17" t="s">
        <v>245</v>
      </c>
    </row>
    <row r="136" ht="18" customHeight="1" spans="1:12" x14ac:dyDescent="0.25">
      <c r="A136" s="10" t="s">
        <v>240</v>
      </c>
      <c r="B136" s="10" t="s">
        <v>51</v>
      </c>
      <c r="C136" s="10" t="s">
        <v>241</v>
      </c>
      <c r="D136" s="11" t="s">
        <v>242</v>
      </c>
      <c r="E136" s="12" t="s">
        <v>243</v>
      </c>
      <c r="F136" s="13">
        <v>20</v>
      </c>
      <c r="G136" s="14">
        <f>=SUMIF($C$17:$C$502,C136,$F$17:$F$502)</f>
      </c>
      <c r="H136" s="14">
        <f>=IFERROR($B$14/$B$10,"")</f>
      </c>
      <c r="I136" s="15">
        <f>=IFERROR(G136/H136,"")</f>
      </c>
      <c r="J136" s="16">
        <v>0.005555555555555556</v>
      </c>
      <c r="K136" s="11" t="s">
        <v>244</v>
      </c>
      <c r="L136" s="17" t="s">
        <v>245</v>
      </c>
    </row>
    <row r="137" ht="18" customHeight="1" spans="1:12" x14ac:dyDescent="0.25">
      <c r="A137" s="10" t="s">
        <v>240</v>
      </c>
      <c r="B137" s="10" t="s">
        <v>51</v>
      </c>
      <c r="C137" s="10" t="s">
        <v>246</v>
      </c>
      <c r="D137" s="11" t="s">
        <v>247</v>
      </c>
      <c r="E137" s="12" t="s">
        <v>248</v>
      </c>
      <c r="F137" s="13">
        <v>20</v>
      </c>
      <c r="G137" s="14">
        <f>=SUMIF($C$17:$C$502,C137,$F$17:$F$502)</f>
      </c>
      <c r="H137" s="14">
        <f>=IFERROR($B$14/$B$10,"")</f>
      </c>
      <c r="I137" s="15">
        <f>=IFERROR(G137/H137,"")</f>
      </c>
      <c r="J137" s="16">
        <v>0.005555555555555556</v>
      </c>
      <c r="K137" s="11" t="s">
        <v>249</v>
      </c>
      <c r="L137" s="17" t="s">
        <v>250</v>
      </c>
    </row>
    <row r="138" ht="18" customHeight="1" spans="1:12" x14ac:dyDescent="0.25">
      <c r="A138" s="10" t="s">
        <v>240</v>
      </c>
      <c r="B138" s="10" t="s">
        <v>51</v>
      </c>
      <c r="C138" s="10" t="s">
        <v>246</v>
      </c>
      <c r="D138" s="11" t="s">
        <v>251</v>
      </c>
      <c r="E138" s="12" t="s">
        <v>252</v>
      </c>
      <c r="F138" s="13">
        <v>20</v>
      </c>
      <c r="G138" s="14">
        <f>=SUMIF($C$17:$C$502,C138,$F$17:$F$502)</f>
      </c>
      <c r="H138" s="14">
        <f>=IFERROR($B$14/$B$10,"")</f>
      </c>
      <c r="I138" s="15">
        <f>=IFERROR(G138/H138,"")</f>
      </c>
      <c r="J138" s="16">
        <v>0.005555555555555556</v>
      </c>
      <c r="K138" s="11" t="s">
        <v>249</v>
      </c>
      <c r="L138" s="17" t="s">
        <v>250</v>
      </c>
    </row>
    <row r="139" ht="18" customHeight="1" spans="1:12" x14ac:dyDescent="0.25">
      <c r="A139" s="10" t="s">
        <v>240</v>
      </c>
      <c r="B139" s="10" t="s">
        <v>51</v>
      </c>
      <c r="C139" s="10" t="s">
        <v>246</v>
      </c>
      <c r="D139" s="11" t="s">
        <v>253</v>
      </c>
      <c r="E139" s="12" t="s">
        <v>254</v>
      </c>
      <c r="F139" s="13">
        <v>12</v>
      </c>
      <c r="G139" s="14">
        <f>=SUMIF($C$17:$C$502,C139,$F$17:$F$502)</f>
      </c>
      <c r="H139" s="14">
        <f>=IFERROR($B$14/$B$10,"")</f>
      </c>
      <c r="I139" s="15">
        <f>=IFERROR(G139/H139,"")</f>
      </c>
      <c r="J139" s="16">
        <v>0.003333333333333334</v>
      </c>
      <c r="K139" s="11" t="s">
        <v>249</v>
      </c>
      <c r="L139" s="17" t="s">
        <v>250</v>
      </c>
    </row>
    <row r="140" ht="18" customHeight="1" spans="1:12" x14ac:dyDescent="0.25">
      <c r="A140" s="10" t="s">
        <v>240</v>
      </c>
      <c r="B140" s="10" t="s">
        <v>51</v>
      </c>
      <c r="C140" s="10" t="s">
        <v>255</v>
      </c>
      <c r="D140" s="11" t="s">
        <v>256</v>
      </c>
      <c r="E140" s="12" t="s">
        <v>257</v>
      </c>
      <c r="F140" s="13">
        <v>12</v>
      </c>
      <c r="G140" s="14">
        <f>=SUMIF($C$17:$C$502,C140,$F$17:$F$502)</f>
      </c>
      <c r="H140" s="14">
        <f>=IFERROR($B$14/$B$10,"")</f>
      </c>
      <c r="I140" s="15">
        <f>=IFERROR(G140/H140,"")</f>
      </c>
      <c r="J140" s="16">
        <v>0.003333333333333334</v>
      </c>
      <c r="K140" s="11" t="s">
        <v>258</v>
      </c>
      <c r="L140" s="17" t="s">
        <v>259</v>
      </c>
    </row>
    <row r="141" ht="18" customHeight="1" spans="1:12" x14ac:dyDescent="0.25">
      <c r="A141" s="10" t="s">
        <v>240</v>
      </c>
      <c r="B141" s="10" t="s">
        <v>51</v>
      </c>
      <c r="C141" s="10" t="s">
        <v>255</v>
      </c>
      <c r="D141" s="11" t="s">
        <v>260</v>
      </c>
      <c r="E141" s="12" t="s">
        <v>261</v>
      </c>
      <c r="F141" s="13">
        <v>36</v>
      </c>
      <c r="G141" s="14">
        <f>=SUMIF($C$17:$C$502,C141,$F$17:$F$502)</f>
      </c>
      <c r="H141" s="14">
        <f>=IFERROR($B$14/$B$10,"")</f>
      </c>
      <c r="I141" s="15">
        <f>=IFERROR(G141/H141,"")</f>
      </c>
      <c r="J141" s="16">
        <v>0.01</v>
      </c>
      <c r="K141" s="11" t="s">
        <v>258</v>
      </c>
      <c r="L141" s="17" t="s">
        <v>259</v>
      </c>
    </row>
    <row r="142" ht="18" customHeight="1" spans="1:12" x14ac:dyDescent="0.25">
      <c r="A142" s="10" t="s">
        <v>240</v>
      </c>
      <c r="B142" s="10" t="s">
        <v>51</v>
      </c>
      <c r="C142" s="10" t="s">
        <v>255</v>
      </c>
      <c r="D142" s="11" t="s">
        <v>262</v>
      </c>
      <c r="E142" s="12" t="s">
        <v>263</v>
      </c>
      <c r="F142" s="13">
        <v>28</v>
      </c>
      <c r="G142" s="14">
        <f>=SUMIF($C$17:$C$502,C142,$F$17:$F$502)</f>
      </c>
      <c r="H142" s="14">
        <f>=IFERROR($B$14/$B$10,"")</f>
      </c>
      <c r="I142" s="15">
        <f>=IFERROR(G142/H142,"")</f>
      </c>
      <c r="J142" s="16">
        <v>0.007777777777777778</v>
      </c>
      <c r="K142" s="11" t="s">
        <v>258</v>
      </c>
      <c r="L142" s="17" t="s">
        <v>259</v>
      </c>
    </row>
    <row r="143" ht="18" customHeight="1" spans="1:12" x14ac:dyDescent="0.25">
      <c r="A143" s="10" t="s">
        <v>240</v>
      </c>
      <c r="B143" s="10" t="s">
        <v>51</v>
      </c>
      <c r="C143" s="10" t="s">
        <v>264</v>
      </c>
      <c r="D143" s="11" t="s">
        <v>265</v>
      </c>
      <c r="E143" s="12" t="s">
        <v>266</v>
      </c>
      <c r="F143" s="13">
        <v>42</v>
      </c>
      <c r="G143" s="14">
        <f>=SUMIF($C$17:$C$502,C143,$F$17:$F$502)</f>
      </c>
      <c r="H143" s="14">
        <f>=IFERROR($B$14/$B$10,"")</f>
      </c>
      <c r="I143" s="15">
        <f>=IFERROR(G143/H143,"")</f>
      </c>
      <c r="J143" s="16">
        <v>0.01166666666666667</v>
      </c>
      <c r="K143" s="11" t="s">
        <v>267</v>
      </c>
      <c r="L143" s="17" t="s">
        <v>268</v>
      </c>
    </row>
    <row r="144" ht="18" customHeight="1" spans="1:12" x14ac:dyDescent="0.25">
      <c r="A144" s="10" t="s">
        <v>269</v>
      </c>
      <c r="B144" s="10" t="s">
        <v>45</v>
      </c>
      <c r="C144" s="10" t="s">
        <v>270</v>
      </c>
      <c r="D144" s="11" t="s">
        <v>271</v>
      </c>
      <c r="E144" s="12" t="s">
        <v>272</v>
      </c>
      <c r="F144" s="13">
        <v>14</v>
      </c>
      <c r="G144" s="14">
        <f>=SUMIF($C$17:$C$502,C144,$F$17:$F$502)</f>
      </c>
      <c r="H144" s="14">
        <f>=IFERROR($B$14/$B$10,"")</f>
      </c>
      <c r="I144" s="15">
        <f>=IFERROR(G144/H144,"")</f>
      </c>
      <c r="J144" s="16">
        <v>0.003888888888888889</v>
      </c>
      <c r="K144" s="11" t="s">
        <v>273</v>
      </c>
      <c r="L144" s="17" t="s">
        <v>274</v>
      </c>
    </row>
    <row r="145" ht="18" customHeight="1" spans="1:12" x14ac:dyDescent="0.25">
      <c r="A145" s="10" t="s">
        <v>269</v>
      </c>
      <c r="B145" s="10" t="s">
        <v>51</v>
      </c>
      <c r="C145" s="10" t="s">
        <v>270</v>
      </c>
      <c r="D145" s="11" t="s">
        <v>275</v>
      </c>
      <c r="E145" s="12" t="s">
        <v>276</v>
      </c>
      <c r="F145" s="13">
        <v>16</v>
      </c>
      <c r="G145" s="14">
        <f>=SUMIF($C$17:$C$502,C145,$F$17:$F$502)</f>
      </c>
      <c r="H145" s="14">
        <f>=IFERROR($B$14/$B$10,"")</f>
      </c>
      <c r="I145" s="15">
        <f>=IFERROR(G145/H145,"")</f>
      </c>
      <c r="J145" s="16">
        <v>0.004444444444444444</v>
      </c>
      <c r="K145" s="11" t="s">
        <v>273</v>
      </c>
      <c r="L145" s="17" t="s">
        <v>274</v>
      </c>
    </row>
    <row r="146" ht="18" customHeight="1" spans="1:12" x14ac:dyDescent="0.25">
      <c r="A146" s="10" t="s">
        <v>269</v>
      </c>
      <c r="B146" s="10" t="s">
        <v>51</v>
      </c>
      <c r="C146" s="10" t="s">
        <v>270</v>
      </c>
      <c r="D146" s="11" t="s">
        <v>277</v>
      </c>
      <c r="E146" s="12" t="s">
        <v>278</v>
      </c>
      <c r="F146" s="13">
        <v>28</v>
      </c>
      <c r="G146" s="14">
        <f>=SUMIF($C$17:$C$502,C146,$F$17:$F$502)</f>
      </c>
      <c r="H146" s="14">
        <f>=IFERROR($B$14/$B$10,"")</f>
      </c>
      <c r="I146" s="15">
        <f>=IFERROR(G146/H146,"")</f>
      </c>
      <c r="J146" s="16">
        <v>0.007777777777777778</v>
      </c>
      <c r="K146" s="11" t="s">
        <v>273</v>
      </c>
      <c r="L146" s="17" t="s">
        <v>274</v>
      </c>
    </row>
    <row r="147" ht="18" customHeight="1" spans="1:12" x14ac:dyDescent="0.25">
      <c r="A147" s="10" t="s">
        <v>269</v>
      </c>
      <c r="B147" s="10" t="s">
        <v>51</v>
      </c>
      <c r="C147" s="10" t="s">
        <v>279</v>
      </c>
      <c r="D147" s="11" t="s">
        <v>280</v>
      </c>
      <c r="E147" s="12" t="s">
        <v>281</v>
      </c>
      <c r="F147" s="13">
        <v>12</v>
      </c>
      <c r="G147" s="14">
        <f>=SUMIF($C$17:$C$502,C147,$F$17:$F$502)</f>
      </c>
      <c r="H147" s="14">
        <f>=IFERROR($B$14/$B$10,"")</f>
      </c>
      <c r="I147" s="15">
        <f>=IFERROR(G147/H147,"")</f>
      </c>
      <c r="J147" s="16">
        <v>0.003333333333333334</v>
      </c>
      <c r="K147" s="11" t="s">
        <v>282</v>
      </c>
      <c r="L147" s="17" t="s">
        <v>283</v>
      </c>
    </row>
    <row r="148" ht="18" customHeight="1" spans="1:12" x14ac:dyDescent="0.25">
      <c r="A148" s="10" t="s">
        <v>269</v>
      </c>
      <c r="B148" s="10" t="s">
        <v>51</v>
      </c>
      <c r="C148" s="10" t="s">
        <v>279</v>
      </c>
      <c r="D148" s="11" t="s">
        <v>284</v>
      </c>
      <c r="E148" s="12" t="s">
        <v>285</v>
      </c>
      <c r="F148" s="13">
        <v>12</v>
      </c>
      <c r="G148" s="14">
        <f>=SUMIF($C$17:$C$502,C148,$F$17:$F$502)</f>
      </c>
      <c r="H148" s="14">
        <f>=IFERROR($B$14/$B$10,"")</f>
      </c>
      <c r="I148" s="15">
        <f>=IFERROR(G148/H148,"")</f>
      </c>
      <c r="J148" s="16">
        <v>0.003333333333333334</v>
      </c>
      <c r="K148" s="11" t="s">
        <v>282</v>
      </c>
      <c r="L148" s="17" t="s">
        <v>283</v>
      </c>
    </row>
    <row r="149" ht="18" customHeight="1" spans="1:12" x14ac:dyDescent="0.25">
      <c r="A149" s="10" t="s">
        <v>269</v>
      </c>
      <c r="B149" s="10" t="s">
        <v>51</v>
      </c>
      <c r="C149" s="10" t="s">
        <v>279</v>
      </c>
      <c r="D149" s="11" t="s">
        <v>286</v>
      </c>
      <c r="E149" s="12" t="s">
        <v>287</v>
      </c>
      <c r="F149" s="13">
        <v>14</v>
      </c>
      <c r="G149" s="14">
        <f>=SUMIF($C$17:$C$502,C149,$F$17:$F$502)</f>
      </c>
      <c r="H149" s="14">
        <f>=IFERROR($B$14/$B$10,"")</f>
      </c>
      <c r="I149" s="15">
        <f>=IFERROR(G149/H149,"")</f>
      </c>
      <c r="J149" s="16">
        <v>0.003888888888888889</v>
      </c>
      <c r="K149" s="11" t="s">
        <v>282</v>
      </c>
      <c r="L149" s="17" t="s">
        <v>283</v>
      </c>
    </row>
    <row r="150" ht="18" customHeight="1" spans="1:12" x14ac:dyDescent="0.25">
      <c r="A150" s="10" t="s">
        <v>269</v>
      </c>
      <c r="B150" s="10" t="s">
        <v>51</v>
      </c>
      <c r="C150" s="10" t="s">
        <v>288</v>
      </c>
      <c r="D150" s="11" t="s">
        <v>289</v>
      </c>
      <c r="E150" s="12" t="s">
        <v>290</v>
      </c>
      <c r="F150" s="13">
        <v>18</v>
      </c>
      <c r="G150" s="14">
        <f>=SUMIF($C$17:$C$502,C150,$F$17:$F$502)</f>
      </c>
      <c r="H150" s="14">
        <f>=IFERROR($B$14/$B$10,"")</f>
      </c>
      <c r="I150" s="15">
        <f>=IFERROR(G150/H150,"")</f>
      </c>
      <c r="J150" s="16">
        <v>0.005</v>
      </c>
      <c r="K150" s="11" t="s">
        <v>291</v>
      </c>
      <c r="L150" s="17" t="s">
        <v>292</v>
      </c>
    </row>
    <row r="151" ht="18" customHeight="1" spans="1:12" x14ac:dyDescent="0.25">
      <c r="A151" s="10" t="s">
        <v>269</v>
      </c>
      <c r="B151" s="10" t="s">
        <v>51</v>
      </c>
      <c r="C151" s="10" t="s">
        <v>288</v>
      </c>
      <c r="D151" s="11" t="s">
        <v>293</v>
      </c>
      <c r="E151" s="12" t="s">
        <v>294</v>
      </c>
      <c r="F151" s="13">
        <v>18</v>
      </c>
      <c r="G151" s="14">
        <f>=SUMIF($C$17:$C$502,C151,$F$17:$F$502)</f>
      </c>
      <c r="H151" s="14">
        <f>=IFERROR($B$14/$B$10,"")</f>
      </c>
      <c r="I151" s="15">
        <f>=IFERROR(G151/H151,"")</f>
      </c>
      <c r="J151" s="16">
        <v>0.005</v>
      </c>
      <c r="K151" s="11" t="s">
        <v>291</v>
      </c>
      <c r="L151" s="17" t="s">
        <v>292</v>
      </c>
    </row>
    <row r="152" ht="18" customHeight="1" spans="1:12" x14ac:dyDescent="0.25">
      <c r="A152" s="10" t="s">
        <v>269</v>
      </c>
      <c r="B152" s="10" t="s">
        <v>51</v>
      </c>
      <c r="C152" s="10" t="s">
        <v>288</v>
      </c>
      <c r="D152" s="11" t="s">
        <v>289</v>
      </c>
      <c r="E152" s="12" t="s">
        <v>290</v>
      </c>
      <c r="F152" s="13">
        <v>18</v>
      </c>
      <c r="G152" s="14">
        <f>=SUMIF($C$17:$C$502,C152,$F$17:$F$502)</f>
      </c>
      <c r="H152" s="14">
        <f>=IFERROR($B$14/$B$10,"")</f>
      </c>
      <c r="I152" s="15">
        <f>=IFERROR(G152/H152,"")</f>
      </c>
      <c r="J152" s="16">
        <v>0.005</v>
      </c>
      <c r="K152" s="11" t="s">
        <v>291</v>
      </c>
      <c r="L152" s="17" t="s">
        <v>292</v>
      </c>
    </row>
    <row r="153" ht="18" customHeight="1" spans="1:12" x14ac:dyDescent="0.25">
      <c r="A153" s="10" t="s">
        <v>269</v>
      </c>
      <c r="B153" s="10" t="s">
        <v>51</v>
      </c>
      <c r="C153" s="10" t="s">
        <v>288</v>
      </c>
      <c r="D153" s="11" t="s">
        <v>293</v>
      </c>
      <c r="E153" s="12" t="s">
        <v>294</v>
      </c>
      <c r="F153" s="13">
        <v>18</v>
      </c>
      <c r="G153" s="14">
        <f>=SUMIF($C$17:$C$502,C153,$F$17:$F$502)</f>
      </c>
      <c r="H153" s="14">
        <f>=IFERROR($B$14/$B$10,"")</f>
      </c>
      <c r="I153" s="15">
        <f>=IFERROR(G153/H153,"")</f>
      </c>
      <c r="J153" s="16">
        <v>0.005</v>
      </c>
      <c r="K153" s="11" t="s">
        <v>291</v>
      </c>
      <c r="L153" s="17" t="s">
        <v>292</v>
      </c>
    </row>
    <row r="154" ht="18" customHeight="1" spans="1:12" x14ac:dyDescent="0.25">
      <c r="A154" s="10" t="s">
        <v>269</v>
      </c>
      <c r="B154" s="10" t="s">
        <v>51</v>
      </c>
      <c r="C154" s="10" t="s">
        <v>295</v>
      </c>
      <c r="D154" s="11" t="s">
        <v>296</v>
      </c>
      <c r="E154" s="12" t="s">
        <v>297</v>
      </c>
      <c r="F154" s="13">
        <v>60</v>
      </c>
      <c r="G154" s="14">
        <f>=SUMIF($C$17:$C$502,C154,$F$17:$F$502)</f>
      </c>
      <c r="H154" s="14">
        <f>=IFERROR($B$14/$B$10,"")</f>
      </c>
      <c r="I154" s="15">
        <f>=IFERROR(G154/H154,"")</f>
      </c>
      <c r="J154" s="16">
        <v>0.01666666666666667</v>
      </c>
      <c r="K154" s="11" t="s">
        <v>298</v>
      </c>
      <c r="L154" s="17" t="s">
        <v>299</v>
      </c>
    </row>
    <row r="155" ht="18" customHeight="1" spans="1:12" x14ac:dyDescent="0.25">
      <c r="A155" s="10" t="s">
        <v>269</v>
      </c>
      <c r="B155" s="10" t="s">
        <v>51</v>
      </c>
      <c r="C155" s="10" t="s">
        <v>300</v>
      </c>
      <c r="D155" s="11" t="s">
        <v>296</v>
      </c>
      <c r="E155" s="12" t="s">
        <v>297</v>
      </c>
      <c r="F155" s="13">
        <v>60</v>
      </c>
      <c r="G155" s="14">
        <f>=SUMIF($C$17:$C$502,C155,$F$17:$F$502)</f>
      </c>
      <c r="H155" s="14">
        <f>=IFERROR($B$14/$B$10,"")</f>
      </c>
      <c r="I155" s="15">
        <f>=IFERROR(G155/H155,"")</f>
      </c>
      <c r="J155" s="16">
        <v>0.01666666666666667</v>
      </c>
      <c r="K155" s="11" t="s">
        <v>301</v>
      </c>
      <c r="L155" s="17" t="s">
        <v>302</v>
      </c>
    </row>
    <row r="156" ht="18" customHeight="1" spans="1:12" x14ac:dyDescent="0.25">
      <c r="A156" s="10" t="s">
        <v>269</v>
      </c>
      <c r="B156" s="10" t="s">
        <v>51</v>
      </c>
      <c r="C156" s="10" t="s">
        <v>303</v>
      </c>
      <c r="D156" s="11" t="s">
        <v>304</v>
      </c>
      <c r="E156" s="12" t="s">
        <v>305</v>
      </c>
      <c r="F156" s="13">
        <v>12</v>
      </c>
      <c r="G156" s="14">
        <f>=SUMIF($C$17:$C$502,C156,$F$17:$F$502)</f>
      </c>
      <c r="H156" s="14">
        <f>=IFERROR($B$14/$B$10,"")</f>
      </c>
      <c r="I156" s="15">
        <f>=IFERROR(G156/H156,"")</f>
      </c>
      <c r="J156" s="16">
        <v>0.003333333333333334</v>
      </c>
      <c r="K156" s="11" t="s">
        <v>306</v>
      </c>
      <c r="L156" s="17" t="s">
        <v>307</v>
      </c>
    </row>
    <row r="157" ht="18" customHeight="1" spans="1:12" x14ac:dyDescent="0.25">
      <c r="A157" s="10" t="s">
        <v>269</v>
      </c>
      <c r="B157" s="10" t="s">
        <v>51</v>
      </c>
      <c r="C157" s="10" t="s">
        <v>303</v>
      </c>
      <c r="D157" s="11" t="s">
        <v>308</v>
      </c>
      <c r="E157" s="12" t="s">
        <v>309</v>
      </c>
      <c r="F157" s="13">
        <v>12</v>
      </c>
      <c r="G157" s="14">
        <f>=SUMIF($C$17:$C$502,C157,$F$17:$F$502)</f>
      </c>
      <c r="H157" s="14">
        <f>=IFERROR($B$14/$B$10,"")</f>
      </c>
      <c r="I157" s="15">
        <f>=IFERROR(G157/H157,"")</f>
      </c>
      <c r="J157" s="16">
        <v>0.003333333333333334</v>
      </c>
      <c r="K157" s="11" t="s">
        <v>306</v>
      </c>
      <c r="L157" s="17" t="s">
        <v>307</v>
      </c>
    </row>
    <row r="158" ht="18" customHeight="1" spans="1:12" x14ac:dyDescent="0.25">
      <c r="A158" s="10" t="s">
        <v>269</v>
      </c>
      <c r="B158" s="10" t="s">
        <v>51</v>
      </c>
      <c r="C158" s="10" t="s">
        <v>303</v>
      </c>
      <c r="D158" s="11" t="s">
        <v>310</v>
      </c>
      <c r="E158" s="12" t="s">
        <v>311</v>
      </c>
      <c r="F158" s="13">
        <v>24</v>
      </c>
      <c r="G158" s="14">
        <f>=SUMIF($C$17:$C$502,C158,$F$17:$F$502)</f>
      </c>
      <c r="H158" s="14">
        <f>=IFERROR($B$14/$B$10,"")</f>
      </c>
      <c r="I158" s="15">
        <f>=IFERROR(G158/H158,"")</f>
      </c>
      <c r="J158" s="16">
        <v>0.006666666666666667</v>
      </c>
      <c r="K158" s="11" t="s">
        <v>306</v>
      </c>
      <c r="L158" s="17" t="s">
        <v>307</v>
      </c>
    </row>
    <row r="159" ht="18" customHeight="1" spans="1:12" x14ac:dyDescent="0.25">
      <c r="A159" s="10" t="s">
        <v>269</v>
      </c>
      <c r="B159" s="10" t="s">
        <v>51</v>
      </c>
      <c r="C159" s="10" t="s">
        <v>303</v>
      </c>
      <c r="D159" s="11" t="s">
        <v>312</v>
      </c>
      <c r="E159" s="12" t="s">
        <v>313</v>
      </c>
      <c r="F159" s="13">
        <v>8</v>
      </c>
      <c r="G159" s="14">
        <f>=SUMIF($C$17:$C$502,C159,$F$17:$F$502)</f>
      </c>
      <c r="H159" s="14">
        <f>=IFERROR($B$14/$B$10,"")</f>
      </c>
      <c r="I159" s="15">
        <f>=IFERROR(G159/H159,"")</f>
      </c>
      <c r="J159" s="16">
        <v>0.002222222222222222</v>
      </c>
      <c r="K159" s="11" t="s">
        <v>306</v>
      </c>
      <c r="L159" s="17" t="s">
        <v>307</v>
      </c>
    </row>
    <row r="160" ht="18" customHeight="1" spans="1:12" x14ac:dyDescent="0.25">
      <c r="A160" s="10" t="s">
        <v>269</v>
      </c>
      <c r="B160" s="10" t="s">
        <v>51</v>
      </c>
      <c r="C160" s="10" t="s">
        <v>303</v>
      </c>
      <c r="D160" s="11" t="s">
        <v>314</v>
      </c>
      <c r="E160" s="12" t="s">
        <v>315</v>
      </c>
      <c r="F160" s="13">
        <v>10</v>
      </c>
      <c r="G160" s="14">
        <f>=SUMIF($C$17:$C$502,C160,$F$17:$F$502)</f>
      </c>
      <c r="H160" s="14">
        <f>=IFERROR($B$14/$B$10,"")</f>
      </c>
      <c r="I160" s="15">
        <f>=IFERROR(G160/H160,"")</f>
      </c>
      <c r="J160" s="16">
        <v>0.002777777777777778</v>
      </c>
      <c r="K160" s="11" t="s">
        <v>306</v>
      </c>
      <c r="L160" s="17" t="s">
        <v>307</v>
      </c>
    </row>
    <row r="161" ht="18" customHeight="1" spans="1:12" x14ac:dyDescent="0.25">
      <c r="A161" s="10" t="s">
        <v>269</v>
      </c>
      <c r="B161" s="10" t="s">
        <v>51</v>
      </c>
      <c r="C161" s="10" t="s">
        <v>316</v>
      </c>
      <c r="D161" s="11" t="s">
        <v>317</v>
      </c>
      <c r="E161" s="12" t="s">
        <v>318</v>
      </c>
      <c r="F161" s="13">
        <v>12</v>
      </c>
      <c r="G161" s="14">
        <f>=SUMIF($C$17:$C$502,C161,$F$17:$F$502)</f>
      </c>
      <c r="H161" s="14">
        <f>=IFERROR($B$14/$B$10,"")</f>
      </c>
      <c r="I161" s="15">
        <f>=IFERROR(G161/H161,"")</f>
      </c>
      <c r="J161" s="16">
        <v>0.003333333333333334</v>
      </c>
      <c r="K161" s="11" t="s">
        <v>319</v>
      </c>
      <c r="L161" s="17" t="s">
        <v>320</v>
      </c>
    </row>
    <row r="162" ht="18" customHeight="1" spans="1:12" x14ac:dyDescent="0.25">
      <c r="A162" s="10" t="s">
        <v>269</v>
      </c>
      <c r="B162" s="10" t="s">
        <v>51</v>
      </c>
      <c r="C162" s="10" t="s">
        <v>316</v>
      </c>
      <c r="D162" s="11" t="s">
        <v>321</v>
      </c>
      <c r="E162" s="12" t="s">
        <v>322</v>
      </c>
      <c r="F162" s="13">
        <v>12</v>
      </c>
      <c r="G162" s="14">
        <f>=SUMIF($C$17:$C$502,C162,$F$17:$F$502)</f>
      </c>
      <c r="H162" s="14">
        <f>=IFERROR($B$14/$B$10,"")</f>
      </c>
      <c r="I162" s="15">
        <f>=IFERROR(G162/H162,"")</f>
      </c>
      <c r="J162" s="16">
        <v>0.003333333333333334</v>
      </c>
      <c r="K162" s="11" t="s">
        <v>319</v>
      </c>
      <c r="L162" s="17" t="s">
        <v>320</v>
      </c>
    </row>
    <row r="163" ht="18" customHeight="1" spans="1:12" x14ac:dyDescent="0.25">
      <c r="A163" s="10" t="s">
        <v>269</v>
      </c>
      <c r="B163" s="10" t="s">
        <v>51</v>
      </c>
      <c r="C163" s="10" t="s">
        <v>316</v>
      </c>
      <c r="D163" s="11" t="s">
        <v>323</v>
      </c>
      <c r="E163" s="12" t="s">
        <v>324</v>
      </c>
      <c r="F163" s="13">
        <v>16</v>
      </c>
      <c r="G163" s="14">
        <f>=SUMIF($C$17:$C$502,C163,$F$17:$F$502)</f>
      </c>
      <c r="H163" s="14">
        <f>=IFERROR($B$14/$B$10,"")</f>
      </c>
      <c r="I163" s="15">
        <f>=IFERROR(G163/H163,"")</f>
      </c>
      <c r="J163" s="16">
        <v>0.004444444444444444</v>
      </c>
      <c r="K163" s="11" t="s">
        <v>319</v>
      </c>
      <c r="L163" s="17" t="s">
        <v>320</v>
      </c>
    </row>
    <row r="164" ht="18" customHeight="1" spans="1:12" x14ac:dyDescent="0.25">
      <c r="A164" s="10" t="s">
        <v>269</v>
      </c>
      <c r="B164" s="10" t="s">
        <v>51</v>
      </c>
      <c r="C164" s="10" t="s">
        <v>316</v>
      </c>
      <c r="D164" s="11" t="s">
        <v>325</v>
      </c>
      <c r="E164" s="12" t="s">
        <v>326</v>
      </c>
      <c r="F164" s="13">
        <v>12</v>
      </c>
      <c r="G164" s="14">
        <f>=SUMIF($C$17:$C$502,C164,$F$17:$F$502)</f>
      </c>
      <c r="H164" s="14">
        <f>=IFERROR($B$14/$B$10,"")</f>
      </c>
      <c r="I164" s="15">
        <f>=IFERROR(G164/H164,"")</f>
      </c>
      <c r="J164" s="16">
        <v>0.003333333333333334</v>
      </c>
      <c r="K164" s="11" t="s">
        <v>319</v>
      </c>
      <c r="L164" s="17" t="s">
        <v>320</v>
      </c>
    </row>
    <row r="165" ht="18" customHeight="1" spans="1:12" x14ac:dyDescent="0.25">
      <c r="A165" s="10" t="s">
        <v>269</v>
      </c>
      <c r="B165" s="10" t="s">
        <v>51</v>
      </c>
      <c r="C165" s="10" t="s">
        <v>316</v>
      </c>
      <c r="D165" s="11" t="s">
        <v>327</v>
      </c>
      <c r="E165" s="12" t="s">
        <v>328</v>
      </c>
      <c r="F165" s="13">
        <v>12</v>
      </c>
      <c r="G165" s="14">
        <f>=SUMIF($C$17:$C$502,C165,$F$17:$F$502)</f>
      </c>
      <c r="H165" s="14">
        <f>=IFERROR($B$14/$B$10,"")</f>
      </c>
      <c r="I165" s="15">
        <f>=IFERROR(G165/H165,"")</f>
      </c>
      <c r="J165" s="16">
        <v>0.003333333333333334</v>
      </c>
      <c r="K165" s="11" t="s">
        <v>319</v>
      </c>
      <c r="L165" s="17" t="s">
        <v>320</v>
      </c>
    </row>
    <row r="166" ht="18" customHeight="1" spans="1:12" x14ac:dyDescent="0.25">
      <c r="A166" s="10" t="s">
        <v>269</v>
      </c>
      <c r="B166" s="10" t="s">
        <v>51</v>
      </c>
      <c r="C166" s="10" t="s">
        <v>316</v>
      </c>
      <c r="D166" s="11" t="s">
        <v>329</v>
      </c>
      <c r="E166" s="12" t="s">
        <v>330</v>
      </c>
      <c r="F166" s="13">
        <v>14</v>
      </c>
      <c r="G166" s="14">
        <f>=SUMIF($C$17:$C$502,C166,$F$17:$F$502)</f>
      </c>
      <c r="H166" s="14">
        <f>=IFERROR($B$14/$B$10,"")</f>
      </c>
      <c r="I166" s="15">
        <f>=IFERROR(G166/H166,"")</f>
      </c>
      <c r="J166" s="16">
        <v>0.003888888888888889</v>
      </c>
      <c r="K166" s="11" t="s">
        <v>319</v>
      </c>
      <c r="L166" s="17" t="s">
        <v>320</v>
      </c>
    </row>
    <row r="167" ht="18" customHeight="1" spans="1:12" x14ac:dyDescent="0.25">
      <c r="A167" s="10" t="s">
        <v>269</v>
      </c>
      <c r="B167" s="10" t="s">
        <v>51</v>
      </c>
      <c r="C167" s="10" t="s">
        <v>331</v>
      </c>
      <c r="D167" s="11" t="s">
        <v>332</v>
      </c>
      <c r="E167" s="12" t="s">
        <v>333</v>
      </c>
      <c r="F167" s="13">
        <v>12</v>
      </c>
      <c r="G167" s="14">
        <f>=SUMIF($C$17:$C$502,C167,$F$17:$F$502)</f>
      </c>
      <c r="H167" s="14">
        <f>=IFERROR($B$14/$B$10,"")</f>
      </c>
      <c r="I167" s="15">
        <f>=IFERROR(G167/H167,"")</f>
      </c>
      <c r="J167" s="16">
        <v>0.003333333333333334</v>
      </c>
      <c r="K167" s="11" t="s">
        <v>334</v>
      </c>
      <c r="L167" s="17" t="s">
        <v>335</v>
      </c>
    </row>
    <row r="168" ht="18" customHeight="1" spans="1:12" x14ac:dyDescent="0.25">
      <c r="A168" s="10" t="s">
        <v>269</v>
      </c>
      <c r="B168" s="10" t="s">
        <v>51</v>
      </c>
      <c r="C168" s="10" t="s">
        <v>331</v>
      </c>
      <c r="D168" s="11" t="s">
        <v>327</v>
      </c>
      <c r="E168" s="12" t="s">
        <v>328</v>
      </c>
      <c r="F168" s="13">
        <v>12</v>
      </c>
      <c r="G168" s="14">
        <f>=SUMIF($C$17:$C$502,C168,$F$17:$F$502)</f>
      </c>
      <c r="H168" s="14">
        <f>=IFERROR($B$14/$B$10,"")</f>
      </c>
      <c r="I168" s="15">
        <f>=IFERROR(G168/H168,"")</f>
      </c>
      <c r="J168" s="16">
        <v>0.003333333333333334</v>
      </c>
      <c r="K168" s="11" t="s">
        <v>334</v>
      </c>
      <c r="L168" s="17" t="s">
        <v>335</v>
      </c>
    </row>
    <row r="169" ht="18" customHeight="1" spans="1:12" x14ac:dyDescent="0.25">
      <c r="A169" s="10" t="s">
        <v>269</v>
      </c>
      <c r="B169" s="10" t="s">
        <v>51</v>
      </c>
      <c r="C169" s="10" t="s">
        <v>331</v>
      </c>
      <c r="D169" s="11" t="s">
        <v>336</v>
      </c>
      <c r="E169" s="12" t="s">
        <v>337</v>
      </c>
      <c r="F169" s="13">
        <v>14</v>
      </c>
      <c r="G169" s="14">
        <f>=SUMIF($C$17:$C$502,C169,$F$17:$F$502)</f>
      </c>
      <c r="H169" s="14">
        <f>=IFERROR($B$14/$B$10,"")</f>
      </c>
      <c r="I169" s="15">
        <f>=IFERROR(G169/H169,"")</f>
      </c>
      <c r="J169" s="16">
        <v>0.003888888888888889</v>
      </c>
      <c r="K169" s="11" t="s">
        <v>334</v>
      </c>
      <c r="L169" s="17" t="s">
        <v>335</v>
      </c>
    </row>
    <row r="170" ht="18" customHeight="1" spans="1:12" x14ac:dyDescent="0.25">
      <c r="A170" s="10" t="s">
        <v>269</v>
      </c>
      <c r="B170" s="10" t="s">
        <v>51</v>
      </c>
      <c r="C170" s="10" t="s">
        <v>338</v>
      </c>
      <c r="D170" s="11" t="s">
        <v>339</v>
      </c>
      <c r="E170" s="12" t="s">
        <v>340</v>
      </c>
      <c r="F170" s="13">
        <v>14</v>
      </c>
      <c r="G170" s="14">
        <f>=SUMIF($C$17:$C$502,C170,$F$17:$F$502)</f>
      </c>
      <c r="H170" s="14">
        <f>=IFERROR($B$14/$B$10,"")</f>
      </c>
      <c r="I170" s="15">
        <f>=IFERROR(G170/H170,"")</f>
      </c>
      <c r="J170" s="16">
        <v>0.003888888888888889</v>
      </c>
      <c r="K170" s="11" t="s">
        <v>298</v>
      </c>
      <c r="L170" s="17" t="s">
        <v>299</v>
      </c>
    </row>
    <row r="171" ht="18" customHeight="1" spans="1:12" x14ac:dyDescent="0.25">
      <c r="A171" s="10" t="s">
        <v>269</v>
      </c>
      <c r="B171" s="10" t="s">
        <v>51</v>
      </c>
      <c r="C171" s="10" t="s">
        <v>338</v>
      </c>
      <c r="D171" s="11" t="s">
        <v>341</v>
      </c>
      <c r="E171" s="12" t="s">
        <v>342</v>
      </c>
      <c r="F171" s="13">
        <v>14</v>
      </c>
      <c r="G171" s="14">
        <f>=SUMIF($C$17:$C$502,C171,$F$17:$F$502)</f>
      </c>
      <c r="H171" s="14">
        <f>=IFERROR($B$14/$B$10,"")</f>
      </c>
      <c r="I171" s="15">
        <f>=IFERROR(G171/H171,"")</f>
      </c>
      <c r="J171" s="16">
        <v>0.003888888888888889</v>
      </c>
      <c r="K171" s="11" t="s">
        <v>298</v>
      </c>
      <c r="L171" s="17" t="s">
        <v>299</v>
      </c>
    </row>
    <row r="172" ht="18" customHeight="1" spans="1:12" x14ac:dyDescent="0.25">
      <c r="A172" s="10" t="s">
        <v>269</v>
      </c>
      <c r="B172" s="10" t="s">
        <v>51</v>
      </c>
      <c r="C172" s="10" t="s">
        <v>338</v>
      </c>
      <c r="D172" s="11" t="s">
        <v>343</v>
      </c>
      <c r="E172" s="12" t="s">
        <v>344</v>
      </c>
      <c r="F172" s="13">
        <v>52</v>
      </c>
      <c r="G172" s="14">
        <f>=SUMIF($C$17:$C$502,C172,$F$17:$F$502)</f>
      </c>
      <c r="H172" s="14">
        <f>=IFERROR($B$14/$B$10,"")</f>
      </c>
      <c r="I172" s="15">
        <f>=IFERROR(G172/H172,"")</f>
      </c>
      <c r="J172" s="16">
        <v>0.01444444444444444</v>
      </c>
      <c r="K172" s="11" t="s">
        <v>298</v>
      </c>
      <c r="L172" s="17" t="s">
        <v>299</v>
      </c>
    </row>
    <row r="173" ht="18" customHeight="1" spans="1:12" x14ac:dyDescent="0.25">
      <c r="A173" s="10" t="s">
        <v>269</v>
      </c>
      <c r="B173" s="10" t="s">
        <v>51</v>
      </c>
      <c r="C173" s="10" t="s">
        <v>338</v>
      </c>
      <c r="D173" s="11" t="s">
        <v>339</v>
      </c>
      <c r="E173" s="12" t="s">
        <v>340</v>
      </c>
      <c r="F173" s="13">
        <v>12</v>
      </c>
      <c r="G173" s="14">
        <f>=SUMIF($C$17:$C$502,C173,$F$17:$F$502)</f>
      </c>
      <c r="H173" s="14">
        <f>=IFERROR($B$14/$B$10,"")</f>
      </c>
      <c r="I173" s="15">
        <f>=IFERROR(G173/H173,"")</f>
      </c>
      <c r="J173" s="16">
        <v>0.003333333333333334</v>
      </c>
      <c r="K173" s="11" t="s">
        <v>298</v>
      </c>
      <c r="L173" s="17" t="s">
        <v>299</v>
      </c>
    </row>
    <row r="174" ht="18" customHeight="1" spans="1:12" x14ac:dyDescent="0.25">
      <c r="A174" s="10" t="s">
        <v>269</v>
      </c>
      <c r="B174" s="10" t="s">
        <v>51</v>
      </c>
      <c r="C174" s="10" t="s">
        <v>338</v>
      </c>
      <c r="D174" s="11" t="s">
        <v>345</v>
      </c>
      <c r="E174" s="12" t="s">
        <v>346</v>
      </c>
      <c r="F174" s="13">
        <v>12</v>
      </c>
      <c r="G174" s="14">
        <f>=SUMIF($C$17:$C$502,C174,$F$17:$F$502)</f>
      </c>
      <c r="H174" s="14">
        <f>=IFERROR($B$14/$B$10,"")</f>
      </c>
      <c r="I174" s="15">
        <f>=IFERROR(G174/H174,"")</f>
      </c>
      <c r="J174" s="16">
        <v>0.003333333333333334</v>
      </c>
      <c r="K174" s="11" t="s">
        <v>298</v>
      </c>
      <c r="L174" s="17" t="s">
        <v>299</v>
      </c>
    </row>
    <row r="175" ht="18" customHeight="1" spans="1:12" x14ac:dyDescent="0.25">
      <c r="A175" s="10" t="s">
        <v>269</v>
      </c>
      <c r="B175" s="10" t="s">
        <v>51</v>
      </c>
      <c r="C175" s="10" t="s">
        <v>338</v>
      </c>
      <c r="D175" s="11" t="s">
        <v>347</v>
      </c>
      <c r="E175" s="12" t="s">
        <v>348</v>
      </c>
      <c r="F175" s="13">
        <v>36</v>
      </c>
      <c r="G175" s="14">
        <f>=SUMIF($C$17:$C$502,C175,$F$17:$F$502)</f>
      </c>
      <c r="H175" s="14">
        <f>=IFERROR($B$14/$B$10,"")</f>
      </c>
      <c r="I175" s="15">
        <f>=IFERROR(G175/H175,"")</f>
      </c>
      <c r="J175" s="16">
        <v>0.01</v>
      </c>
      <c r="K175" s="11" t="s">
        <v>298</v>
      </c>
      <c r="L175" s="17" t="s">
        <v>299</v>
      </c>
    </row>
    <row r="176" ht="18" customHeight="1" spans="1:12" x14ac:dyDescent="0.25">
      <c r="A176" s="10" t="s">
        <v>269</v>
      </c>
      <c r="B176" s="10" t="s">
        <v>51</v>
      </c>
      <c r="C176" s="10" t="s">
        <v>349</v>
      </c>
      <c r="D176" s="11" t="s">
        <v>350</v>
      </c>
      <c r="E176" s="12" t="s">
        <v>351</v>
      </c>
      <c r="F176" s="13">
        <v>60</v>
      </c>
      <c r="G176" s="14">
        <f>=SUMIF($C$17:$C$502,C176,$F$17:$F$502)</f>
      </c>
      <c r="H176" s="14">
        <f>=IFERROR($B$14/$B$10,"")</f>
      </c>
      <c r="I176" s="15">
        <f>=IFERROR(G176/H176,"")</f>
      </c>
      <c r="J176" s="16">
        <v>0.01666666666666667</v>
      </c>
      <c r="K176" s="11" t="s">
        <v>352</v>
      </c>
      <c r="L176" s="17" t="s">
        <v>353</v>
      </c>
    </row>
    <row r="177" ht="18" customHeight="1" spans="1:12" x14ac:dyDescent="0.25">
      <c r="A177" s="10" t="s">
        <v>269</v>
      </c>
      <c r="B177" s="10" t="s">
        <v>51</v>
      </c>
      <c r="C177" s="10" t="s">
        <v>349</v>
      </c>
      <c r="D177" s="11" t="s">
        <v>350</v>
      </c>
      <c r="E177" s="12" t="s">
        <v>351</v>
      </c>
      <c r="F177" s="13">
        <v>60</v>
      </c>
      <c r="G177" s="14">
        <f>=SUMIF($C$17:$C$502,C177,$F$17:$F$502)</f>
      </c>
      <c r="H177" s="14">
        <f>=IFERROR($B$14/$B$10,"")</f>
      </c>
      <c r="I177" s="15">
        <f>=IFERROR(G177/H177,"")</f>
      </c>
      <c r="J177" s="16">
        <v>0.01666666666666667</v>
      </c>
      <c r="K177" s="11" t="s">
        <v>352</v>
      </c>
      <c r="L177" s="17" t="s">
        <v>353</v>
      </c>
    </row>
    <row r="178" ht="18" customHeight="1" spans="1:12" x14ac:dyDescent="0.25">
      <c r="A178" s="10" t="s">
        <v>269</v>
      </c>
      <c r="B178" s="10" t="s">
        <v>51</v>
      </c>
      <c r="C178" s="10" t="s">
        <v>354</v>
      </c>
      <c r="D178" s="11" t="s">
        <v>355</v>
      </c>
      <c r="E178" s="12" t="s">
        <v>356</v>
      </c>
      <c r="F178" s="13">
        <v>16</v>
      </c>
      <c r="G178" s="14">
        <f>=SUMIF($C$17:$C$502,C178,$F$17:$F$502)</f>
      </c>
      <c r="H178" s="14">
        <f>=IFERROR($B$14/$B$10,"")</f>
      </c>
      <c r="I178" s="15">
        <f>=IFERROR(G178/H178,"")</f>
      </c>
      <c r="J178" s="16">
        <v>0.004444444444444444</v>
      </c>
      <c r="K178" s="11" t="s">
        <v>357</v>
      </c>
      <c r="L178" s="17" t="s">
        <v>358</v>
      </c>
    </row>
    <row r="179" ht="18" customHeight="1" spans="1:12" x14ac:dyDescent="0.25">
      <c r="A179" s="10" t="s">
        <v>269</v>
      </c>
      <c r="B179" s="10" t="s">
        <v>51</v>
      </c>
      <c r="C179" s="10" t="s">
        <v>354</v>
      </c>
      <c r="D179" s="11" t="s">
        <v>262</v>
      </c>
      <c r="E179" s="12" t="s">
        <v>263</v>
      </c>
      <c r="F179" s="13">
        <v>60</v>
      </c>
      <c r="G179" s="14">
        <f>=SUMIF($C$17:$C$502,C179,$F$17:$F$502)</f>
      </c>
      <c r="H179" s="14">
        <f>=IFERROR($B$14/$B$10,"")</f>
      </c>
      <c r="I179" s="15">
        <f>=IFERROR(G179/H179,"")</f>
      </c>
      <c r="J179" s="16">
        <v>0.01666666666666667</v>
      </c>
      <c r="K179" s="11" t="s">
        <v>357</v>
      </c>
      <c r="L179" s="17" t="s">
        <v>358</v>
      </c>
    </row>
    <row r="180" ht="18" customHeight="1" spans="1:12" x14ac:dyDescent="0.25">
      <c r="A180" s="10" t="s">
        <v>269</v>
      </c>
      <c r="B180" s="10" t="s">
        <v>51</v>
      </c>
      <c r="C180" s="10" t="s">
        <v>359</v>
      </c>
      <c r="D180" s="11" t="s">
        <v>327</v>
      </c>
      <c r="E180" s="12" t="s">
        <v>328</v>
      </c>
      <c r="F180" s="13">
        <v>12</v>
      </c>
      <c r="G180" s="14">
        <f>=SUMIF($C$17:$C$502,C180,$F$17:$F$502)</f>
      </c>
      <c r="H180" s="14">
        <f>=IFERROR($B$14/$B$10,"")</f>
      </c>
      <c r="I180" s="15">
        <f>=IFERROR(G180/H180,"")</f>
      </c>
      <c r="J180" s="16">
        <v>0.003333333333333334</v>
      </c>
      <c r="K180" s="11" t="s">
        <v>360</v>
      </c>
      <c r="L180" s="17" t="s">
        <v>361</v>
      </c>
    </row>
    <row r="181" ht="18" customHeight="1" spans="1:12" x14ac:dyDescent="0.25">
      <c r="A181" s="10" t="s">
        <v>269</v>
      </c>
      <c r="B181" s="10" t="s">
        <v>51</v>
      </c>
      <c r="C181" s="10" t="s">
        <v>359</v>
      </c>
      <c r="D181" s="11" t="s">
        <v>362</v>
      </c>
      <c r="E181" s="12" t="s">
        <v>363</v>
      </c>
      <c r="F181" s="13">
        <v>12</v>
      </c>
      <c r="G181" s="14">
        <f>=SUMIF($C$17:$C$502,C181,$F$17:$F$502)</f>
      </c>
      <c r="H181" s="14">
        <f>=IFERROR($B$14/$B$10,"")</f>
      </c>
      <c r="I181" s="15">
        <f>=IFERROR(G181/H181,"")</f>
      </c>
      <c r="J181" s="16">
        <v>0.003333333333333334</v>
      </c>
      <c r="K181" s="11" t="s">
        <v>360</v>
      </c>
      <c r="L181" s="17" t="s">
        <v>361</v>
      </c>
    </row>
    <row r="182" ht="18" customHeight="1" spans="1:12" x14ac:dyDescent="0.25">
      <c r="A182" s="10" t="s">
        <v>269</v>
      </c>
      <c r="B182" s="10" t="s">
        <v>51</v>
      </c>
      <c r="C182" s="10" t="s">
        <v>359</v>
      </c>
      <c r="D182" s="11" t="s">
        <v>364</v>
      </c>
      <c r="E182" s="12" t="s">
        <v>365</v>
      </c>
      <c r="F182" s="13">
        <v>24</v>
      </c>
      <c r="G182" s="14">
        <f>=SUMIF($C$17:$C$502,C182,$F$17:$F$502)</f>
      </c>
      <c r="H182" s="14">
        <f>=IFERROR($B$14/$B$10,"")</f>
      </c>
      <c r="I182" s="15">
        <f>=IFERROR(G182/H182,"")</f>
      </c>
      <c r="J182" s="16">
        <v>0.006666666666666667</v>
      </c>
      <c r="K182" s="11" t="s">
        <v>360</v>
      </c>
      <c r="L182" s="17" t="s">
        <v>361</v>
      </c>
    </row>
    <row r="183" ht="18" customHeight="1" spans="1:12" x14ac:dyDescent="0.25">
      <c r="A183" s="10" t="s">
        <v>269</v>
      </c>
      <c r="B183" s="10" t="s">
        <v>51</v>
      </c>
      <c r="C183" s="10" t="s">
        <v>366</v>
      </c>
      <c r="D183" s="11" t="s">
        <v>367</v>
      </c>
      <c r="E183" s="12" t="s">
        <v>368</v>
      </c>
      <c r="F183" s="13">
        <v>14</v>
      </c>
      <c r="G183" s="14">
        <f>=SUMIF($C$17:$C$502,C183,$F$17:$F$502)</f>
      </c>
      <c r="H183" s="14">
        <f>=IFERROR($B$14/$B$10,"")</f>
      </c>
      <c r="I183" s="15">
        <f>=IFERROR(G183/H183,"")</f>
      </c>
      <c r="J183" s="16">
        <v>0.003888888888888889</v>
      </c>
      <c r="K183" s="11" t="s">
        <v>369</v>
      </c>
      <c r="L183" s="17" t="s">
        <v>370</v>
      </c>
    </row>
    <row r="184" ht="18" customHeight="1" spans="1:12" x14ac:dyDescent="0.25">
      <c r="A184" s="10" t="s">
        <v>269</v>
      </c>
      <c r="B184" s="10" t="s">
        <v>51</v>
      </c>
      <c r="C184" s="10" t="s">
        <v>366</v>
      </c>
      <c r="D184" s="11" t="s">
        <v>371</v>
      </c>
      <c r="E184" s="12" t="s">
        <v>372</v>
      </c>
      <c r="F184" s="13">
        <v>14</v>
      </c>
      <c r="G184" s="14">
        <f>=SUMIF($C$17:$C$502,C184,$F$17:$F$502)</f>
      </c>
      <c r="H184" s="14">
        <f>=IFERROR($B$14/$B$10,"")</f>
      </c>
      <c r="I184" s="15">
        <f>=IFERROR(G184/H184,"")</f>
      </c>
      <c r="J184" s="16">
        <v>0.003888888888888889</v>
      </c>
      <c r="K184" s="11" t="s">
        <v>369</v>
      </c>
      <c r="L184" s="17" t="s">
        <v>370</v>
      </c>
    </row>
    <row r="185" ht="18" customHeight="1" spans="1:12" x14ac:dyDescent="0.25">
      <c r="A185" s="10" t="s">
        <v>269</v>
      </c>
      <c r="B185" s="10" t="s">
        <v>51</v>
      </c>
      <c r="C185" s="10" t="s">
        <v>366</v>
      </c>
      <c r="D185" s="11" t="s">
        <v>373</v>
      </c>
      <c r="E185" s="12" t="s">
        <v>374</v>
      </c>
      <c r="F185" s="13">
        <v>52</v>
      </c>
      <c r="G185" s="14">
        <f>=SUMIF($C$17:$C$502,C185,$F$17:$F$502)</f>
      </c>
      <c r="H185" s="14">
        <f>=IFERROR($B$14/$B$10,"")</f>
      </c>
      <c r="I185" s="15">
        <f>=IFERROR(G185/H185,"")</f>
      </c>
      <c r="J185" s="16">
        <v>0.01444444444444444</v>
      </c>
      <c r="K185" s="11" t="s">
        <v>369</v>
      </c>
      <c r="L185" s="17" t="s">
        <v>370</v>
      </c>
    </row>
    <row r="186" ht="18" customHeight="1" spans="1:12" x14ac:dyDescent="0.25">
      <c r="A186" s="10" t="s">
        <v>269</v>
      </c>
      <c r="B186" s="10" t="s">
        <v>51</v>
      </c>
      <c r="C186" s="10" t="s">
        <v>375</v>
      </c>
      <c r="D186" s="11" t="s">
        <v>367</v>
      </c>
      <c r="E186" s="12" t="s">
        <v>368</v>
      </c>
      <c r="F186" s="13">
        <v>14</v>
      </c>
      <c r="G186" s="14">
        <f>=SUMIF($C$17:$C$502,C186,$F$17:$F$502)</f>
      </c>
      <c r="H186" s="14">
        <f>=IFERROR($B$14/$B$10,"")</f>
      </c>
      <c r="I186" s="15">
        <f>=IFERROR(G186/H186,"")</f>
      </c>
      <c r="J186" s="16">
        <v>0.003888888888888889</v>
      </c>
      <c r="K186" s="11" t="s">
        <v>376</v>
      </c>
      <c r="L186" s="17" t="s">
        <v>377</v>
      </c>
    </row>
    <row r="187" ht="18" customHeight="1" spans="1:12" x14ac:dyDescent="0.25">
      <c r="A187" s="10" t="s">
        <v>269</v>
      </c>
      <c r="B187" s="10" t="s">
        <v>51</v>
      </c>
      <c r="C187" s="10" t="s">
        <v>375</v>
      </c>
      <c r="D187" s="11" t="s">
        <v>371</v>
      </c>
      <c r="E187" s="12" t="s">
        <v>372</v>
      </c>
      <c r="F187" s="13">
        <v>14</v>
      </c>
      <c r="G187" s="14">
        <f>=SUMIF($C$17:$C$502,C187,$F$17:$F$502)</f>
      </c>
      <c r="H187" s="14">
        <f>=IFERROR($B$14/$B$10,"")</f>
      </c>
      <c r="I187" s="15">
        <f>=IFERROR(G187/H187,"")</f>
      </c>
      <c r="J187" s="16">
        <v>0.003888888888888889</v>
      </c>
      <c r="K187" s="11" t="s">
        <v>376</v>
      </c>
      <c r="L187" s="17" t="s">
        <v>377</v>
      </c>
    </row>
    <row r="188" ht="18" customHeight="1" spans="1:12" x14ac:dyDescent="0.25">
      <c r="A188" s="10" t="s">
        <v>269</v>
      </c>
      <c r="B188" s="10" t="s">
        <v>51</v>
      </c>
      <c r="C188" s="10" t="s">
        <v>375</v>
      </c>
      <c r="D188" s="11" t="s">
        <v>373</v>
      </c>
      <c r="E188" s="12" t="s">
        <v>374</v>
      </c>
      <c r="F188" s="13">
        <v>52</v>
      </c>
      <c r="G188" s="14">
        <f>=SUMIF($C$17:$C$502,C188,$F$17:$F$502)</f>
      </c>
      <c r="H188" s="14">
        <f>=IFERROR($B$14/$B$10,"")</f>
      </c>
      <c r="I188" s="15">
        <f>=IFERROR(G188/H188,"")</f>
      </c>
      <c r="J188" s="16">
        <v>0.01444444444444444</v>
      </c>
      <c r="K188" s="11" t="s">
        <v>376</v>
      </c>
      <c r="L188" s="17" t="s">
        <v>377</v>
      </c>
    </row>
    <row r="189" ht="18" customHeight="1" spans="1:12" x14ac:dyDescent="0.25">
      <c r="A189" s="10" t="s">
        <v>269</v>
      </c>
      <c r="B189" s="10" t="s">
        <v>51</v>
      </c>
      <c r="C189" s="10" t="s">
        <v>378</v>
      </c>
      <c r="D189" s="11" t="s">
        <v>379</v>
      </c>
      <c r="E189" s="12" t="s">
        <v>380</v>
      </c>
      <c r="F189" s="13">
        <v>36</v>
      </c>
      <c r="G189" s="14">
        <f>=SUMIF($C$17:$C$502,C189,$F$17:$F$502)</f>
      </c>
      <c r="H189" s="14">
        <f>=IFERROR($B$14/$B$10,"")</f>
      </c>
      <c r="I189" s="15">
        <f>=IFERROR(G189/H189,"")</f>
      </c>
      <c r="J189" s="16">
        <v>0.01</v>
      </c>
      <c r="K189" s="11" t="s">
        <v>381</v>
      </c>
      <c r="L189" s="17" t="s">
        <v>382</v>
      </c>
    </row>
    <row r="190" ht="18" customHeight="1" spans="1:12" x14ac:dyDescent="0.25">
      <c r="A190" s="10" t="s">
        <v>269</v>
      </c>
      <c r="B190" s="10" t="s">
        <v>51</v>
      </c>
      <c r="C190" s="10" t="s">
        <v>378</v>
      </c>
      <c r="D190" s="11" t="s">
        <v>262</v>
      </c>
      <c r="E190" s="12" t="s">
        <v>263</v>
      </c>
      <c r="F190" s="13">
        <v>28</v>
      </c>
      <c r="G190" s="14">
        <f>=SUMIF($C$17:$C$502,C190,$F$17:$F$502)</f>
      </c>
      <c r="H190" s="14">
        <f>=IFERROR($B$14/$B$10,"")</f>
      </c>
      <c r="I190" s="15">
        <f>=IFERROR(G190/H190,"")</f>
      </c>
      <c r="J190" s="16">
        <v>0.007777777777777778</v>
      </c>
      <c r="K190" s="11" t="s">
        <v>381</v>
      </c>
      <c r="L190" s="17" t="s">
        <v>382</v>
      </c>
    </row>
    <row r="191" ht="18" customHeight="1" spans="1:12" x14ac:dyDescent="0.25">
      <c r="A191" s="10" t="s">
        <v>269</v>
      </c>
      <c r="B191" s="10" t="s">
        <v>51</v>
      </c>
      <c r="C191" s="10" t="s">
        <v>383</v>
      </c>
      <c r="D191" s="11" t="s">
        <v>155</v>
      </c>
      <c r="E191" s="12" t="s">
        <v>156</v>
      </c>
      <c r="F191" s="13">
        <v>10</v>
      </c>
      <c r="G191" s="14">
        <f>=SUMIF($C$17:$C$502,C191,$F$17:$F$502)</f>
      </c>
      <c r="H191" s="14">
        <f>=IFERROR($B$14/$B$10,"")</f>
      </c>
      <c r="I191" s="15">
        <f>=IFERROR(G191/H191,"")</f>
      </c>
      <c r="J191" s="16">
        <v>0.002777777777777778</v>
      </c>
      <c r="K191" s="11" t="s">
        <v>384</v>
      </c>
      <c r="L191" s="17" t="s">
        <v>385</v>
      </c>
    </row>
    <row r="192" ht="18" customHeight="1" spans="1:12" x14ac:dyDescent="0.25">
      <c r="A192" s="10" t="s">
        <v>269</v>
      </c>
      <c r="B192" s="10" t="s">
        <v>51</v>
      </c>
      <c r="C192" s="10" t="s">
        <v>383</v>
      </c>
      <c r="D192" s="11" t="s">
        <v>155</v>
      </c>
      <c r="E192" s="12" t="s">
        <v>156</v>
      </c>
      <c r="F192" s="13">
        <v>12</v>
      </c>
      <c r="G192" s="14">
        <f>=SUMIF($C$17:$C$502,C192,$F$17:$F$502)</f>
      </c>
      <c r="H192" s="14">
        <f>=IFERROR($B$14/$B$10,"")</f>
      </c>
      <c r="I192" s="15">
        <f>=IFERROR(G192/H192,"")</f>
      </c>
      <c r="J192" s="16">
        <v>0.003333333333333334</v>
      </c>
      <c r="K192" s="11" t="s">
        <v>384</v>
      </c>
      <c r="L192" s="17" t="s">
        <v>385</v>
      </c>
    </row>
    <row r="193" ht="18" customHeight="1" spans="1:12" x14ac:dyDescent="0.25">
      <c r="A193" s="10" t="s">
        <v>269</v>
      </c>
      <c r="B193" s="10" t="s">
        <v>51</v>
      </c>
      <c r="C193" s="10" t="s">
        <v>383</v>
      </c>
      <c r="D193" s="11" t="s">
        <v>155</v>
      </c>
      <c r="E193" s="12" t="s">
        <v>156</v>
      </c>
      <c r="F193" s="13">
        <v>12</v>
      </c>
      <c r="G193" s="14">
        <f>=SUMIF($C$17:$C$502,C193,$F$17:$F$502)</f>
      </c>
      <c r="H193" s="14">
        <f>=IFERROR($B$14/$B$10,"")</f>
      </c>
      <c r="I193" s="15">
        <f>=IFERROR(G193/H193,"")</f>
      </c>
      <c r="J193" s="16">
        <v>0.003333333333333334</v>
      </c>
      <c r="K193" s="11" t="s">
        <v>384</v>
      </c>
      <c r="L193" s="17" t="s">
        <v>385</v>
      </c>
    </row>
    <row r="194" ht="18" customHeight="1" spans="1:12" x14ac:dyDescent="0.25">
      <c r="A194" s="10" t="s">
        <v>269</v>
      </c>
      <c r="B194" s="10" t="s">
        <v>51</v>
      </c>
      <c r="C194" s="10" t="s">
        <v>383</v>
      </c>
      <c r="D194" s="11" t="s">
        <v>155</v>
      </c>
      <c r="E194" s="12" t="s">
        <v>156</v>
      </c>
      <c r="F194" s="13">
        <v>10</v>
      </c>
      <c r="G194" s="14">
        <f>=SUMIF($C$17:$C$502,C194,$F$17:$F$502)</f>
      </c>
      <c r="H194" s="14">
        <f>=IFERROR($B$14/$B$10,"")</f>
      </c>
      <c r="I194" s="15">
        <f>=IFERROR(G194/H194,"")</f>
      </c>
      <c r="J194" s="16">
        <v>0.002777777777777778</v>
      </c>
      <c r="K194" s="11" t="s">
        <v>384</v>
      </c>
      <c r="L194" s="17" t="s">
        <v>385</v>
      </c>
    </row>
    <row r="195" ht="18" customHeight="1" spans="1:12" x14ac:dyDescent="0.25">
      <c r="A195" s="10" t="s">
        <v>269</v>
      </c>
      <c r="B195" s="10" t="s">
        <v>51</v>
      </c>
      <c r="C195" s="10" t="s">
        <v>383</v>
      </c>
      <c r="D195" s="11" t="s">
        <v>155</v>
      </c>
      <c r="E195" s="12" t="s">
        <v>156</v>
      </c>
      <c r="F195" s="13">
        <v>12</v>
      </c>
      <c r="G195" s="14">
        <f>=SUMIF($C$17:$C$502,C195,$F$17:$F$502)</f>
      </c>
      <c r="H195" s="14">
        <f>=IFERROR($B$14/$B$10,"")</f>
      </c>
      <c r="I195" s="15">
        <f>=IFERROR(G195/H195,"")</f>
      </c>
      <c r="J195" s="16">
        <v>0.003333333333333334</v>
      </c>
      <c r="K195" s="11" t="s">
        <v>384</v>
      </c>
      <c r="L195" s="17" t="s">
        <v>385</v>
      </c>
    </row>
    <row r="196" ht="18" customHeight="1" spans="1:12" x14ac:dyDescent="0.25">
      <c r="A196" s="10" t="s">
        <v>269</v>
      </c>
      <c r="B196" s="10" t="s">
        <v>51</v>
      </c>
      <c r="C196" s="10" t="s">
        <v>383</v>
      </c>
      <c r="D196" s="11" t="s">
        <v>155</v>
      </c>
      <c r="E196" s="12" t="s">
        <v>156</v>
      </c>
      <c r="F196" s="13">
        <v>10</v>
      </c>
      <c r="G196" s="14">
        <f>=SUMIF($C$17:$C$502,C196,$F$17:$F$502)</f>
      </c>
      <c r="H196" s="14">
        <f>=IFERROR($B$14/$B$10,"")</f>
      </c>
      <c r="I196" s="15">
        <f>=IFERROR(G196/H196,"")</f>
      </c>
      <c r="J196" s="16">
        <v>0.002777777777777778</v>
      </c>
      <c r="K196" s="11" t="s">
        <v>384</v>
      </c>
      <c r="L196" s="17" t="s">
        <v>385</v>
      </c>
    </row>
    <row r="197" ht="18" customHeight="1" spans="1:12" x14ac:dyDescent="0.25">
      <c r="A197" s="10" t="s">
        <v>184</v>
      </c>
      <c r="B197" s="10" t="s">
        <v>51</v>
      </c>
      <c r="C197" s="10" t="s">
        <v>386</v>
      </c>
      <c r="D197" s="11" t="s">
        <v>171</v>
      </c>
      <c r="E197" s="12" t="s">
        <v>172</v>
      </c>
      <c r="F197" s="13">
        <v>10</v>
      </c>
      <c r="G197" s="14">
        <f>=SUMIF($C$17:$C$502,C197,$F$17:$F$502)</f>
      </c>
      <c r="H197" s="14">
        <f>=IFERROR($B$14/$B$10,"")</f>
      </c>
      <c r="I197" s="15">
        <f>=IFERROR(G197/H197,"")</f>
      </c>
      <c r="J197" s="16">
        <v>0.002777777777777778</v>
      </c>
      <c r="K197" s="11" t="s">
        <v>387</v>
      </c>
      <c r="L197" s="17" t="s">
        <v>388</v>
      </c>
    </row>
    <row r="198" ht="18" customHeight="1" spans="1:12" x14ac:dyDescent="0.25">
      <c r="A198" s="10" t="s">
        <v>184</v>
      </c>
      <c r="B198" s="10" t="s">
        <v>51</v>
      </c>
      <c r="C198" s="10" t="s">
        <v>386</v>
      </c>
      <c r="D198" s="11" t="s">
        <v>178</v>
      </c>
      <c r="E198" s="12" t="s">
        <v>179</v>
      </c>
      <c r="F198" s="13">
        <v>10</v>
      </c>
      <c r="G198" s="14">
        <f>=SUMIF($C$17:$C$502,C198,$F$17:$F$502)</f>
      </c>
      <c r="H198" s="14">
        <f>=IFERROR($B$14/$B$10,"")</f>
      </c>
      <c r="I198" s="15">
        <f>=IFERROR(G198/H198,"")</f>
      </c>
      <c r="J198" s="16">
        <v>0.002777777777777778</v>
      </c>
      <c r="K198" s="11" t="s">
        <v>387</v>
      </c>
      <c r="L198" s="17" t="s">
        <v>388</v>
      </c>
    </row>
    <row r="199" ht="18" customHeight="1" spans="1:12" x14ac:dyDescent="0.25">
      <c r="A199" s="10" t="s">
        <v>184</v>
      </c>
      <c r="B199" s="10" t="s">
        <v>51</v>
      </c>
      <c r="C199" s="10" t="s">
        <v>386</v>
      </c>
      <c r="D199" s="11" t="s">
        <v>180</v>
      </c>
      <c r="E199" s="12" t="s">
        <v>181</v>
      </c>
      <c r="F199" s="13">
        <v>10</v>
      </c>
      <c r="G199" s="14">
        <f>=SUMIF($C$17:$C$502,C199,$F$17:$F$502)</f>
      </c>
      <c r="H199" s="14">
        <f>=IFERROR($B$14/$B$10,"")</f>
      </c>
      <c r="I199" s="15">
        <f>=IFERROR(G199/H199,"")</f>
      </c>
      <c r="J199" s="16">
        <v>0.002777777777777778</v>
      </c>
      <c r="K199" s="11" t="s">
        <v>387</v>
      </c>
      <c r="L199" s="17" t="s">
        <v>388</v>
      </c>
    </row>
    <row r="200" ht="18" customHeight="1" spans="1:12" x14ac:dyDescent="0.25">
      <c r="A200" s="10" t="s">
        <v>184</v>
      </c>
      <c r="B200" s="10" t="s">
        <v>51</v>
      </c>
      <c r="C200" s="10" t="s">
        <v>386</v>
      </c>
      <c r="D200" s="11" t="s">
        <v>168</v>
      </c>
      <c r="E200" s="12" t="s">
        <v>169</v>
      </c>
      <c r="F200" s="13">
        <v>10</v>
      </c>
      <c r="G200" s="14">
        <f>=SUMIF($C$17:$C$502,C200,$F$17:$F$502)</f>
      </c>
      <c r="H200" s="14">
        <f>=IFERROR($B$14/$B$10,"")</f>
      </c>
      <c r="I200" s="15">
        <f>=IFERROR(G200/H200,"")</f>
      </c>
      <c r="J200" s="16">
        <v>0.002777777777777778</v>
      </c>
      <c r="K200" s="11" t="s">
        <v>387</v>
      </c>
      <c r="L200" s="17" t="s">
        <v>388</v>
      </c>
    </row>
    <row r="201" ht="18" customHeight="1" spans="1:12" x14ac:dyDescent="0.25">
      <c r="A201" s="10" t="s">
        <v>269</v>
      </c>
      <c r="B201" s="10" t="s">
        <v>51</v>
      </c>
      <c r="C201" s="10" t="s">
        <v>389</v>
      </c>
      <c r="D201" s="11" t="s">
        <v>171</v>
      </c>
      <c r="E201" s="12" t="s">
        <v>172</v>
      </c>
      <c r="F201" s="13">
        <v>16</v>
      </c>
      <c r="G201" s="14">
        <f>=SUMIF($C$17:$C$502,C201,$F$17:$F$502)</f>
      </c>
      <c r="H201" s="14">
        <f>=IFERROR($B$14/$B$10,"")</f>
      </c>
      <c r="I201" s="15">
        <f>=IFERROR(G201/H201,"")</f>
      </c>
      <c r="J201" s="16">
        <v>0.004444444444444444</v>
      </c>
      <c r="K201" s="11" t="s">
        <v>220</v>
      </c>
      <c r="L201" s="17" t="s">
        <v>221</v>
      </c>
    </row>
    <row r="202" ht="18" customHeight="1" spans="1:12" x14ac:dyDescent="0.25">
      <c r="A202" s="10" t="s">
        <v>269</v>
      </c>
      <c r="B202" s="10" t="s">
        <v>51</v>
      </c>
      <c r="C202" s="10" t="s">
        <v>389</v>
      </c>
      <c r="D202" s="11" t="s">
        <v>178</v>
      </c>
      <c r="E202" s="12" t="s">
        <v>179</v>
      </c>
      <c r="F202" s="13">
        <v>16</v>
      </c>
      <c r="G202" s="14">
        <f>=SUMIF($C$17:$C$502,C202,$F$17:$F$502)</f>
      </c>
      <c r="H202" s="14">
        <f>=IFERROR($B$14/$B$10,"")</f>
      </c>
      <c r="I202" s="15">
        <f>=IFERROR(G202/H202,"")</f>
      </c>
      <c r="J202" s="16">
        <v>0.004444444444444444</v>
      </c>
      <c r="K202" s="11" t="s">
        <v>220</v>
      </c>
      <c r="L202" s="17" t="s">
        <v>221</v>
      </c>
    </row>
    <row r="203" ht="18" customHeight="1" spans="1:12" x14ac:dyDescent="0.25">
      <c r="A203" s="10" t="s">
        <v>269</v>
      </c>
      <c r="B203" s="10" t="s">
        <v>51</v>
      </c>
      <c r="C203" s="10" t="s">
        <v>389</v>
      </c>
      <c r="D203" s="11" t="s">
        <v>168</v>
      </c>
      <c r="E203" s="12" t="s">
        <v>169</v>
      </c>
      <c r="F203" s="13">
        <v>16</v>
      </c>
      <c r="G203" s="14">
        <f>=SUMIF($C$17:$C$502,C203,$F$17:$F$502)</f>
      </c>
      <c r="H203" s="14">
        <f>=IFERROR($B$14/$B$10,"")</f>
      </c>
      <c r="I203" s="15">
        <f>=IFERROR(G203/H203,"")</f>
      </c>
      <c r="J203" s="16">
        <v>0.004444444444444444</v>
      </c>
      <c r="K203" s="11" t="s">
        <v>220</v>
      </c>
      <c r="L203" s="17" t="s">
        <v>221</v>
      </c>
    </row>
    <row r="204" ht="18" customHeight="1" spans="1:12" x14ac:dyDescent="0.25">
      <c r="A204" s="10" t="s">
        <v>269</v>
      </c>
      <c r="B204" s="10" t="s">
        <v>51</v>
      </c>
      <c r="C204" s="10" t="s">
        <v>390</v>
      </c>
      <c r="D204" s="11" t="s">
        <v>171</v>
      </c>
      <c r="E204" s="12" t="s">
        <v>172</v>
      </c>
      <c r="F204" s="13">
        <v>38</v>
      </c>
      <c r="G204" s="14">
        <f>=SUMIF($C$17:$C$502,C204,$F$17:$F$502)</f>
      </c>
      <c r="H204" s="14">
        <f>=IFERROR($B$14/$B$10,"")</f>
      </c>
      <c r="I204" s="15">
        <f>=IFERROR(G204/H204,"")</f>
      </c>
      <c r="J204" s="16">
        <v>0.01055555555555556</v>
      </c>
      <c r="K204" s="11" t="s">
        <v>391</v>
      </c>
      <c r="L204" s="17" t="s">
        <v>392</v>
      </c>
    </row>
    <row r="205" ht="18" customHeight="1" spans="1:12" x14ac:dyDescent="0.25">
      <c r="A205" s="10" t="s">
        <v>269</v>
      </c>
      <c r="B205" s="10" t="s">
        <v>51</v>
      </c>
      <c r="C205" s="10" t="s">
        <v>393</v>
      </c>
      <c r="D205" s="11" t="s">
        <v>171</v>
      </c>
      <c r="E205" s="12" t="s">
        <v>172</v>
      </c>
      <c r="F205" s="13">
        <v>38</v>
      </c>
      <c r="G205" s="14">
        <f>=SUMIF($C$17:$C$502,C205,$F$17:$F$502)</f>
      </c>
      <c r="H205" s="14">
        <f>=IFERROR($B$14/$B$10,"")</f>
      </c>
      <c r="I205" s="15">
        <f>=IFERROR(G205/H205,"")</f>
      </c>
      <c r="J205" s="16">
        <v>0.01055555555555556</v>
      </c>
      <c r="K205" s="11" t="s">
        <v>394</v>
      </c>
      <c r="L205" s="17" t="s">
        <v>395</v>
      </c>
    </row>
    <row r="206" ht="18" customHeight="1" spans="1:12" x14ac:dyDescent="0.25">
      <c r="A206" s="10" t="s">
        <v>269</v>
      </c>
      <c r="B206" s="10" t="s">
        <v>51</v>
      </c>
      <c r="C206" s="10" t="s">
        <v>390</v>
      </c>
      <c r="D206" s="11" t="s">
        <v>178</v>
      </c>
      <c r="E206" s="12" t="s">
        <v>179</v>
      </c>
      <c r="F206" s="13">
        <v>36</v>
      </c>
      <c r="G206" s="14">
        <f>=SUMIF($C$17:$C$502,C206,$F$17:$F$502)</f>
      </c>
      <c r="H206" s="14">
        <f>=IFERROR($B$14/$B$10,"")</f>
      </c>
      <c r="I206" s="15">
        <f>=IFERROR(G206/H206,"")</f>
      </c>
      <c r="J206" s="16">
        <v>0.01</v>
      </c>
      <c r="K206" s="11" t="s">
        <v>391</v>
      </c>
      <c r="L206" s="17" t="s">
        <v>392</v>
      </c>
    </row>
    <row r="207" ht="18" customHeight="1" spans="1:12" x14ac:dyDescent="0.25">
      <c r="A207" s="10" t="s">
        <v>269</v>
      </c>
      <c r="B207" s="10" t="s">
        <v>51</v>
      </c>
      <c r="C207" s="10" t="s">
        <v>393</v>
      </c>
      <c r="D207" s="11" t="s">
        <v>178</v>
      </c>
      <c r="E207" s="12" t="s">
        <v>179</v>
      </c>
      <c r="F207" s="13">
        <v>36</v>
      </c>
      <c r="G207" s="14">
        <f>=SUMIF($C$17:$C$502,C207,$F$17:$F$502)</f>
      </c>
      <c r="H207" s="14">
        <f>=IFERROR($B$14/$B$10,"")</f>
      </c>
      <c r="I207" s="15">
        <f>=IFERROR(G207/H207,"")</f>
      </c>
      <c r="J207" s="16">
        <v>0.01</v>
      </c>
      <c r="K207" s="11" t="s">
        <v>394</v>
      </c>
      <c r="L207" s="17" t="s">
        <v>395</v>
      </c>
    </row>
    <row r="208" ht="18" customHeight="1" spans="1:12" x14ac:dyDescent="0.25">
      <c r="A208" s="10" t="s">
        <v>269</v>
      </c>
      <c r="B208" s="10" t="s">
        <v>51</v>
      </c>
      <c r="C208" s="10" t="s">
        <v>390</v>
      </c>
      <c r="D208" s="11" t="s">
        <v>180</v>
      </c>
      <c r="E208" s="12" t="s">
        <v>181</v>
      </c>
      <c r="F208" s="13">
        <v>36</v>
      </c>
      <c r="G208" s="14">
        <f>=SUMIF($C$17:$C$502,C208,$F$17:$F$502)</f>
      </c>
      <c r="H208" s="14">
        <f>=IFERROR($B$14/$B$10,"")</f>
      </c>
      <c r="I208" s="15">
        <f>=IFERROR(G208/H208,"")</f>
      </c>
      <c r="J208" s="16">
        <v>0.01</v>
      </c>
      <c r="K208" s="11" t="s">
        <v>391</v>
      </c>
      <c r="L208" s="17" t="s">
        <v>392</v>
      </c>
    </row>
    <row r="209" ht="18" customHeight="1" spans="1:12" x14ac:dyDescent="0.25">
      <c r="A209" s="10" t="s">
        <v>269</v>
      </c>
      <c r="B209" s="10" t="s">
        <v>51</v>
      </c>
      <c r="C209" s="10" t="s">
        <v>393</v>
      </c>
      <c r="D209" s="11" t="s">
        <v>180</v>
      </c>
      <c r="E209" s="12" t="s">
        <v>181</v>
      </c>
      <c r="F209" s="13">
        <v>36</v>
      </c>
      <c r="G209" s="14">
        <f>=SUMIF($C$17:$C$502,C209,$F$17:$F$502)</f>
      </c>
      <c r="H209" s="14">
        <f>=IFERROR($B$14/$B$10,"")</f>
      </c>
      <c r="I209" s="15">
        <f>=IFERROR(G209/H209,"")</f>
      </c>
      <c r="J209" s="16">
        <v>0.01</v>
      </c>
      <c r="K209" s="11" t="s">
        <v>394</v>
      </c>
      <c r="L209" s="17" t="s">
        <v>395</v>
      </c>
    </row>
    <row r="210" ht="18" customHeight="1" spans="1:12" x14ac:dyDescent="0.25">
      <c r="A210" s="10" t="s">
        <v>269</v>
      </c>
      <c r="B210" s="10" t="s">
        <v>51</v>
      </c>
      <c r="C210" s="10" t="s">
        <v>390</v>
      </c>
      <c r="D210" s="11" t="s">
        <v>396</v>
      </c>
      <c r="E210" s="12" t="s">
        <v>397</v>
      </c>
      <c r="F210" s="13">
        <v>36</v>
      </c>
      <c r="G210" s="14">
        <f>=SUMIF($C$17:$C$502,C210,$F$17:$F$502)</f>
      </c>
      <c r="H210" s="14">
        <f>=IFERROR($B$14/$B$10,"")</f>
      </c>
      <c r="I210" s="15">
        <f>=IFERROR(G210/H210,"")</f>
      </c>
      <c r="J210" s="16">
        <v>0.01</v>
      </c>
      <c r="K210" s="11" t="s">
        <v>391</v>
      </c>
      <c r="L210" s="17" t="s">
        <v>392</v>
      </c>
    </row>
    <row r="211" ht="18" customHeight="1" spans="1:12" x14ac:dyDescent="0.25">
      <c r="A211" s="10" t="s">
        <v>269</v>
      </c>
      <c r="B211" s="10" t="s">
        <v>51</v>
      </c>
      <c r="C211" s="10" t="s">
        <v>390</v>
      </c>
      <c r="D211" s="11" t="s">
        <v>398</v>
      </c>
      <c r="E211" s="12" t="s">
        <v>399</v>
      </c>
      <c r="F211" s="13">
        <v>38</v>
      </c>
      <c r="G211" s="14">
        <f>=SUMIF($C$17:$C$502,C211,$F$17:$F$502)</f>
      </c>
      <c r="H211" s="14">
        <f>=IFERROR($B$14/$B$10,"")</f>
      </c>
      <c r="I211" s="15">
        <f>=IFERROR(G211/H211,"")</f>
      </c>
      <c r="J211" s="16">
        <v>0.01055555555555556</v>
      </c>
      <c r="K211" s="11" t="s">
        <v>391</v>
      </c>
      <c r="L211" s="17" t="s">
        <v>392</v>
      </c>
    </row>
    <row r="212" ht="18" customHeight="1" spans="1:12" x14ac:dyDescent="0.25">
      <c r="A212" s="10" t="s">
        <v>269</v>
      </c>
      <c r="B212" s="10" t="s">
        <v>51</v>
      </c>
      <c r="C212" s="10" t="s">
        <v>393</v>
      </c>
      <c r="D212" s="11" t="s">
        <v>398</v>
      </c>
      <c r="E212" s="12" t="s">
        <v>399</v>
      </c>
      <c r="F212" s="13">
        <v>38</v>
      </c>
      <c r="G212" s="14">
        <f>=SUMIF($C$17:$C$502,C212,$F$17:$F$502)</f>
      </c>
      <c r="H212" s="14">
        <f>=IFERROR($B$14/$B$10,"")</f>
      </c>
      <c r="I212" s="15">
        <f>=IFERROR(G212/H212,"")</f>
      </c>
      <c r="J212" s="16">
        <v>0.01055555555555556</v>
      </c>
      <c r="K212" s="11" t="s">
        <v>394</v>
      </c>
      <c r="L212" s="17" t="s">
        <v>395</v>
      </c>
    </row>
    <row r="213" ht="18" customHeight="1" spans="1:12" x14ac:dyDescent="0.25">
      <c r="A213" s="10" t="s">
        <v>184</v>
      </c>
      <c r="B213" s="10" t="s">
        <v>51</v>
      </c>
      <c r="C213" s="10" t="s">
        <v>400</v>
      </c>
      <c r="D213" s="11" t="s">
        <v>171</v>
      </c>
      <c r="E213" s="12" t="s">
        <v>172</v>
      </c>
      <c r="F213" s="13">
        <v>18</v>
      </c>
      <c r="G213" s="14">
        <f>=SUMIF($C$17:$C$502,C213,$F$17:$F$502)</f>
      </c>
      <c r="H213" s="14">
        <f>=IFERROR($B$14/$B$10,"")</f>
      </c>
      <c r="I213" s="15">
        <f>=IFERROR(G213/H213,"")</f>
      </c>
      <c r="J213" s="16">
        <v>0.005</v>
      </c>
      <c r="K213" s="11" t="s">
        <v>387</v>
      </c>
      <c r="L213" s="17" t="s">
        <v>401</v>
      </c>
    </row>
    <row r="214" ht="18" customHeight="1" spans="1:12" x14ac:dyDescent="0.25">
      <c r="A214" s="10" t="s">
        <v>184</v>
      </c>
      <c r="B214" s="10" t="s">
        <v>51</v>
      </c>
      <c r="C214" s="10" t="s">
        <v>400</v>
      </c>
      <c r="D214" s="11" t="s">
        <v>178</v>
      </c>
      <c r="E214" s="12" t="s">
        <v>179</v>
      </c>
      <c r="F214" s="13">
        <v>18</v>
      </c>
      <c r="G214" s="14">
        <f>=SUMIF($C$17:$C$502,C214,$F$17:$F$502)</f>
      </c>
      <c r="H214" s="14">
        <f>=IFERROR($B$14/$B$10,"")</f>
      </c>
      <c r="I214" s="15">
        <f>=IFERROR(G214/H214,"")</f>
      </c>
      <c r="J214" s="16">
        <v>0.005</v>
      </c>
      <c r="K214" s="11" t="s">
        <v>387</v>
      </c>
      <c r="L214" s="17" t="s">
        <v>401</v>
      </c>
    </row>
    <row r="215" ht="18" customHeight="1" spans="1:12" x14ac:dyDescent="0.25">
      <c r="A215" s="10" t="s">
        <v>184</v>
      </c>
      <c r="B215" s="10" t="s">
        <v>51</v>
      </c>
      <c r="C215" s="10" t="s">
        <v>400</v>
      </c>
      <c r="D215" s="11" t="s">
        <v>180</v>
      </c>
      <c r="E215" s="12" t="s">
        <v>181</v>
      </c>
      <c r="F215" s="13">
        <v>16</v>
      </c>
      <c r="G215" s="14">
        <f>=SUMIF($C$17:$C$502,C215,$F$17:$F$502)</f>
      </c>
      <c r="H215" s="14">
        <f>=IFERROR($B$14/$B$10,"")</f>
      </c>
      <c r="I215" s="15">
        <f>=IFERROR(G215/H215,"")</f>
      </c>
      <c r="J215" s="16">
        <v>0.004444444444444444</v>
      </c>
      <c r="K215" s="11" t="s">
        <v>387</v>
      </c>
      <c r="L215" s="17" t="s">
        <v>401</v>
      </c>
    </row>
    <row r="216" ht="18" customHeight="1" spans="1:12" x14ac:dyDescent="0.25">
      <c r="A216" s="10" t="s">
        <v>184</v>
      </c>
      <c r="B216" s="10" t="s">
        <v>51</v>
      </c>
      <c r="C216" s="10" t="s">
        <v>400</v>
      </c>
      <c r="D216" s="11" t="s">
        <v>168</v>
      </c>
      <c r="E216" s="12" t="s">
        <v>169</v>
      </c>
      <c r="F216" s="13">
        <v>18</v>
      </c>
      <c r="G216" s="14">
        <f>=SUMIF($C$17:$C$502,C216,$F$17:$F$502)</f>
      </c>
      <c r="H216" s="14">
        <f>=IFERROR($B$14/$B$10,"")</f>
      </c>
      <c r="I216" s="15">
        <f>=IFERROR(G216/H216,"")</f>
      </c>
      <c r="J216" s="16">
        <v>0.005</v>
      </c>
      <c r="K216" s="11" t="s">
        <v>387</v>
      </c>
      <c r="L216" s="17" t="s">
        <v>401</v>
      </c>
    </row>
    <row r="217" ht="18" customHeight="1" spans="1:12" x14ac:dyDescent="0.25">
      <c r="A217" s="10" t="s">
        <v>402</v>
      </c>
      <c r="B217" s="10" t="s">
        <v>51</v>
      </c>
      <c r="C217" s="10" t="s">
        <v>403</v>
      </c>
      <c r="D217" s="11" t="s">
        <v>404</v>
      </c>
      <c r="E217" s="12" t="s">
        <v>405</v>
      </c>
      <c r="F217" s="13">
        <v>24</v>
      </c>
      <c r="G217" s="14">
        <f>=SUMIF($C$17:$C$502,C217,$F$17:$F$502)</f>
      </c>
      <c r="H217" s="14">
        <f>=IFERROR($B$14/$B$10,"")</f>
      </c>
      <c r="I217" s="15">
        <f>=IFERROR(G217/H217,"")</f>
      </c>
      <c r="J217" s="16">
        <v>0.006666666666666667</v>
      </c>
      <c r="K217" s="11" t="s">
        <v>406</v>
      </c>
      <c r="L217" s="17" t="s">
        <v>407</v>
      </c>
    </row>
    <row r="218" ht="18" customHeight="1" spans="1:12" x14ac:dyDescent="0.25">
      <c r="A218" s="10" t="s">
        <v>402</v>
      </c>
      <c r="B218" s="10" t="s">
        <v>51</v>
      </c>
      <c r="C218" s="10" t="s">
        <v>408</v>
      </c>
      <c r="D218" s="11" t="s">
        <v>404</v>
      </c>
      <c r="E218" s="12" t="s">
        <v>405</v>
      </c>
      <c r="F218" s="13">
        <v>24</v>
      </c>
      <c r="G218" s="14">
        <f>=SUMIF($C$17:$C$502,C218,$F$17:$F$502)</f>
      </c>
      <c r="H218" s="14">
        <f>=IFERROR($B$14/$B$10,"")</f>
      </c>
      <c r="I218" s="15">
        <f>=IFERROR(G218/H218,"")</f>
      </c>
      <c r="J218" s="16">
        <v>0.006666666666666667</v>
      </c>
      <c r="K218" s="11" t="s">
        <v>409</v>
      </c>
      <c r="L218" s="17" t="s">
        <v>410</v>
      </c>
    </row>
    <row r="219" ht="18" customHeight="1" spans="1:12" x14ac:dyDescent="0.25">
      <c r="A219" s="10" t="s">
        <v>402</v>
      </c>
      <c r="B219" s="10" t="s">
        <v>51</v>
      </c>
      <c r="C219" s="10" t="s">
        <v>403</v>
      </c>
      <c r="D219" s="11" t="s">
        <v>411</v>
      </c>
      <c r="E219" s="12" t="s">
        <v>412</v>
      </c>
      <c r="F219" s="13">
        <v>48</v>
      </c>
      <c r="G219" s="14">
        <f>=SUMIF($C$17:$C$502,C219,$F$17:$F$502)</f>
      </c>
      <c r="H219" s="14">
        <f>=IFERROR($B$14/$B$10,"")</f>
      </c>
      <c r="I219" s="15">
        <f>=IFERROR(G219/H219,"")</f>
      </c>
      <c r="J219" s="16">
        <v>0.01333333333333333</v>
      </c>
      <c r="K219" s="11" t="s">
        <v>406</v>
      </c>
      <c r="L219" s="17" t="s">
        <v>407</v>
      </c>
    </row>
    <row r="220" ht="18" customHeight="1" spans="1:12" x14ac:dyDescent="0.25">
      <c r="A220" s="10" t="s">
        <v>402</v>
      </c>
      <c r="B220" s="10" t="s">
        <v>51</v>
      </c>
      <c r="C220" s="10" t="s">
        <v>408</v>
      </c>
      <c r="D220" s="11" t="s">
        <v>411</v>
      </c>
      <c r="E220" s="12" t="s">
        <v>412</v>
      </c>
      <c r="F220" s="13">
        <v>48</v>
      </c>
      <c r="G220" s="14">
        <f>=SUMIF($C$17:$C$502,C220,$F$17:$F$502)</f>
      </c>
      <c r="H220" s="14">
        <f>=IFERROR($B$14/$B$10,"")</f>
      </c>
      <c r="I220" s="15">
        <f>=IFERROR(G220/H220,"")</f>
      </c>
      <c r="J220" s="16">
        <v>0.01333333333333333</v>
      </c>
      <c r="K220" s="11" t="s">
        <v>409</v>
      </c>
      <c r="L220" s="17" t="s">
        <v>410</v>
      </c>
    </row>
    <row r="221" ht="18" customHeight="1" spans="1:12" x14ac:dyDescent="0.25">
      <c r="A221" s="10" t="s">
        <v>402</v>
      </c>
      <c r="B221" s="10" t="s">
        <v>51</v>
      </c>
      <c r="C221" s="10" t="s">
        <v>403</v>
      </c>
      <c r="D221" s="11" t="s">
        <v>413</v>
      </c>
      <c r="E221" s="12" t="s">
        <v>414</v>
      </c>
      <c r="F221" s="13">
        <v>42</v>
      </c>
      <c r="G221" s="14">
        <f>=SUMIF($C$17:$C$502,C221,$F$17:$F$502)</f>
      </c>
      <c r="H221" s="14">
        <f>=IFERROR($B$14/$B$10,"")</f>
      </c>
      <c r="I221" s="15">
        <f>=IFERROR(G221/H221,"")</f>
      </c>
      <c r="J221" s="16">
        <v>0.01166666666666667</v>
      </c>
      <c r="K221" s="11" t="s">
        <v>406</v>
      </c>
      <c r="L221" s="17" t="s">
        <v>407</v>
      </c>
    </row>
    <row r="222" ht="18" customHeight="1" spans="1:12" x14ac:dyDescent="0.25">
      <c r="A222" s="10" t="s">
        <v>402</v>
      </c>
      <c r="B222" s="10" t="s">
        <v>51</v>
      </c>
      <c r="C222" s="10" t="s">
        <v>408</v>
      </c>
      <c r="D222" s="11" t="s">
        <v>413</v>
      </c>
      <c r="E222" s="12" t="s">
        <v>414</v>
      </c>
      <c r="F222" s="13">
        <v>42</v>
      </c>
      <c r="G222" s="14">
        <f>=SUMIF($C$17:$C$502,C222,$F$17:$F$502)</f>
      </c>
      <c r="H222" s="14">
        <f>=IFERROR($B$14/$B$10,"")</f>
      </c>
      <c r="I222" s="15">
        <f>=IFERROR(G222/H222,"")</f>
      </c>
      <c r="J222" s="16">
        <v>0.01166666666666667</v>
      </c>
      <c r="K222" s="11" t="s">
        <v>409</v>
      </c>
      <c r="L222" s="17" t="s">
        <v>410</v>
      </c>
    </row>
    <row r="223" ht="18" customHeight="1" spans="1:12" x14ac:dyDescent="0.25">
      <c r="A223" s="10" t="s">
        <v>402</v>
      </c>
      <c r="B223" s="10" t="s">
        <v>51</v>
      </c>
      <c r="C223" s="10" t="s">
        <v>403</v>
      </c>
      <c r="D223" s="11" t="s">
        <v>415</v>
      </c>
      <c r="E223" s="12" t="s">
        <v>416</v>
      </c>
      <c r="F223" s="13">
        <v>14</v>
      </c>
      <c r="G223" s="14">
        <f>=SUMIF($C$17:$C$502,C223,$F$17:$F$502)</f>
      </c>
      <c r="H223" s="14">
        <f>=IFERROR($B$14/$B$10,"")</f>
      </c>
      <c r="I223" s="15">
        <f>=IFERROR(G223/H223,"")</f>
      </c>
      <c r="J223" s="16">
        <v>0.003888888888888889</v>
      </c>
      <c r="K223" s="11" t="s">
        <v>406</v>
      </c>
      <c r="L223" s="17" t="s">
        <v>407</v>
      </c>
    </row>
    <row r="224" ht="18" customHeight="1" spans="1:12" x14ac:dyDescent="0.25">
      <c r="A224" s="10" t="s">
        <v>402</v>
      </c>
      <c r="B224" s="10" t="s">
        <v>51</v>
      </c>
      <c r="C224" s="10" t="s">
        <v>408</v>
      </c>
      <c r="D224" s="11" t="s">
        <v>415</v>
      </c>
      <c r="E224" s="12" t="s">
        <v>416</v>
      </c>
      <c r="F224" s="13">
        <v>14</v>
      </c>
      <c r="G224" s="14">
        <f>=SUMIF($C$17:$C$502,C224,$F$17:$F$502)</f>
      </c>
      <c r="H224" s="14">
        <f>=IFERROR($B$14/$B$10,"")</f>
      </c>
      <c r="I224" s="15">
        <f>=IFERROR(G224/H224,"")</f>
      </c>
      <c r="J224" s="16">
        <v>0.003888888888888889</v>
      </c>
      <c r="K224" s="11" t="s">
        <v>409</v>
      </c>
      <c r="L224" s="17" t="s">
        <v>410</v>
      </c>
    </row>
    <row r="225" ht="18" customHeight="1" spans="1:12" x14ac:dyDescent="0.25">
      <c r="A225" s="10" t="s">
        <v>402</v>
      </c>
      <c r="B225" s="10" t="s">
        <v>51</v>
      </c>
      <c r="C225" s="10" t="s">
        <v>417</v>
      </c>
      <c r="D225" s="11" t="s">
        <v>418</v>
      </c>
      <c r="E225" s="12" t="s">
        <v>419</v>
      </c>
      <c r="F225" s="13">
        <v>18</v>
      </c>
      <c r="G225" s="14">
        <f>=SUMIF($C$17:$C$502,C225,$F$17:$F$502)</f>
      </c>
      <c r="H225" s="14">
        <f>=IFERROR($B$14/$B$10,"")</f>
      </c>
      <c r="I225" s="15">
        <f>=IFERROR(G225/H225,"")</f>
      </c>
      <c r="J225" s="16">
        <v>0.005</v>
      </c>
      <c r="K225" s="11" t="s">
        <v>301</v>
      </c>
      <c r="L225" s="17" t="s">
        <v>420</v>
      </c>
    </row>
    <row r="226" ht="18" customHeight="1" spans="1:12" x14ac:dyDescent="0.25">
      <c r="A226" s="10" t="s">
        <v>402</v>
      </c>
      <c r="B226" s="10" t="s">
        <v>51</v>
      </c>
      <c r="C226" s="10" t="s">
        <v>421</v>
      </c>
      <c r="D226" s="11" t="s">
        <v>418</v>
      </c>
      <c r="E226" s="12" t="s">
        <v>419</v>
      </c>
      <c r="F226" s="13">
        <v>18</v>
      </c>
      <c r="G226" s="14">
        <f>=SUMIF($C$17:$C$502,C226,$F$17:$F$502)</f>
      </c>
      <c r="H226" s="14">
        <f>=IFERROR($B$14/$B$10,"")</f>
      </c>
      <c r="I226" s="15">
        <f>=IFERROR(G226/H226,"")</f>
      </c>
      <c r="J226" s="16">
        <v>0.005</v>
      </c>
      <c r="K226" s="11" t="s">
        <v>422</v>
      </c>
      <c r="L226" s="17" t="s">
        <v>423</v>
      </c>
    </row>
    <row r="227" ht="18" customHeight="1" spans="1:12" x14ac:dyDescent="0.25">
      <c r="A227" s="10" t="s">
        <v>402</v>
      </c>
      <c r="B227" s="10" t="s">
        <v>51</v>
      </c>
      <c r="C227" s="10" t="s">
        <v>417</v>
      </c>
      <c r="D227" s="11" t="s">
        <v>424</v>
      </c>
      <c r="E227" s="12" t="s">
        <v>425</v>
      </c>
      <c r="F227" s="13">
        <v>28</v>
      </c>
      <c r="G227" s="14">
        <f>=SUMIF($C$17:$C$502,C227,$F$17:$F$502)</f>
      </c>
      <c r="H227" s="14">
        <f>=IFERROR($B$14/$B$10,"")</f>
      </c>
      <c r="I227" s="15">
        <f>=IFERROR(G227/H227,"")</f>
      </c>
      <c r="J227" s="16">
        <v>0.007777777777777778</v>
      </c>
      <c r="K227" s="11" t="s">
        <v>301</v>
      </c>
      <c r="L227" s="17" t="s">
        <v>420</v>
      </c>
    </row>
    <row r="228" ht="18" customHeight="1" spans="1:12" x14ac:dyDescent="0.25">
      <c r="A228" s="10" t="s">
        <v>402</v>
      </c>
      <c r="B228" s="10" t="s">
        <v>51</v>
      </c>
      <c r="C228" s="10" t="s">
        <v>421</v>
      </c>
      <c r="D228" s="11" t="s">
        <v>424</v>
      </c>
      <c r="E228" s="12" t="s">
        <v>425</v>
      </c>
      <c r="F228" s="13">
        <v>28</v>
      </c>
      <c r="G228" s="14">
        <f>=SUMIF($C$17:$C$502,C228,$F$17:$F$502)</f>
      </c>
      <c r="H228" s="14">
        <f>=IFERROR($B$14/$B$10,"")</f>
      </c>
      <c r="I228" s="15">
        <f>=IFERROR(G228/H228,"")</f>
      </c>
      <c r="J228" s="16">
        <v>0.007777777777777778</v>
      </c>
      <c r="K228" s="11" t="s">
        <v>422</v>
      </c>
      <c r="L228" s="17" t="s">
        <v>423</v>
      </c>
    </row>
    <row r="229" ht="18" customHeight="1" spans="1:12" x14ac:dyDescent="0.25">
      <c r="A229" s="10" t="s">
        <v>402</v>
      </c>
      <c r="B229" s="10" t="s">
        <v>51</v>
      </c>
      <c r="C229" s="10" t="s">
        <v>417</v>
      </c>
      <c r="D229" s="11" t="s">
        <v>426</v>
      </c>
      <c r="E229" s="12" t="s">
        <v>427</v>
      </c>
      <c r="F229" s="13">
        <v>108</v>
      </c>
      <c r="G229" s="14">
        <f>=SUMIF($C$17:$C$502,C229,$F$17:$F$502)</f>
      </c>
      <c r="H229" s="14">
        <f>=IFERROR($B$14/$B$10,"")</f>
      </c>
      <c r="I229" s="15">
        <f>=IFERROR(G229/H229,"")</f>
      </c>
      <c r="J229" s="16">
        <v>0.03</v>
      </c>
      <c r="K229" s="11" t="s">
        <v>301</v>
      </c>
      <c r="L229" s="17" t="s">
        <v>420</v>
      </c>
    </row>
    <row r="230" ht="18" customHeight="1" spans="1:12" x14ac:dyDescent="0.25">
      <c r="A230" s="10" t="s">
        <v>402</v>
      </c>
      <c r="B230" s="10" t="s">
        <v>51</v>
      </c>
      <c r="C230" s="10" t="s">
        <v>421</v>
      </c>
      <c r="D230" s="11" t="s">
        <v>426</v>
      </c>
      <c r="E230" s="12" t="s">
        <v>427</v>
      </c>
      <c r="F230" s="13">
        <v>108</v>
      </c>
      <c r="G230" s="14">
        <f>=SUMIF($C$17:$C$502,C230,$F$17:$F$502)</f>
      </c>
      <c r="H230" s="14">
        <f>=IFERROR($B$14/$B$10,"")</f>
      </c>
      <c r="I230" s="15">
        <f>=IFERROR(G230/H230,"")</f>
      </c>
      <c r="J230" s="16">
        <v>0.03</v>
      </c>
      <c r="K230" s="11" t="s">
        <v>422</v>
      </c>
      <c r="L230" s="17" t="s">
        <v>423</v>
      </c>
    </row>
    <row r="231" ht="18" customHeight="1" spans="1:12" x14ac:dyDescent="0.25">
      <c r="A231" s="10" t="s">
        <v>428</v>
      </c>
      <c r="B231" s="10" t="s">
        <v>45</v>
      </c>
      <c r="C231" s="10" t="s">
        <v>429</v>
      </c>
      <c r="D231" s="11" t="s">
        <v>430</v>
      </c>
      <c r="E231" s="12" t="s">
        <v>431</v>
      </c>
      <c r="F231" s="13">
        <v>60</v>
      </c>
      <c r="G231" s="14">
        <f>=SUMIF($C$17:$C$502,C231,$F$17:$F$502)</f>
      </c>
      <c r="H231" s="14">
        <f>=IFERROR($B$14/$B$10,"")</f>
      </c>
      <c r="I231" s="15">
        <f>=IFERROR(G231/H231,"")</f>
      </c>
      <c r="J231" s="16">
        <v>0.01666666666666667</v>
      </c>
      <c r="K231" s="11" t="s">
        <v>432</v>
      </c>
      <c r="L231" s="17" t="s">
        <v>433</v>
      </c>
    </row>
    <row r="232" ht="18" customHeight="1" spans="1:12" x14ac:dyDescent="0.25">
      <c r="A232" s="10" t="s">
        <v>428</v>
      </c>
      <c r="B232" s="10" t="s">
        <v>51</v>
      </c>
      <c r="C232" s="10" t="s">
        <v>434</v>
      </c>
      <c r="D232" s="11" t="s">
        <v>430</v>
      </c>
      <c r="E232" s="12" t="s">
        <v>431</v>
      </c>
      <c r="F232" s="13">
        <v>60</v>
      </c>
      <c r="G232" s="14">
        <f>=SUMIF($C$17:$C$502,C232,$F$17:$F$502)</f>
      </c>
      <c r="H232" s="14">
        <f>=IFERROR($B$14/$B$10,"")</f>
      </c>
      <c r="I232" s="15">
        <f>=IFERROR(G232/H232,"")</f>
      </c>
      <c r="J232" s="16">
        <v>0.01666666666666667</v>
      </c>
      <c r="K232" s="11" t="s">
        <v>384</v>
      </c>
      <c r="L232" s="17" t="s">
        <v>385</v>
      </c>
    </row>
    <row r="233" ht="18" customHeight="1" spans="1:12" x14ac:dyDescent="0.25">
      <c r="A233" s="10" t="s">
        <v>428</v>
      </c>
      <c r="B233" s="10" t="s">
        <v>51</v>
      </c>
      <c r="C233" s="10" t="s">
        <v>429</v>
      </c>
      <c r="D233" s="11" t="s">
        <v>435</v>
      </c>
      <c r="E233" s="12" t="s">
        <v>436</v>
      </c>
      <c r="F233" s="13">
        <v>12</v>
      </c>
      <c r="G233" s="14">
        <f>=SUMIF($C$17:$C$502,C233,$F$17:$F$502)</f>
      </c>
      <c r="H233" s="14">
        <f>=IFERROR($B$14/$B$10,"")</f>
      </c>
      <c r="I233" s="15">
        <f>=IFERROR(G233/H233,"")</f>
      </c>
      <c r="J233" s="16">
        <v>0.003333333333333334</v>
      </c>
      <c r="K233" s="11" t="s">
        <v>432</v>
      </c>
      <c r="L233" s="17" t="s">
        <v>433</v>
      </c>
    </row>
    <row r="234" ht="18" customHeight="1" spans="1:12" x14ac:dyDescent="0.25">
      <c r="A234" s="10" t="s">
        <v>428</v>
      </c>
      <c r="B234" s="10" t="s">
        <v>51</v>
      </c>
      <c r="C234" s="10" t="s">
        <v>434</v>
      </c>
      <c r="D234" s="11" t="s">
        <v>435</v>
      </c>
      <c r="E234" s="12" t="s">
        <v>436</v>
      </c>
      <c r="F234" s="13">
        <v>12</v>
      </c>
      <c r="G234" s="14">
        <f>=SUMIF($C$17:$C$502,C234,$F$17:$F$502)</f>
      </c>
      <c r="H234" s="14">
        <f>=IFERROR($B$14/$B$10,"")</f>
      </c>
      <c r="I234" s="15">
        <f>=IFERROR(G234/H234,"")</f>
      </c>
      <c r="J234" s="16">
        <v>0.003333333333333334</v>
      </c>
      <c r="K234" s="11" t="s">
        <v>384</v>
      </c>
      <c r="L234" s="17" t="s">
        <v>385</v>
      </c>
    </row>
    <row r="235" ht="18" customHeight="1" spans="1:12" x14ac:dyDescent="0.25">
      <c r="A235" s="10" t="s">
        <v>428</v>
      </c>
      <c r="B235" s="10" t="s">
        <v>51</v>
      </c>
      <c r="C235" s="10" t="s">
        <v>429</v>
      </c>
      <c r="D235" s="11" t="s">
        <v>437</v>
      </c>
      <c r="E235" s="12" t="s">
        <v>438</v>
      </c>
      <c r="F235" s="13">
        <v>10</v>
      </c>
      <c r="G235" s="14">
        <f>=SUMIF($C$17:$C$502,C235,$F$17:$F$502)</f>
      </c>
      <c r="H235" s="14">
        <f>=IFERROR($B$14/$B$10,"")</f>
      </c>
      <c r="I235" s="15">
        <f>=IFERROR(G235/H235,"")</f>
      </c>
      <c r="J235" s="16">
        <v>0.002777777777777778</v>
      </c>
      <c r="K235" s="11" t="s">
        <v>432</v>
      </c>
      <c r="L235" s="17" t="s">
        <v>433</v>
      </c>
    </row>
    <row r="236" ht="18" customHeight="1" spans="1:12" x14ac:dyDescent="0.25">
      <c r="A236" s="10" t="s">
        <v>428</v>
      </c>
      <c r="B236" s="10" t="s">
        <v>51</v>
      </c>
      <c r="C236" s="10" t="s">
        <v>434</v>
      </c>
      <c r="D236" s="11" t="s">
        <v>437</v>
      </c>
      <c r="E236" s="12" t="s">
        <v>438</v>
      </c>
      <c r="F236" s="13">
        <v>10</v>
      </c>
      <c r="G236" s="14">
        <f>=SUMIF($C$17:$C$502,C236,$F$17:$F$502)</f>
      </c>
      <c r="H236" s="14">
        <f>=IFERROR($B$14/$B$10,"")</f>
      </c>
      <c r="I236" s="15">
        <f>=IFERROR(G236/H236,"")</f>
      </c>
      <c r="J236" s="16">
        <v>0.002777777777777778</v>
      </c>
      <c r="K236" s="11" t="s">
        <v>384</v>
      </c>
      <c r="L236" s="17" t="s">
        <v>385</v>
      </c>
    </row>
    <row r="237" ht="18" customHeight="1" spans="1:12" x14ac:dyDescent="0.25">
      <c r="A237" s="10" t="s">
        <v>428</v>
      </c>
      <c r="B237" s="10" t="s">
        <v>51</v>
      </c>
      <c r="C237" s="10" t="s">
        <v>439</v>
      </c>
      <c r="D237" s="11" t="s">
        <v>440</v>
      </c>
      <c r="E237" s="12" t="s">
        <v>441</v>
      </c>
      <c r="F237" s="13">
        <v>16</v>
      </c>
      <c r="G237" s="14">
        <f>=SUMIF($C$17:$C$502,C237,$F$17:$F$502)</f>
      </c>
      <c r="H237" s="14">
        <f>=IFERROR($B$14/$B$10,"")</f>
      </c>
      <c r="I237" s="15">
        <f>=IFERROR(G237/H237,"")</f>
      </c>
      <c r="J237" s="16">
        <v>0.004444444444444444</v>
      </c>
      <c r="K237" s="11" t="s">
        <v>442</v>
      </c>
      <c r="L237" s="17" t="s">
        <v>443</v>
      </c>
    </row>
    <row r="238" ht="18" customHeight="1" spans="1:12" x14ac:dyDescent="0.25">
      <c r="A238" s="10" t="s">
        <v>428</v>
      </c>
      <c r="B238" s="10" t="s">
        <v>51</v>
      </c>
      <c r="C238" s="10" t="s">
        <v>444</v>
      </c>
      <c r="D238" s="11" t="s">
        <v>445</v>
      </c>
      <c r="E238" s="12" t="s">
        <v>446</v>
      </c>
      <c r="F238" s="13">
        <v>102</v>
      </c>
      <c r="G238" s="14">
        <f>=SUMIF($C$17:$C$502,C238,$F$17:$F$502)</f>
      </c>
      <c r="H238" s="14">
        <f>=IFERROR($B$14/$B$10,"")</f>
      </c>
      <c r="I238" s="15">
        <f>=IFERROR(G238/H238,"")</f>
      </c>
      <c r="J238" s="16">
        <v>0.02833333333333333</v>
      </c>
      <c r="K238" s="11" t="s">
        <v>447</v>
      </c>
      <c r="L238" s="17" t="s">
        <v>448</v>
      </c>
    </row>
    <row r="239" ht="18" customHeight="1" spans="1:12" x14ac:dyDescent="0.25">
      <c r="A239" s="10" t="s">
        <v>428</v>
      </c>
      <c r="B239" s="10" t="s">
        <v>45</v>
      </c>
      <c r="C239" s="10" t="s">
        <v>449</v>
      </c>
      <c r="D239" s="11" t="s">
        <v>450</v>
      </c>
      <c r="E239" s="12" t="s">
        <v>451</v>
      </c>
      <c r="F239" s="13">
        <v>108</v>
      </c>
      <c r="G239" s="14">
        <f>=SUMIF($C$17:$C$502,C239,$F$17:$F$502)</f>
      </c>
      <c r="H239" s="14">
        <f>=IFERROR($B$14/$B$10,"")</f>
      </c>
      <c r="I239" s="15">
        <f>=IFERROR(G239/H239,"")</f>
      </c>
      <c r="J239" s="16">
        <v>0.03</v>
      </c>
      <c r="K239" s="11" t="s">
        <v>452</v>
      </c>
      <c r="L239" s="17" t="s">
        <v>453</v>
      </c>
    </row>
    <row r="240" ht="18" customHeight="1" spans="1:12" x14ac:dyDescent="0.25">
      <c r="A240" s="10" t="s">
        <v>428</v>
      </c>
      <c r="B240" s="10" t="s">
        <v>51</v>
      </c>
      <c r="C240" s="10" t="s">
        <v>454</v>
      </c>
      <c r="D240" s="11" t="s">
        <v>155</v>
      </c>
      <c r="E240" s="12" t="s">
        <v>156</v>
      </c>
      <c r="F240" s="13">
        <v>24</v>
      </c>
      <c r="G240" s="14">
        <f>=SUMIF($C$17:$C$502,C240,$F$17:$F$502)</f>
      </c>
      <c r="H240" s="14">
        <f>=IFERROR($B$14/$B$10,"")</f>
      </c>
      <c r="I240" s="15">
        <f>=IFERROR(G240/H240,"")</f>
      </c>
      <c r="J240" s="16">
        <v>0.006666666666666667</v>
      </c>
      <c r="K240" s="11" t="s">
        <v>455</v>
      </c>
      <c r="L240" s="17" t="s">
        <v>456</v>
      </c>
    </row>
    <row r="241" ht="18" customHeight="1" spans="1:12" x14ac:dyDescent="0.25">
      <c r="A241" s="10" t="s">
        <v>428</v>
      </c>
      <c r="B241" s="10" t="s">
        <v>51</v>
      </c>
      <c r="C241" s="10" t="s">
        <v>454</v>
      </c>
      <c r="D241" s="11" t="s">
        <v>457</v>
      </c>
      <c r="E241" s="12" t="s">
        <v>458</v>
      </c>
      <c r="F241" s="13">
        <v>16</v>
      </c>
      <c r="G241" s="14">
        <f>=SUMIF($C$17:$C$502,C241,$F$17:$F$502)</f>
      </c>
      <c r="H241" s="14">
        <f>=IFERROR($B$14/$B$10,"")</f>
      </c>
      <c r="I241" s="15">
        <f>=IFERROR(G241/H241,"")</f>
      </c>
      <c r="J241" s="16">
        <v>0.004444444444444444</v>
      </c>
      <c r="K241" s="11" t="s">
        <v>455</v>
      </c>
      <c r="L241" s="17" t="s">
        <v>456</v>
      </c>
    </row>
    <row r="242" ht="18" customHeight="1" spans="1:12" x14ac:dyDescent="0.25">
      <c r="A242" s="10" t="s">
        <v>428</v>
      </c>
      <c r="B242" s="10" t="s">
        <v>45</v>
      </c>
      <c r="C242" s="10" t="s">
        <v>459</v>
      </c>
      <c r="D242" s="11" t="s">
        <v>460</v>
      </c>
      <c r="E242" s="12" t="s">
        <v>461</v>
      </c>
      <c r="F242" s="13">
        <v>90</v>
      </c>
      <c r="G242" s="14">
        <f>=SUMIF($C$17:$C$502,C242,$F$17:$F$502)</f>
      </c>
      <c r="H242" s="14">
        <f>=IFERROR($B$14/$B$10,"")</f>
      </c>
      <c r="I242" s="15">
        <f>=IFERROR(G242/H242,"")</f>
      </c>
      <c r="J242" s="16">
        <v>0.025</v>
      </c>
      <c r="K242" s="11" t="s">
        <v>462</v>
      </c>
      <c r="L242" s="17" t="s">
        <v>463</v>
      </c>
    </row>
    <row r="243" ht="18" customHeight="1" spans="1:12" x14ac:dyDescent="0.25">
      <c r="A243" s="10"/>
      <c r="B243" s="10"/>
      <c r="C243" s="10"/>
      <c r="D243" s="11"/>
      <c r="E243" s="12"/>
      <c r="F243" s="13"/>
      <c r="G243" s="14">
        <f>=SUMIF($C$17:$C$502,C243,$F$17:$F$502)</f>
      </c>
      <c r="H243" s="14">
        <f>=IFERROR($B$14/$B$10,"")</f>
      </c>
      <c r="I243" s="15">
        <f>=IFERROR(G243/H243,"")</f>
      </c>
      <c r="J243" s="16"/>
      <c r="K243" s="11"/>
      <c r="L243" s="17"/>
    </row>
    <row r="244" ht="18" customHeight="1" spans="1:12" x14ac:dyDescent="0.25">
      <c r="A244" s="10"/>
      <c r="B244" s="10"/>
      <c r="C244" s="10"/>
      <c r="D244" s="11"/>
      <c r="E244" s="12"/>
      <c r="F244" s="13"/>
      <c r="G244" s="14">
        <f>=SUMIF($C$17:$C$502,C244,$F$17:$F$502)</f>
      </c>
      <c r="H244" s="14">
        <f>=IFERROR($B$14/$B$10,"")</f>
      </c>
      <c r="I244" s="15">
        <f>=IFERROR(G244/H244,"")</f>
      </c>
      <c r="J244" s="16"/>
      <c r="K244" s="11"/>
      <c r="L244" s="17"/>
    </row>
    <row r="245" ht="18" customHeight="1" spans="1:12" x14ac:dyDescent="0.25">
      <c r="A245" s="10"/>
      <c r="B245" s="10"/>
      <c r="C245" s="10"/>
      <c r="D245" s="11"/>
      <c r="E245" s="12"/>
      <c r="F245" s="13"/>
      <c r="G245" s="14">
        <f>=SUMIF($C$17:$C$502,C245,$F$17:$F$502)</f>
      </c>
      <c r="H245" s="14">
        <f>=IFERROR($B$14/$B$10,"")</f>
      </c>
      <c r="I245" s="15">
        <f>=IFERROR(G245/H245,"")</f>
      </c>
      <c r="J245" s="16"/>
      <c r="K245" s="11"/>
      <c r="L245" s="17"/>
    </row>
    <row r="246" ht="18" customHeight="1" spans="1:12" x14ac:dyDescent="0.25">
      <c r="A246" s="10"/>
      <c r="B246" s="10"/>
      <c r="C246" s="10"/>
      <c r="D246" s="11"/>
      <c r="E246" s="12"/>
      <c r="F246" s="13"/>
      <c r="G246" s="14">
        <f>=SUMIF($C$17:$C$502,C246,$F$17:$F$502)</f>
      </c>
      <c r="H246" s="14">
        <f>=IFERROR($B$14/$B$10,"")</f>
      </c>
      <c r="I246" s="15">
        <f>=IFERROR(G246/H246,"")</f>
      </c>
      <c r="J246" s="16"/>
      <c r="K246" s="11"/>
      <c r="L246" s="17"/>
    </row>
    <row r="247" ht="18" customHeight="1" spans="1:12" x14ac:dyDescent="0.25">
      <c r="A247" s="10"/>
      <c r="B247" s="10"/>
      <c r="C247" s="10"/>
      <c r="D247" s="11"/>
      <c r="E247" s="12"/>
      <c r="F247" s="13"/>
      <c r="G247" s="14">
        <f>=SUMIF($C$17:$C$502,C247,$F$17:$F$502)</f>
      </c>
      <c r="H247" s="14">
        <f>=IFERROR($B$14/$B$10,"")</f>
      </c>
      <c r="I247" s="15">
        <f>=IFERROR(G247/H247,"")</f>
      </c>
      <c r="J247" s="16"/>
      <c r="K247" s="11"/>
      <c r="L247" s="17"/>
    </row>
    <row r="248" ht="18" customHeight="1" spans="1:12" x14ac:dyDescent="0.25">
      <c r="A248" s="10"/>
      <c r="B248" s="10"/>
      <c r="C248" s="10"/>
      <c r="D248" s="11"/>
      <c r="E248" s="12"/>
      <c r="F248" s="13"/>
      <c r="G248" s="14">
        <f>=SUMIF($C$17:$C$502,C248,$F$17:$F$502)</f>
      </c>
      <c r="H248" s="14">
        <f>=IFERROR($B$14/$B$10,"")</f>
      </c>
      <c r="I248" s="15">
        <f>=IFERROR(G248/H248,"")</f>
      </c>
      <c r="J248" s="16"/>
      <c r="K248" s="11"/>
      <c r="L248" s="17"/>
    </row>
    <row r="249" ht="18" customHeight="1" spans="1:12" x14ac:dyDescent="0.25">
      <c r="A249" s="10"/>
      <c r="B249" s="10"/>
      <c r="C249" s="10"/>
      <c r="D249" s="11"/>
      <c r="E249" s="12"/>
      <c r="F249" s="13"/>
      <c r="G249" s="14">
        <f>=SUMIF($C$17:$C$502,C249,$F$17:$F$502)</f>
      </c>
      <c r="H249" s="14">
        <f>=IFERROR($B$14/$B$10,"")</f>
      </c>
      <c r="I249" s="15">
        <f>=IFERROR(G249/H249,"")</f>
      </c>
      <c r="J249" s="16"/>
      <c r="K249" s="11"/>
      <c r="L249" s="17"/>
    </row>
    <row r="250" ht="18" customHeight="1" spans="1:12" x14ac:dyDescent="0.25">
      <c r="A250" s="10"/>
      <c r="B250" s="10"/>
      <c r="C250" s="10"/>
      <c r="D250" s="11"/>
      <c r="E250" s="12"/>
      <c r="F250" s="13"/>
      <c r="G250" s="14">
        <f>=SUMIF($C$17:$C$502,C250,$F$17:$F$502)</f>
      </c>
      <c r="H250" s="14">
        <f>=IFERROR($B$14/$B$10,"")</f>
      </c>
      <c r="I250" s="15">
        <f>=IFERROR(G250/H250,"")</f>
      </c>
      <c r="J250" s="16"/>
      <c r="K250" s="11"/>
      <c r="L250" s="17"/>
    </row>
    <row r="251" ht="18" customHeight="1" spans="1:12" x14ac:dyDescent="0.25">
      <c r="A251" s="10"/>
      <c r="B251" s="10"/>
      <c r="C251" s="10"/>
      <c r="D251" s="11"/>
      <c r="E251" s="12"/>
      <c r="F251" s="13"/>
      <c r="G251" s="14">
        <f>=SUMIF($C$17:$C$502,C251,$F$17:$F$502)</f>
      </c>
      <c r="H251" s="14">
        <f>=IFERROR($B$14/$B$10,"")</f>
      </c>
      <c r="I251" s="15">
        <f>=IFERROR(G251/H251,"")</f>
      </c>
      <c r="J251" s="16"/>
      <c r="K251" s="11"/>
      <c r="L251" s="17"/>
    </row>
    <row r="252" ht="18" customHeight="1" spans="1:12" x14ac:dyDescent="0.25">
      <c r="A252" s="10"/>
      <c r="B252" s="10"/>
      <c r="C252" s="10"/>
      <c r="D252" s="11"/>
      <c r="E252" s="12"/>
      <c r="F252" s="13"/>
      <c r="G252" s="14">
        <f>=SUMIF($C$17:$C$502,C252,$F$17:$F$502)</f>
      </c>
      <c r="H252" s="14">
        <f>=IFERROR($B$14/$B$10,"")</f>
      </c>
      <c r="I252" s="15">
        <f>=IFERROR(G252/H252,"")</f>
      </c>
      <c r="J252" s="16"/>
      <c r="K252" s="11"/>
      <c r="L252" s="17"/>
    </row>
    <row r="253" ht="18" customHeight="1" spans="1:12" x14ac:dyDescent="0.25">
      <c r="A253" s="10"/>
      <c r="B253" s="10"/>
      <c r="C253" s="10"/>
      <c r="D253" s="11"/>
      <c r="E253" s="12"/>
      <c r="F253" s="13"/>
      <c r="G253" s="14">
        <f>=SUMIF($C$17:$C$502,C253,$F$17:$F$502)</f>
      </c>
      <c r="H253" s="14">
        <f>=IFERROR($B$14/$B$10,"")</f>
      </c>
      <c r="I253" s="15">
        <f>=IFERROR(G253/H253,"")</f>
      </c>
      <c r="J253" s="16"/>
      <c r="K253" s="11"/>
      <c r="L253" s="17"/>
    </row>
    <row r="254" ht="18" customHeight="1" spans="1:12" x14ac:dyDescent="0.25">
      <c r="A254" s="10"/>
      <c r="B254" s="10"/>
      <c r="C254" s="10"/>
      <c r="D254" s="11"/>
      <c r="E254" s="12"/>
      <c r="F254" s="13"/>
      <c r="G254" s="14">
        <f>=SUMIF($C$17:$C$502,C254,$F$17:$F$502)</f>
      </c>
      <c r="H254" s="14">
        <f>=IFERROR($B$14/$B$10,"")</f>
      </c>
      <c r="I254" s="15">
        <f>=IFERROR(G254/H254,"")</f>
      </c>
      <c r="J254" s="16"/>
      <c r="K254" s="11"/>
      <c r="L254" s="17"/>
    </row>
    <row r="255" ht="18" customHeight="1" spans="1:12" x14ac:dyDescent="0.25">
      <c r="A255" s="10"/>
      <c r="B255" s="10"/>
      <c r="C255" s="10"/>
      <c r="D255" s="11"/>
      <c r="E255" s="12"/>
      <c r="F255" s="13"/>
      <c r="G255" s="14">
        <f>=SUMIF($C$17:$C$502,C255,$F$17:$F$502)</f>
      </c>
      <c r="H255" s="14">
        <f>=IFERROR($B$14/$B$10,"")</f>
      </c>
      <c r="I255" s="15">
        <f>=IFERROR(G255/H255,"")</f>
      </c>
      <c r="J255" s="16"/>
      <c r="K255" s="11"/>
      <c r="L255" s="17"/>
    </row>
    <row r="256" ht="18" customHeight="1" spans="1:12" x14ac:dyDescent="0.25">
      <c r="A256" s="10"/>
      <c r="B256" s="10"/>
      <c r="C256" s="10"/>
      <c r="D256" s="11"/>
      <c r="E256" s="12"/>
      <c r="F256" s="13"/>
      <c r="G256" s="14">
        <f>=SUMIF($C$17:$C$502,C256,$F$17:$F$502)</f>
      </c>
      <c r="H256" s="14">
        <f>=IFERROR($B$14/$B$10,"")</f>
      </c>
      <c r="I256" s="15">
        <f>=IFERROR(G256/H256,"")</f>
      </c>
      <c r="J256" s="16"/>
      <c r="K256" s="11"/>
      <c r="L256" s="17"/>
    </row>
    <row r="257" ht="18" customHeight="1" spans="1:12" x14ac:dyDescent="0.25">
      <c r="A257" s="10"/>
      <c r="B257" s="10"/>
      <c r="C257" s="10"/>
      <c r="D257" s="11"/>
      <c r="E257" s="12"/>
      <c r="F257" s="13"/>
      <c r="G257" s="14">
        <f>=SUMIF($C$17:$C$502,C257,$F$17:$F$502)</f>
      </c>
      <c r="H257" s="14">
        <f>=IFERROR($B$14/$B$10,"")</f>
      </c>
      <c r="I257" s="15">
        <f>=IFERROR(G257/H257,"")</f>
      </c>
      <c r="J257" s="16"/>
      <c r="K257" s="11"/>
      <c r="L257" s="17"/>
    </row>
    <row r="258" ht="18" customHeight="1" spans="1:12" x14ac:dyDescent="0.25">
      <c r="A258" s="10"/>
      <c r="B258" s="10"/>
      <c r="C258" s="10"/>
      <c r="D258" s="11"/>
      <c r="E258" s="12"/>
      <c r="F258" s="13"/>
      <c r="G258" s="14">
        <f>=SUMIF($C$17:$C$502,C258,$F$17:$F$502)</f>
      </c>
      <c r="H258" s="14">
        <f>=IFERROR($B$14/$B$10,"")</f>
      </c>
      <c r="I258" s="15">
        <f>=IFERROR(G258/H258,"")</f>
      </c>
      <c r="J258" s="16"/>
      <c r="K258" s="11"/>
      <c r="L258" s="17"/>
    </row>
    <row r="259" ht="18" customHeight="1" spans="1:12" x14ac:dyDescent="0.25">
      <c r="A259" s="10"/>
      <c r="B259" s="10"/>
      <c r="C259" s="10"/>
      <c r="D259" s="11"/>
      <c r="E259" s="12"/>
      <c r="F259" s="13"/>
      <c r="G259" s="14">
        <f>=SUMIF($C$17:$C$502,C259,$F$17:$F$502)</f>
      </c>
      <c r="H259" s="14">
        <f>=IFERROR($B$14/$B$10,"")</f>
      </c>
      <c r="I259" s="15">
        <f>=IFERROR(G259/H259,"")</f>
      </c>
      <c r="J259" s="16"/>
      <c r="K259" s="11"/>
      <c r="L259" s="17"/>
    </row>
    <row r="260" ht="18" customHeight="1" spans="1:12" x14ac:dyDescent="0.25">
      <c r="A260" s="10"/>
      <c r="B260" s="10"/>
      <c r="C260" s="10"/>
      <c r="D260" s="11"/>
      <c r="E260" s="12"/>
      <c r="F260" s="13"/>
      <c r="G260" s="14">
        <f>=SUMIF($C$17:$C$502,C260,$F$17:$F$502)</f>
      </c>
      <c r="H260" s="14">
        <f>=IFERROR($B$14/$B$10,"")</f>
      </c>
      <c r="I260" s="15">
        <f>=IFERROR(G260/H260,"")</f>
      </c>
      <c r="J260" s="16"/>
      <c r="K260" s="11"/>
      <c r="L260" s="17"/>
    </row>
    <row r="261" ht="18" customHeight="1" spans="1:12" x14ac:dyDescent="0.25">
      <c r="A261" s="10"/>
      <c r="B261" s="10"/>
      <c r="C261" s="10"/>
      <c r="D261" s="11"/>
      <c r="E261" s="12"/>
      <c r="F261" s="13"/>
      <c r="G261" s="14">
        <f>=SUMIF($C$17:$C$502,C261,$F$17:$F$502)</f>
      </c>
      <c r="H261" s="14">
        <f>=IFERROR($B$14/$B$10,"")</f>
      </c>
      <c r="I261" s="15">
        <f>=IFERROR(G261/H261,"")</f>
      </c>
      <c r="J261" s="16"/>
      <c r="K261" s="11"/>
      <c r="L261" s="17"/>
    </row>
    <row r="262" ht="18" customHeight="1" spans="1:12" x14ac:dyDescent="0.25">
      <c r="A262" s="10"/>
      <c r="B262" s="10"/>
      <c r="C262" s="10"/>
      <c r="D262" s="11"/>
      <c r="E262" s="12"/>
      <c r="F262" s="13"/>
      <c r="G262" s="14">
        <f>=SUMIF($C$17:$C$502,C262,$F$17:$F$502)</f>
      </c>
      <c r="H262" s="14">
        <f>=IFERROR($B$14/$B$10,"")</f>
      </c>
      <c r="I262" s="15">
        <f>=IFERROR(G262/H262,"")</f>
      </c>
      <c r="J262" s="16"/>
      <c r="K262" s="11"/>
      <c r="L262" s="17"/>
    </row>
    <row r="263" ht="18" customHeight="1" spans="1:12" x14ac:dyDescent="0.25">
      <c r="A263" s="10"/>
      <c r="B263" s="10"/>
      <c r="C263" s="10"/>
      <c r="D263" s="11"/>
      <c r="E263" s="12"/>
      <c r="F263" s="13"/>
      <c r="G263" s="14">
        <f>=SUMIF($C$17:$C$502,C263,$F$17:$F$502)</f>
      </c>
      <c r="H263" s="14">
        <f>=IFERROR($B$14/$B$10,"")</f>
      </c>
      <c r="I263" s="15">
        <f>=IFERROR(G263/H263,"")</f>
      </c>
      <c r="J263" s="16"/>
      <c r="K263" s="11"/>
      <c r="L263" s="17"/>
    </row>
    <row r="264" ht="18" customHeight="1" spans="1:12" x14ac:dyDescent="0.25">
      <c r="A264" s="10"/>
      <c r="B264" s="10"/>
      <c r="C264" s="10"/>
      <c r="D264" s="11"/>
      <c r="E264" s="12"/>
      <c r="F264" s="13"/>
      <c r="G264" s="14">
        <f>=SUMIF($C$17:$C$502,C264,$F$17:$F$502)</f>
      </c>
      <c r="H264" s="14">
        <f>=IFERROR($B$14/$B$10,"")</f>
      </c>
      <c r="I264" s="15">
        <f>=IFERROR(G264/H264,"")</f>
      </c>
      <c r="J264" s="16"/>
      <c r="K264" s="11"/>
      <c r="L264" s="17"/>
    </row>
    <row r="265" ht="18" customHeight="1" spans="1:12" x14ac:dyDescent="0.25">
      <c r="A265" s="10"/>
      <c r="B265" s="10"/>
      <c r="C265" s="10"/>
      <c r="D265" s="11"/>
      <c r="E265" s="12"/>
      <c r="F265" s="13"/>
      <c r="G265" s="14">
        <f>=SUMIF($C$17:$C$502,C265,$F$17:$F$502)</f>
      </c>
      <c r="H265" s="14">
        <f>=IFERROR($B$14/$B$10,"")</f>
      </c>
      <c r="I265" s="15">
        <f>=IFERROR(G265/H265,"")</f>
      </c>
      <c r="J265" s="16"/>
      <c r="K265" s="11"/>
      <c r="L265" s="17"/>
    </row>
    <row r="266" ht="18" customHeight="1" spans="1:12" x14ac:dyDescent="0.25">
      <c r="A266" s="10"/>
      <c r="B266" s="10"/>
      <c r="C266" s="10"/>
      <c r="D266" s="11"/>
      <c r="E266" s="12"/>
      <c r="F266" s="13"/>
      <c r="G266" s="14">
        <f>=SUMIF($C$17:$C$502,C266,$F$17:$F$502)</f>
      </c>
      <c r="H266" s="14">
        <f>=IFERROR($B$14/$B$10,"")</f>
      </c>
      <c r="I266" s="15">
        <f>=IFERROR(G266/H266,"")</f>
      </c>
      <c r="J266" s="16"/>
      <c r="K266" s="11"/>
      <c r="L266" s="17"/>
    </row>
    <row r="267" ht="18" customHeight="1" spans="1:12" x14ac:dyDescent="0.25">
      <c r="A267" s="10"/>
      <c r="B267" s="10"/>
      <c r="C267" s="10"/>
      <c r="D267" s="11"/>
      <c r="E267" s="12"/>
      <c r="F267" s="13"/>
      <c r="G267" s="14">
        <f>=SUMIF($C$17:$C$502,C267,$F$17:$F$502)</f>
      </c>
      <c r="H267" s="14">
        <f>=IFERROR($B$14/$B$10,"")</f>
      </c>
      <c r="I267" s="15">
        <f>=IFERROR(G267/H267,"")</f>
      </c>
      <c r="J267" s="16"/>
      <c r="K267" s="11"/>
      <c r="L267" s="17"/>
    </row>
    <row r="268" ht="18" customHeight="1" spans="1:12" x14ac:dyDescent="0.25">
      <c r="A268" s="10"/>
      <c r="B268" s="10"/>
      <c r="C268" s="10"/>
      <c r="D268" s="11"/>
      <c r="E268" s="12"/>
      <c r="F268" s="13"/>
      <c r="G268" s="14">
        <f>=SUMIF($C$17:$C$502,C268,$F$17:$F$502)</f>
      </c>
      <c r="H268" s="14">
        <f>=IFERROR($B$14/$B$10,"")</f>
      </c>
      <c r="I268" s="15">
        <f>=IFERROR(G268/H268,"")</f>
      </c>
      <c r="J268" s="16"/>
      <c r="K268" s="11"/>
      <c r="L268" s="17"/>
    </row>
    <row r="269" ht="18" customHeight="1" spans="1:12" x14ac:dyDescent="0.25">
      <c r="A269" s="10"/>
      <c r="B269" s="10"/>
      <c r="C269" s="10"/>
      <c r="D269" s="11"/>
      <c r="E269" s="12"/>
      <c r="F269" s="13"/>
      <c r="G269" s="14">
        <f>=SUMIF($C$17:$C$502,C269,$F$17:$F$502)</f>
      </c>
      <c r="H269" s="14">
        <f>=IFERROR($B$14/$B$10,"")</f>
      </c>
      <c r="I269" s="15">
        <f>=IFERROR(G269/H269,"")</f>
      </c>
      <c r="J269" s="16"/>
      <c r="K269" s="11"/>
      <c r="L269" s="17"/>
    </row>
    <row r="270" ht="18" customHeight="1" spans="1:12" x14ac:dyDescent="0.25">
      <c r="A270" s="10"/>
      <c r="B270" s="10"/>
      <c r="C270" s="10"/>
      <c r="D270" s="11"/>
      <c r="E270" s="12"/>
      <c r="F270" s="13"/>
      <c r="G270" s="14">
        <f>=SUMIF($C$17:$C$502,C270,$F$17:$F$502)</f>
      </c>
      <c r="H270" s="14">
        <f>=IFERROR($B$14/$B$10,"")</f>
      </c>
      <c r="I270" s="15">
        <f>=IFERROR(G270/H270,"")</f>
      </c>
      <c r="J270" s="16"/>
      <c r="K270" s="11"/>
      <c r="L270" s="17"/>
    </row>
    <row r="271" ht="18" customHeight="1" spans="1:12" x14ac:dyDescent="0.25">
      <c r="A271" s="10"/>
      <c r="B271" s="10"/>
      <c r="C271" s="10"/>
      <c r="D271" s="11"/>
      <c r="E271" s="12"/>
      <c r="F271" s="13"/>
      <c r="G271" s="14">
        <f>=SUMIF($C$17:$C$502,C271,$F$17:$F$502)</f>
      </c>
      <c r="H271" s="14">
        <f>=IFERROR($B$14/$B$10,"")</f>
      </c>
      <c r="I271" s="15">
        <f>=IFERROR(G271/H271,"")</f>
      </c>
      <c r="J271" s="16"/>
      <c r="K271" s="11"/>
      <c r="L271" s="17"/>
    </row>
    <row r="272" ht="18" customHeight="1" spans="1:12" x14ac:dyDescent="0.25">
      <c r="A272" s="10"/>
      <c r="B272" s="10"/>
      <c r="C272" s="10"/>
      <c r="D272" s="11"/>
      <c r="E272" s="12"/>
      <c r="F272" s="13"/>
      <c r="G272" s="14">
        <f>=SUMIF($C$17:$C$502,C272,$F$17:$F$502)</f>
      </c>
      <c r="H272" s="14">
        <f>=IFERROR($B$14/$B$10,"")</f>
      </c>
      <c r="I272" s="15">
        <f>=IFERROR(G272/H272,"")</f>
      </c>
      <c r="J272" s="16"/>
      <c r="K272" s="11"/>
      <c r="L272" s="17"/>
    </row>
    <row r="273" ht="18" customHeight="1" spans="1:12" x14ac:dyDescent="0.25">
      <c r="A273" s="10"/>
      <c r="B273" s="10"/>
      <c r="C273" s="10"/>
      <c r="D273" s="11"/>
      <c r="E273" s="12"/>
      <c r="F273" s="13"/>
      <c r="G273" s="14">
        <f>=SUMIF($C$17:$C$502,C273,$F$17:$F$502)</f>
      </c>
      <c r="H273" s="14">
        <f>=IFERROR($B$14/$B$10,"")</f>
      </c>
      <c r="I273" s="15">
        <f>=IFERROR(G273/H273,"")</f>
      </c>
      <c r="J273" s="16"/>
      <c r="K273" s="11"/>
      <c r="L273" s="17"/>
    </row>
    <row r="274" ht="18" customHeight="1" spans="1:12" x14ac:dyDescent="0.25">
      <c r="A274" s="10"/>
      <c r="B274" s="10"/>
      <c r="C274" s="10"/>
      <c r="D274" s="11"/>
      <c r="E274" s="12"/>
      <c r="F274" s="13"/>
      <c r="G274" s="14">
        <f>=SUMIF($C$17:$C$502,C274,$F$17:$F$502)</f>
      </c>
      <c r="H274" s="14">
        <f>=IFERROR($B$14/$B$10,"")</f>
      </c>
      <c r="I274" s="15">
        <f>=IFERROR(G274/H274,"")</f>
      </c>
      <c r="J274" s="16"/>
      <c r="K274" s="11"/>
      <c r="L274" s="17"/>
    </row>
    <row r="275" ht="18" customHeight="1" spans="1:12" x14ac:dyDescent="0.25">
      <c r="A275" s="10"/>
      <c r="B275" s="10"/>
      <c r="C275" s="10"/>
      <c r="D275" s="11"/>
      <c r="E275" s="12"/>
      <c r="F275" s="13"/>
      <c r="G275" s="14">
        <f>=SUMIF($C$17:$C$502,C275,$F$17:$F$502)</f>
      </c>
      <c r="H275" s="14">
        <f>=IFERROR($B$14/$B$10,"")</f>
      </c>
      <c r="I275" s="15">
        <f>=IFERROR(G275/H275,"")</f>
      </c>
      <c r="J275" s="16"/>
      <c r="K275" s="11"/>
      <c r="L275" s="17"/>
    </row>
    <row r="276" ht="18" customHeight="1" spans="1:12" x14ac:dyDescent="0.25">
      <c r="A276" s="10"/>
      <c r="B276" s="10"/>
      <c r="C276" s="10"/>
      <c r="D276" s="11"/>
      <c r="E276" s="12"/>
      <c r="F276" s="13"/>
      <c r="G276" s="14">
        <f>=SUMIF($C$17:$C$502,C276,$F$17:$F$502)</f>
      </c>
      <c r="H276" s="14">
        <f>=IFERROR($B$14/$B$10,"")</f>
      </c>
      <c r="I276" s="15">
        <f>=IFERROR(G276/H276,"")</f>
      </c>
      <c r="J276" s="16"/>
      <c r="K276" s="11"/>
      <c r="L276" s="17"/>
    </row>
    <row r="277" ht="18" customHeight="1" spans="1:12" x14ac:dyDescent="0.25">
      <c r="A277" s="10"/>
      <c r="B277" s="10"/>
      <c r="C277" s="10"/>
      <c r="D277" s="11"/>
      <c r="E277" s="12"/>
      <c r="F277" s="13"/>
      <c r="G277" s="14">
        <f>=SUMIF($C$17:$C$502,C277,$F$17:$F$502)</f>
      </c>
      <c r="H277" s="14">
        <f>=IFERROR($B$14/$B$10,"")</f>
      </c>
      <c r="I277" s="15">
        <f>=IFERROR(G277/H277,"")</f>
      </c>
      <c r="J277" s="16"/>
      <c r="K277" s="11"/>
      <c r="L277" s="17"/>
    </row>
    <row r="278" ht="18" customHeight="1" spans="1:12" x14ac:dyDescent="0.25">
      <c r="A278" s="10"/>
      <c r="B278" s="10"/>
      <c r="C278" s="10"/>
      <c r="D278" s="11"/>
      <c r="E278" s="12"/>
      <c r="F278" s="13"/>
      <c r="G278" s="14">
        <f>=SUMIF($C$17:$C$502,C278,$F$17:$F$502)</f>
      </c>
      <c r="H278" s="14">
        <f>=IFERROR($B$14/$B$10,"")</f>
      </c>
      <c r="I278" s="15">
        <f>=IFERROR(G278/H278,"")</f>
      </c>
      <c r="J278" s="16"/>
      <c r="K278" s="11"/>
      <c r="L278" s="17"/>
    </row>
    <row r="279" ht="18" customHeight="1" spans="1:12" x14ac:dyDescent="0.25">
      <c r="A279" s="10"/>
      <c r="B279" s="10"/>
      <c r="C279" s="10"/>
      <c r="D279" s="11"/>
      <c r="E279" s="12"/>
      <c r="F279" s="13"/>
      <c r="G279" s="14">
        <f>=SUMIF($C$17:$C$502,C279,$F$17:$F$502)</f>
      </c>
      <c r="H279" s="14">
        <f>=IFERROR($B$14/$B$10,"")</f>
      </c>
      <c r="I279" s="15">
        <f>=IFERROR(G279/H279,"")</f>
      </c>
      <c r="J279" s="16"/>
      <c r="K279" s="11"/>
      <c r="L279" s="17"/>
    </row>
    <row r="280" ht="18" customHeight="1" spans="1:12" x14ac:dyDescent="0.25">
      <c r="A280" s="10"/>
      <c r="B280" s="10"/>
      <c r="C280" s="10"/>
      <c r="D280" s="11"/>
      <c r="E280" s="12"/>
      <c r="F280" s="13"/>
      <c r="G280" s="14">
        <f>=SUMIF($C$17:$C$502,C280,$F$17:$F$502)</f>
      </c>
      <c r="H280" s="14">
        <f>=IFERROR($B$14/$B$10,"")</f>
      </c>
      <c r="I280" s="15">
        <f>=IFERROR(G280/H280,"")</f>
      </c>
      <c r="J280" s="16"/>
      <c r="K280" s="11"/>
      <c r="L280" s="17"/>
    </row>
    <row r="281" ht="18" customHeight="1" spans="1:12" x14ac:dyDescent="0.25">
      <c r="A281" s="10"/>
      <c r="B281" s="10"/>
      <c r="C281" s="10"/>
      <c r="D281" s="11"/>
      <c r="E281" s="12"/>
      <c r="F281" s="13"/>
      <c r="G281" s="14">
        <f>=SUMIF($C$17:$C$502,C281,$F$17:$F$502)</f>
      </c>
      <c r="H281" s="14">
        <f>=IFERROR($B$14/$B$10,"")</f>
      </c>
      <c r="I281" s="15">
        <f>=IFERROR(G281/H281,"")</f>
      </c>
      <c r="J281" s="16"/>
      <c r="K281" s="11"/>
      <c r="L281" s="17"/>
    </row>
    <row r="282" ht="18" customHeight="1" spans="1:12" x14ac:dyDescent="0.25">
      <c r="A282" s="10"/>
      <c r="B282" s="10"/>
      <c r="C282" s="10"/>
      <c r="D282" s="11"/>
      <c r="E282" s="12"/>
      <c r="F282" s="13"/>
      <c r="G282" s="14">
        <f>=SUMIF($C$17:$C$502,C282,$F$17:$F$502)</f>
      </c>
      <c r="H282" s="14">
        <f>=IFERROR($B$14/$B$10,"")</f>
      </c>
      <c r="I282" s="15">
        <f>=IFERROR(G282/H282,"")</f>
      </c>
      <c r="J282" s="16"/>
      <c r="K282" s="11"/>
      <c r="L282" s="17"/>
    </row>
    <row r="283" ht="18" customHeight="1" spans="1:12" x14ac:dyDescent="0.25">
      <c r="A283" s="10"/>
      <c r="B283" s="10"/>
      <c r="C283" s="10"/>
      <c r="D283" s="11"/>
      <c r="E283" s="12"/>
      <c r="F283" s="13"/>
      <c r="G283" s="14">
        <f>=SUMIF($C$17:$C$502,C283,$F$17:$F$502)</f>
      </c>
      <c r="H283" s="14">
        <f>=IFERROR($B$14/$B$10,"")</f>
      </c>
      <c r="I283" s="15">
        <f>=IFERROR(G283/H283,"")</f>
      </c>
      <c r="J283" s="16"/>
      <c r="K283" s="11"/>
      <c r="L283" s="17"/>
    </row>
    <row r="284" ht="18" customHeight="1" spans="1:12" x14ac:dyDescent="0.25">
      <c r="A284" s="10"/>
      <c r="B284" s="10"/>
      <c r="C284" s="10"/>
      <c r="D284" s="11"/>
      <c r="E284" s="12"/>
      <c r="F284" s="13"/>
      <c r="G284" s="14">
        <f>=SUMIF($C$17:$C$502,C284,$F$17:$F$502)</f>
      </c>
      <c r="H284" s="14">
        <f>=IFERROR($B$14/$B$10,"")</f>
      </c>
      <c r="I284" s="15">
        <f>=IFERROR(G284/H284,"")</f>
      </c>
      <c r="J284" s="16"/>
      <c r="K284" s="11"/>
      <c r="L284" s="17"/>
    </row>
    <row r="285" ht="18" customHeight="1" spans="1:12" x14ac:dyDescent="0.25">
      <c r="A285" s="10"/>
      <c r="B285" s="10"/>
      <c r="C285" s="10"/>
      <c r="D285" s="11"/>
      <c r="E285" s="12"/>
      <c r="F285" s="13"/>
      <c r="G285" s="14">
        <f>=SUMIF($C$17:$C$502,C285,$F$17:$F$502)</f>
      </c>
      <c r="H285" s="14">
        <f>=IFERROR($B$14/$B$10,"")</f>
      </c>
      <c r="I285" s="15">
        <f>=IFERROR(G285/H285,"")</f>
      </c>
      <c r="J285" s="16"/>
      <c r="K285" s="11"/>
      <c r="L285" s="17"/>
    </row>
    <row r="286" ht="18" customHeight="1" spans="1:12" x14ac:dyDescent="0.25">
      <c r="A286" s="10"/>
      <c r="B286" s="10"/>
      <c r="C286" s="10"/>
      <c r="D286" s="11"/>
      <c r="E286" s="12"/>
      <c r="F286" s="13"/>
      <c r="G286" s="14">
        <f>=SUMIF($C$17:$C$502,C286,$F$17:$F$502)</f>
      </c>
      <c r="H286" s="14">
        <f>=IFERROR($B$14/$B$10,"")</f>
      </c>
      <c r="I286" s="15">
        <f>=IFERROR(G286/H286,"")</f>
      </c>
      <c r="J286" s="16"/>
      <c r="K286" s="11"/>
      <c r="L286" s="17"/>
    </row>
    <row r="287" ht="18" customHeight="1" spans="1:12" x14ac:dyDescent="0.25">
      <c r="A287" s="10"/>
      <c r="B287" s="10"/>
      <c r="C287" s="10"/>
      <c r="D287" s="11"/>
      <c r="E287" s="12"/>
      <c r="F287" s="13"/>
      <c r="G287" s="14">
        <f>=SUMIF($C$17:$C$502,C287,$F$17:$F$502)</f>
      </c>
      <c r="H287" s="14">
        <f>=IFERROR($B$14/$B$10,"")</f>
      </c>
      <c r="I287" s="15">
        <f>=IFERROR(G287/H287,"")</f>
      </c>
      <c r="J287" s="16"/>
      <c r="K287" s="11"/>
      <c r="L287" s="17"/>
    </row>
    <row r="288" ht="18" customHeight="1" spans="1:12" x14ac:dyDescent="0.25">
      <c r="A288" s="10"/>
      <c r="B288" s="10"/>
      <c r="C288" s="10"/>
      <c r="D288" s="11"/>
      <c r="E288" s="12"/>
      <c r="F288" s="13"/>
      <c r="G288" s="14">
        <f>=SUMIF($C$17:$C$502,C288,$F$17:$F$502)</f>
      </c>
      <c r="H288" s="14">
        <f>=IFERROR($B$14/$B$10,"")</f>
      </c>
      <c r="I288" s="15">
        <f>=IFERROR(G288/H288,"")</f>
      </c>
      <c r="J288" s="16"/>
      <c r="K288" s="11"/>
      <c r="L288" s="17"/>
    </row>
    <row r="289" ht="18" customHeight="1" spans="1:12" x14ac:dyDescent="0.25">
      <c r="A289" s="10"/>
      <c r="B289" s="10"/>
      <c r="C289" s="10"/>
      <c r="D289" s="11"/>
      <c r="E289" s="12"/>
      <c r="F289" s="13"/>
      <c r="G289" s="14">
        <f>=SUMIF($C$17:$C$502,C289,$F$17:$F$502)</f>
      </c>
      <c r="H289" s="14">
        <f>=IFERROR($B$14/$B$10,"")</f>
      </c>
      <c r="I289" s="15">
        <f>=IFERROR(G289/H289,"")</f>
      </c>
      <c r="J289" s="16"/>
      <c r="K289" s="11"/>
      <c r="L289" s="17"/>
    </row>
    <row r="290" ht="18" customHeight="1" spans="1:12" x14ac:dyDescent="0.25">
      <c r="A290" s="10"/>
      <c r="B290" s="10"/>
      <c r="C290" s="10"/>
      <c r="D290" s="11"/>
      <c r="E290" s="12"/>
      <c r="F290" s="13"/>
      <c r="G290" s="14">
        <f>=SUMIF($C$17:$C$502,C290,$F$17:$F$502)</f>
      </c>
      <c r="H290" s="14">
        <f>=IFERROR($B$14/$B$10,"")</f>
      </c>
      <c r="I290" s="15">
        <f>=IFERROR(G290/H290,"")</f>
      </c>
      <c r="J290" s="16"/>
      <c r="K290" s="11"/>
      <c r="L290" s="17"/>
    </row>
    <row r="291" ht="18" customHeight="1" spans="1:12" x14ac:dyDescent="0.25">
      <c r="A291" s="10"/>
      <c r="B291" s="10"/>
      <c r="C291" s="10"/>
      <c r="D291" s="11"/>
      <c r="E291" s="12"/>
      <c r="F291" s="13"/>
      <c r="G291" s="14">
        <f>=SUMIF($C$17:$C$502,C291,$F$17:$F$502)</f>
      </c>
      <c r="H291" s="14">
        <f>=IFERROR($B$14/$B$10,"")</f>
      </c>
      <c r="I291" s="15">
        <f>=IFERROR(G291/H291,"")</f>
      </c>
      <c r="J291" s="16"/>
      <c r="K291" s="11"/>
      <c r="L291" s="17"/>
    </row>
    <row r="292" ht="18" customHeight="1" spans="1:12" x14ac:dyDescent="0.25">
      <c r="A292" s="10"/>
      <c r="B292" s="10"/>
      <c r="C292" s="10"/>
      <c r="D292" s="11"/>
      <c r="E292" s="12"/>
      <c r="F292" s="13"/>
      <c r="G292" s="14">
        <f>=SUMIF($C$17:$C$502,C292,$F$17:$F$502)</f>
      </c>
      <c r="H292" s="14">
        <f>=IFERROR($B$14/$B$10,"")</f>
      </c>
      <c r="I292" s="15">
        <f>=IFERROR(G292/H292,"")</f>
      </c>
      <c r="J292" s="16"/>
      <c r="K292" s="11"/>
      <c r="L292" s="17"/>
    </row>
    <row r="293" ht="18" customHeight="1" spans="1:12" x14ac:dyDescent="0.25">
      <c r="A293" s="10"/>
      <c r="B293" s="10"/>
      <c r="C293" s="10"/>
      <c r="D293" s="11"/>
      <c r="E293" s="12"/>
      <c r="F293" s="13"/>
      <c r="G293" s="14">
        <f>=SUMIF($C$17:$C$502,C293,$F$17:$F$502)</f>
      </c>
      <c r="H293" s="14">
        <f>=IFERROR($B$14/$B$10,"")</f>
      </c>
      <c r="I293" s="15">
        <f>=IFERROR(G293/H293,"")</f>
      </c>
      <c r="J293" s="16"/>
      <c r="K293" s="11"/>
      <c r="L293" s="17"/>
    </row>
    <row r="294" ht="18" customHeight="1" spans="1:12" x14ac:dyDescent="0.25">
      <c r="A294" s="10"/>
      <c r="B294" s="10"/>
      <c r="C294" s="10"/>
      <c r="D294" s="11"/>
      <c r="E294" s="12"/>
      <c r="F294" s="13"/>
      <c r="G294" s="14">
        <f>=SUMIF($C$17:$C$502,C294,$F$17:$F$502)</f>
      </c>
      <c r="H294" s="14">
        <f>=IFERROR($B$14/$B$10,"")</f>
      </c>
      <c r="I294" s="15">
        <f>=IFERROR(G294/H294,"")</f>
      </c>
      <c r="J294" s="16"/>
      <c r="K294" s="11"/>
      <c r="L294" s="17"/>
    </row>
    <row r="295" ht="18" customHeight="1" spans="1:12" x14ac:dyDescent="0.25">
      <c r="A295" s="10"/>
      <c r="B295" s="10"/>
      <c r="C295" s="10"/>
      <c r="D295" s="11"/>
      <c r="E295" s="12"/>
      <c r="F295" s="13"/>
      <c r="G295" s="14">
        <f>=SUMIF($C$17:$C$502,C295,$F$17:$F$502)</f>
      </c>
      <c r="H295" s="14">
        <f>=IFERROR($B$14/$B$10,"")</f>
      </c>
      <c r="I295" s="15">
        <f>=IFERROR(G295/H295,"")</f>
      </c>
      <c r="J295" s="16"/>
      <c r="K295" s="11"/>
      <c r="L295" s="17"/>
    </row>
    <row r="296" ht="18" customHeight="1" spans="1:12" x14ac:dyDescent="0.25">
      <c r="A296" s="10"/>
      <c r="B296" s="10"/>
      <c r="C296" s="10"/>
      <c r="D296" s="11"/>
      <c r="E296" s="12"/>
      <c r="F296" s="13"/>
      <c r="G296" s="14">
        <f>=SUMIF($C$17:$C$502,C296,$F$17:$F$502)</f>
      </c>
      <c r="H296" s="14">
        <f>=IFERROR($B$14/$B$10,"")</f>
      </c>
      <c r="I296" s="15">
        <f>=IFERROR(G296/H296,"")</f>
      </c>
      <c r="J296" s="16"/>
      <c r="K296" s="11"/>
      <c r="L296" s="17"/>
    </row>
    <row r="297" ht="18" customHeight="1" spans="1:12" x14ac:dyDescent="0.25">
      <c r="A297" s="10"/>
      <c r="B297" s="10"/>
      <c r="C297" s="10"/>
      <c r="D297" s="11"/>
      <c r="E297" s="12"/>
      <c r="F297" s="13"/>
      <c r="G297" s="14">
        <f>=SUMIF($C$17:$C$502,C297,$F$17:$F$502)</f>
      </c>
      <c r="H297" s="14">
        <f>=IFERROR($B$14/$B$10,"")</f>
      </c>
      <c r="I297" s="15">
        <f>=IFERROR(G297/H297,"")</f>
      </c>
      <c r="J297" s="16"/>
      <c r="K297" s="11"/>
      <c r="L297" s="17"/>
    </row>
    <row r="298" ht="18" customHeight="1" spans="1:12" x14ac:dyDescent="0.25">
      <c r="A298" s="10"/>
      <c r="B298" s="10"/>
      <c r="C298" s="10"/>
      <c r="D298" s="11"/>
      <c r="E298" s="12"/>
      <c r="F298" s="13"/>
      <c r="G298" s="14">
        <f>=SUMIF($C$17:$C$502,C298,$F$17:$F$502)</f>
      </c>
      <c r="H298" s="14">
        <f>=IFERROR($B$14/$B$10,"")</f>
      </c>
      <c r="I298" s="15">
        <f>=IFERROR(G298/H298,"")</f>
      </c>
      <c r="J298" s="16"/>
      <c r="K298" s="11"/>
      <c r="L298" s="17"/>
    </row>
    <row r="299" ht="18" customHeight="1" spans="1:12" x14ac:dyDescent="0.25">
      <c r="A299" s="10"/>
      <c r="B299" s="10"/>
      <c r="C299" s="10"/>
      <c r="D299" s="11"/>
      <c r="E299" s="12"/>
      <c r="F299" s="13"/>
      <c r="G299" s="14">
        <f>=SUMIF($C$17:$C$502,C299,$F$17:$F$502)</f>
      </c>
      <c r="H299" s="14">
        <f>=IFERROR($B$14/$B$10,"")</f>
      </c>
      <c r="I299" s="15">
        <f>=IFERROR(G299/H299,"")</f>
      </c>
      <c r="J299" s="16"/>
      <c r="K299" s="11"/>
      <c r="L299" s="17"/>
    </row>
    <row r="300" ht="18" customHeight="1" spans="1:12" x14ac:dyDescent="0.25">
      <c r="A300" s="10"/>
      <c r="B300" s="10"/>
      <c r="C300" s="10"/>
      <c r="D300" s="11"/>
      <c r="E300" s="12"/>
      <c r="F300" s="13"/>
      <c r="G300" s="14">
        <f>=SUMIF($C$17:$C$502,C300,$F$17:$F$502)</f>
      </c>
      <c r="H300" s="14">
        <f>=IFERROR($B$14/$B$10,"")</f>
      </c>
      <c r="I300" s="15">
        <f>=IFERROR(G300/H300,"")</f>
      </c>
      <c r="J300" s="16"/>
      <c r="K300" s="11"/>
      <c r="L300" s="17"/>
    </row>
    <row r="301" ht="18" customHeight="1" spans="1:12" x14ac:dyDescent="0.25">
      <c r="A301" s="10"/>
      <c r="B301" s="10"/>
      <c r="C301" s="10"/>
      <c r="D301" s="11"/>
      <c r="E301" s="12"/>
      <c r="F301" s="13"/>
      <c r="G301" s="14">
        <f>=SUMIF($C$17:$C$502,C301,$F$17:$F$502)</f>
      </c>
      <c r="H301" s="14">
        <f>=IFERROR($B$14/$B$10,"")</f>
      </c>
      <c r="I301" s="15">
        <f>=IFERROR(G301/H301,"")</f>
      </c>
      <c r="J301" s="16"/>
      <c r="K301" s="11"/>
      <c r="L301" s="17"/>
    </row>
    <row r="302" ht="18" customHeight="1" spans="1:12" x14ac:dyDescent="0.25">
      <c r="A302" s="10"/>
      <c r="B302" s="10"/>
      <c r="C302" s="10"/>
      <c r="D302" s="11"/>
      <c r="E302" s="12"/>
      <c r="F302" s="13"/>
      <c r="G302" s="14">
        <f>=SUMIF($C$17:$C$502,C302,$F$17:$F$502)</f>
      </c>
      <c r="H302" s="14">
        <f>=IFERROR($B$14/$B$10,"")</f>
      </c>
      <c r="I302" s="15">
        <f>=IFERROR(G302/H302,"")</f>
      </c>
      <c r="J302" s="16"/>
      <c r="K302" s="11"/>
      <c r="L302" s="17"/>
    </row>
    <row r="303" ht="18" customHeight="1" spans="1:12" x14ac:dyDescent="0.25">
      <c r="A303" s="10"/>
      <c r="B303" s="10"/>
      <c r="C303" s="10"/>
      <c r="D303" s="11"/>
      <c r="E303" s="12"/>
      <c r="F303" s="13"/>
      <c r="G303" s="14">
        <f>=SUMIF($C$17:$C$502,C303,$F$17:$F$502)</f>
      </c>
      <c r="H303" s="14">
        <f>=IFERROR($B$14/$B$10,"")</f>
      </c>
      <c r="I303" s="15">
        <f>=IFERROR(G303/H303,"")</f>
      </c>
      <c r="J303" s="16"/>
      <c r="K303" s="11"/>
      <c r="L303" s="17"/>
    </row>
    <row r="304" ht="18" customHeight="1" spans="1:12" x14ac:dyDescent="0.25">
      <c r="A304" s="10"/>
      <c r="B304" s="10"/>
      <c r="C304" s="10"/>
      <c r="D304" s="11"/>
      <c r="E304" s="12"/>
      <c r="F304" s="13"/>
      <c r="G304" s="14">
        <f>=SUMIF($C$17:$C$502,C304,$F$17:$F$502)</f>
      </c>
      <c r="H304" s="14">
        <f>=IFERROR($B$14/$B$10,"")</f>
      </c>
      <c r="I304" s="15">
        <f>=IFERROR(G304/H304,"")</f>
      </c>
      <c r="J304" s="16"/>
      <c r="K304" s="11"/>
      <c r="L304" s="17"/>
    </row>
    <row r="305" ht="18" customHeight="1" spans="1:12" x14ac:dyDescent="0.25">
      <c r="A305" s="10"/>
      <c r="B305" s="10"/>
      <c r="C305" s="10"/>
      <c r="D305" s="11"/>
      <c r="E305" s="12"/>
      <c r="F305" s="13"/>
      <c r="G305" s="14">
        <f>=SUMIF($C$17:$C$502,C305,$F$17:$F$502)</f>
      </c>
      <c r="H305" s="14">
        <f>=IFERROR($B$14/$B$10,"")</f>
      </c>
      <c r="I305" s="15">
        <f>=IFERROR(G305/H305,"")</f>
      </c>
      <c r="J305" s="16"/>
      <c r="K305" s="11"/>
      <c r="L305" s="17"/>
    </row>
    <row r="306" ht="18" customHeight="1" spans="1:12" x14ac:dyDescent="0.25">
      <c r="A306" s="10"/>
      <c r="B306" s="10"/>
      <c r="C306" s="10"/>
      <c r="D306" s="11"/>
      <c r="E306" s="12"/>
      <c r="F306" s="13"/>
      <c r="G306" s="14">
        <f>=SUMIF($C$17:$C$502,C306,$F$17:$F$502)</f>
      </c>
      <c r="H306" s="14">
        <f>=IFERROR($B$14/$B$10,"")</f>
      </c>
      <c r="I306" s="15">
        <f>=IFERROR(G306/H306,"")</f>
      </c>
      <c r="J306" s="16"/>
      <c r="K306" s="11"/>
      <c r="L306" s="17"/>
    </row>
    <row r="307" ht="18" customHeight="1" spans="1:12" x14ac:dyDescent="0.25">
      <c r="A307" s="10"/>
      <c r="B307" s="10"/>
      <c r="C307" s="10"/>
      <c r="D307" s="11"/>
      <c r="E307" s="12"/>
      <c r="F307" s="13"/>
      <c r="G307" s="14">
        <f>=SUMIF($C$17:$C$502,C307,$F$17:$F$502)</f>
      </c>
      <c r="H307" s="14">
        <f>=IFERROR($B$14/$B$10,"")</f>
      </c>
      <c r="I307" s="15">
        <f>=IFERROR(G307/H307,"")</f>
      </c>
      <c r="J307" s="16"/>
      <c r="K307" s="11"/>
      <c r="L307" s="17"/>
    </row>
    <row r="308" ht="18" customHeight="1" spans="1:12" x14ac:dyDescent="0.25">
      <c r="A308" s="10"/>
      <c r="B308" s="10"/>
      <c r="C308" s="10"/>
      <c r="D308" s="11"/>
      <c r="E308" s="12"/>
      <c r="F308" s="13"/>
      <c r="G308" s="14">
        <f>=SUMIF($C$17:$C$502,C308,$F$17:$F$502)</f>
      </c>
      <c r="H308" s="14">
        <f>=IFERROR($B$14/$B$10,"")</f>
      </c>
      <c r="I308" s="15">
        <f>=IFERROR(G308/H308,"")</f>
      </c>
      <c r="J308" s="16"/>
      <c r="K308" s="11"/>
      <c r="L308" s="17"/>
    </row>
    <row r="309" ht="18" customHeight="1" spans="1:12" x14ac:dyDescent="0.25">
      <c r="A309" s="10"/>
      <c r="B309" s="10"/>
      <c r="C309" s="10"/>
      <c r="D309" s="11"/>
      <c r="E309" s="12"/>
      <c r="F309" s="13"/>
      <c r="G309" s="14">
        <f>=SUMIF($C$17:$C$502,C309,$F$17:$F$502)</f>
      </c>
      <c r="H309" s="14">
        <f>=IFERROR($B$14/$B$10,"")</f>
      </c>
      <c r="I309" s="15">
        <f>=IFERROR(G309/H309,"")</f>
      </c>
      <c r="J309" s="16"/>
      <c r="K309" s="11"/>
      <c r="L309" s="17"/>
    </row>
    <row r="310" ht="18" customHeight="1" spans="1:12" x14ac:dyDescent="0.25">
      <c r="A310" s="10"/>
      <c r="B310" s="10"/>
      <c r="C310" s="10"/>
      <c r="D310" s="11"/>
      <c r="E310" s="12"/>
      <c r="F310" s="13"/>
      <c r="G310" s="14">
        <f>=SUMIF($C$17:$C$502,C310,$F$17:$F$502)</f>
      </c>
      <c r="H310" s="14">
        <f>=IFERROR($B$14/$B$10,"")</f>
      </c>
      <c r="I310" s="15">
        <f>=IFERROR(G310/H310,"")</f>
      </c>
      <c r="J310" s="16"/>
      <c r="K310" s="11"/>
      <c r="L310" s="17"/>
    </row>
    <row r="311" ht="18" customHeight="1" spans="1:12" x14ac:dyDescent="0.25">
      <c r="A311" s="10"/>
      <c r="B311" s="10"/>
      <c r="C311" s="10"/>
      <c r="D311" s="11"/>
      <c r="E311" s="12"/>
      <c r="F311" s="13"/>
      <c r="G311" s="14">
        <f>=SUMIF($C$17:$C$502,C311,$F$17:$F$502)</f>
      </c>
      <c r="H311" s="14">
        <f>=IFERROR($B$14/$B$10,"")</f>
      </c>
      <c r="I311" s="15">
        <f>=IFERROR(G311/H311,"")</f>
      </c>
      <c r="J311" s="16"/>
      <c r="K311" s="11"/>
      <c r="L311" s="17"/>
    </row>
    <row r="312" ht="18" customHeight="1" spans="1:12" x14ac:dyDescent="0.25">
      <c r="A312" s="10"/>
      <c r="B312" s="10"/>
      <c r="C312" s="10"/>
      <c r="D312" s="11"/>
      <c r="E312" s="12"/>
      <c r="F312" s="13"/>
      <c r="G312" s="14">
        <f>=SUMIF($C$17:$C$502,C312,$F$17:$F$502)</f>
      </c>
      <c r="H312" s="14">
        <f>=IFERROR($B$14/$B$10,"")</f>
      </c>
      <c r="I312" s="15">
        <f>=IFERROR(G312/H312,"")</f>
      </c>
      <c r="J312" s="16"/>
      <c r="K312" s="11"/>
      <c r="L312" s="17"/>
    </row>
    <row r="313" ht="18" customHeight="1" spans="1:12" x14ac:dyDescent="0.25">
      <c r="A313" s="10"/>
      <c r="B313" s="10"/>
      <c r="C313" s="10"/>
      <c r="D313" s="11"/>
      <c r="E313" s="12"/>
      <c r="F313" s="13"/>
      <c r="G313" s="14">
        <f>=SUMIF($C$17:$C$502,C313,$F$17:$F$502)</f>
      </c>
      <c r="H313" s="14">
        <f>=IFERROR($B$14/$B$10,"")</f>
      </c>
      <c r="I313" s="15">
        <f>=IFERROR(G313/H313,"")</f>
      </c>
      <c r="J313" s="16"/>
      <c r="K313" s="11"/>
      <c r="L313" s="17"/>
    </row>
    <row r="314" ht="18" customHeight="1" spans="1:12" x14ac:dyDescent="0.25">
      <c r="A314" s="10"/>
      <c r="B314" s="10"/>
      <c r="C314" s="10"/>
      <c r="D314" s="11"/>
      <c r="E314" s="12"/>
      <c r="F314" s="13"/>
      <c r="G314" s="14">
        <f>=SUMIF($C$17:$C$502,C314,$F$17:$F$502)</f>
      </c>
      <c r="H314" s="14">
        <f>=IFERROR($B$14/$B$10,"")</f>
      </c>
      <c r="I314" s="15">
        <f>=IFERROR(G314/H314,"")</f>
      </c>
      <c r="J314" s="16"/>
      <c r="K314" s="11"/>
      <c r="L314" s="17"/>
    </row>
    <row r="315" ht="18" customHeight="1" spans="1:12" x14ac:dyDescent="0.25">
      <c r="A315" s="10"/>
      <c r="B315" s="10"/>
      <c r="C315" s="10"/>
      <c r="D315" s="11"/>
      <c r="E315" s="12"/>
      <c r="F315" s="13"/>
      <c r="G315" s="14">
        <f>=SUMIF($C$17:$C$502,C315,$F$17:$F$502)</f>
      </c>
      <c r="H315" s="14">
        <f>=IFERROR($B$14/$B$10,"")</f>
      </c>
      <c r="I315" s="15">
        <f>=IFERROR(G315/H315,"")</f>
      </c>
      <c r="J315" s="16"/>
      <c r="K315" s="11"/>
      <c r="L315" s="17"/>
    </row>
    <row r="316" ht="18" customHeight="1" spans="1:12" x14ac:dyDescent="0.25">
      <c r="A316" s="10"/>
      <c r="B316" s="10"/>
      <c r="C316" s="10"/>
      <c r="D316" s="11"/>
      <c r="E316" s="12"/>
      <c r="F316" s="13"/>
      <c r="G316" s="14">
        <f>=SUMIF($C$17:$C$502,C316,$F$17:$F$502)</f>
      </c>
      <c r="H316" s="14">
        <f>=IFERROR($B$14/$B$10,"")</f>
      </c>
      <c r="I316" s="15">
        <f>=IFERROR(G316/H316,"")</f>
      </c>
      <c r="J316" s="16"/>
      <c r="K316" s="11"/>
      <c r="L316" s="17"/>
    </row>
    <row r="317" ht="18" customHeight="1" spans="1:12" x14ac:dyDescent="0.25">
      <c r="A317" s="10"/>
      <c r="B317" s="10"/>
      <c r="C317" s="10"/>
      <c r="D317" s="11"/>
      <c r="E317" s="12"/>
      <c r="F317" s="13"/>
      <c r="G317" s="14">
        <f>=SUMIF($C$17:$C$502,C317,$F$17:$F$502)</f>
      </c>
      <c r="H317" s="14">
        <f>=IFERROR($B$14/$B$10,"")</f>
      </c>
      <c r="I317" s="15">
        <f>=IFERROR(G317/H317,"")</f>
      </c>
      <c r="J317" s="16"/>
      <c r="K317" s="11"/>
      <c r="L317" s="17"/>
    </row>
    <row r="318" ht="18" customHeight="1" spans="1:12" x14ac:dyDescent="0.25">
      <c r="A318" s="10"/>
      <c r="B318" s="10"/>
      <c r="C318" s="10"/>
      <c r="D318" s="11"/>
      <c r="E318" s="12"/>
      <c r="F318" s="13"/>
      <c r="G318" s="14">
        <f>=SUMIF($C$17:$C$502,C318,$F$17:$F$502)</f>
      </c>
      <c r="H318" s="14">
        <f>=IFERROR($B$14/$B$10,"")</f>
      </c>
      <c r="I318" s="15">
        <f>=IFERROR(G318/H318,"")</f>
      </c>
      <c r="J318" s="16"/>
      <c r="K318" s="11"/>
      <c r="L318" s="17"/>
    </row>
    <row r="319" ht="18" customHeight="1" spans="1:12" x14ac:dyDescent="0.25">
      <c r="A319" s="10"/>
      <c r="B319" s="10"/>
      <c r="C319" s="10"/>
      <c r="D319" s="11"/>
      <c r="E319" s="12"/>
      <c r="F319" s="13"/>
      <c r="G319" s="14">
        <f>=SUMIF($C$17:$C$502,C319,$F$17:$F$502)</f>
      </c>
      <c r="H319" s="14">
        <f>=IFERROR($B$14/$B$10,"")</f>
      </c>
      <c r="I319" s="15">
        <f>=IFERROR(G319/H319,"")</f>
      </c>
      <c r="J319" s="16"/>
      <c r="K319" s="11"/>
      <c r="L319" s="17"/>
    </row>
    <row r="320" ht="18" customHeight="1" spans="1:12" x14ac:dyDescent="0.25">
      <c r="A320" s="10"/>
      <c r="B320" s="10"/>
      <c r="C320" s="10"/>
      <c r="D320" s="11"/>
      <c r="E320" s="12"/>
      <c r="F320" s="13"/>
      <c r="G320" s="14">
        <f>=SUMIF($C$17:$C$502,C320,$F$17:$F$502)</f>
      </c>
      <c r="H320" s="14">
        <f>=IFERROR($B$14/$B$10,"")</f>
      </c>
      <c r="I320" s="15">
        <f>=IFERROR(G320/H320,"")</f>
      </c>
      <c r="J320" s="16"/>
      <c r="K320" s="11"/>
      <c r="L320" s="17"/>
    </row>
    <row r="321" ht="18" customHeight="1" spans="1:12" x14ac:dyDescent="0.25">
      <c r="A321" s="10"/>
      <c r="B321" s="10"/>
      <c r="C321" s="10"/>
      <c r="D321" s="11"/>
      <c r="E321" s="12"/>
      <c r="F321" s="13"/>
      <c r="G321" s="14">
        <f>=SUMIF($C$17:$C$502,C321,$F$17:$F$502)</f>
      </c>
      <c r="H321" s="14">
        <f>=IFERROR($B$14/$B$10,"")</f>
      </c>
      <c r="I321" s="15">
        <f>=IFERROR(G321/H321,"")</f>
      </c>
      <c r="J321" s="16"/>
      <c r="K321" s="11"/>
      <c r="L321" s="17"/>
    </row>
    <row r="322" ht="18" customHeight="1" spans="1:12" x14ac:dyDescent="0.25">
      <c r="A322" s="10"/>
      <c r="B322" s="10"/>
      <c r="C322" s="10"/>
      <c r="D322" s="11"/>
      <c r="E322" s="12"/>
      <c r="F322" s="13"/>
      <c r="G322" s="14">
        <f>=SUMIF($C$17:$C$502,C322,$F$17:$F$502)</f>
      </c>
      <c r="H322" s="14">
        <f>=IFERROR($B$14/$B$10,"")</f>
      </c>
      <c r="I322" s="15">
        <f>=IFERROR(G322/H322,"")</f>
      </c>
      <c r="J322" s="16"/>
      <c r="K322" s="11"/>
      <c r="L322" s="17"/>
    </row>
    <row r="323" ht="18" customHeight="1" spans="1:12" x14ac:dyDescent="0.25">
      <c r="A323" s="10"/>
      <c r="B323" s="10"/>
      <c r="C323" s="10"/>
      <c r="D323" s="11"/>
      <c r="E323" s="12"/>
      <c r="F323" s="13"/>
      <c r="G323" s="14">
        <f>=SUMIF($C$17:$C$502,C323,$F$17:$F$502)</f>
      </c>
      <c r="H323" s="14">
        <f>=IFERROR($B$14/$B$10,"")</f>
      </c>
      <c r="I323" s="15">
        <f>=IFERROR(G323/H323,"")</f>
      </c>
      <c r="J323" s="16"/>
      <c r="K323" s="11"/>
      <c r="L323" s="17"/>
    </row>
    <row r="324" ht="18" customHeight="1" spans="1:12" x14ac:dyDescent="0.25">
      <c r="A324" s="10"/>
      <c r="B324" s="10"/>
      <c r="C324" s="10"/>
      <c r="D324" s="11"/>
      <c r="E324" s="12"/>
      <c r="F324" s="13"/>
      <c r="G324" s="14">
        <f>=SUMIF($C$17:$C$502,C324,$F$17:$F$502)</f>
      </c>
      <c r="H324" s="14">
        <f>=IFERROR($B$14/$B$10,"")</f>
      </c>
      <c r="I324" s="15">
        <f>=IFERROR(G324/H324,"")</f>
      </c>
      <c r="J324" s="16"/>
      <c r="K324" s="11"/>
      <c r="L324" s="17"/>
    </row>
    <row r="325" ht="18" customHeight="1" spans="1:12" x14ac:dyDescent="0.25">
      <c r="A325" s="10"/>
      <c r="B325" s="10"/>
      <c r="C325" s="10"/>
      <c r="D325" s="11"/>
      <c r="E325" s="12"/>
      <c r="F325" s="13"/>
      <c r="G325" s="14">
        <f>=SUMIF($C$17:$C$502,C325,$F$17:$F$502)</f>
      </c>
      <c r="H325" s="14">
        <f>=IFERROR($B$14/$B$10,"")</f>
      </c>
      <c r="I325" s="15">
        <f>=IFERROR(G325/H325,"")</f>
      </c>
      <c r="J325" s="16"/>
      <c r="K325" s="11"/>
      <c r="L325" s="17"/>
    </row>
    <row r="326" ht="18" customHeight="1" spans="1:12" x14ac:dyDescent="0.25">
      <c r="A326" s="10"/>
      <c r="B326" s="10"/>
      <c r="C326" s="10"/>
      <c r="D326" s="11"/>
      <c r="E326" s="12"/>
      <c r="F326" s="13"/>
      <c r="G326" s="14">
        <f>=SUMIF($C$17:$C$502,C326,$F$17:$F$502)</f>
      </c>
      <c r="H326" s="14">
        <f>=IFERROR($B$14/$B$10,"")</f>
      </c>
      <c r="I326" s="15">
        <f>=IFERROR(G326/H326,"")</f>
      </c>
      <c r="J326" s="16"/>
      <c r="K326" s="11"/>
      <c r="L326" s="17"/>
    </row>
    <row r="327" ht="18" customHeight="1" spans="1:12" x14ac:dyDescent="0.25">
      <c r="A327" s="10"/>
      <c r="B327" s="10"/>
      <c r="C327" s="10"/>
      <c r="D327" s="11"/>
      <c r="E327" s="12"/>
      <c r="F327" s="13"/>
      <c r="G327" s="14">
        <f>=SUMIF($C$17:$C$502,C327,$F$17:$F$502)</f>
      </c>
      <c r="H327" s="14">
        <f>=IFERROR($B$14/$B$10,"")</f>
      </c>
      <c r="I327" s="15">
        <f>=IFERROR(G327/H327,"")</f>
      </c>
      <c r="J327" s="16"/>
      <c r="K327" s="11"/>
      <c r="L327" s="17"/>
    </row>
    <row r="328" ht="18" customHeight="1" spans="1:12" x14ac:dyDescent="0.25">
      <c r="A328" s="10"/>
      <c r="B328" s="10"/>
      <c r="C328" s="10"/>
      <c r="D328" s="11"/>
      <c r="E328" s="12"/>
      <c r="F328" s="13"/>
      <c r="G328" s="14">
        <f>=SUMIF($C$17:$C$502,C328,$F$17:$F$502)</f>
      </c>
      <c r="H328" s="14">
        <f>=IFERROR($B$14/$B$10,"")</f>
      </c>
      <c r="I328" s="15">
        <f>=IFERROR(G328/H328,"")</f>
      </c>
      <c r="J328" s="16"/>
      <c r="K328" s="11"/>
      <c r="L328" s="17"/>
    </row>
    <row r="329" ht="18" customHeight="1" spans="1:12" x14ac:dyDescent="0.25">
      <c r="A329" s="10"/>
      <c r="B329" s="10"/>
      <c r="C329" s="10"/>
      <c r="D329" s="11"/>
      <c r="E329" s="12"/>
      <c r="F329" s="13"/>
      <c r="G329" s="14">
        <f>=SUMIF($C$17:$C$502,C329,$F$17:$F$502)</f>
      </c>
      <c r="H329" s="14">
        <f>=IFERROR($B$14/$B$10,"")</f>
      </c>
      <c r="I329" s="15">
        <f>=IFERROR(G329/H329,"")</f>
      </c>
      <c r="J329" s="16"/>
      <c r="K329" s="11"/>
      <c r="L329" s="17"/>
    </row>
    <row r="330" ht="18" customHeight="1" spans="1:12" x14ac:dyDescent="0.25">
      <c r="A330" s="10"/>
      <c r="B330" s="10"/>
      <c r="C330" s="10"/>
      <c r="D330" s="11"/>
      <c r="E330" s="12"/>
      <c r="F330" s="13"/>
      <c r="G330" s="14">
        <f>=SUMIF($C$17:$C$502,C330,$F$17:$F$502)</f>
      </c>
      <c r="H330" s="14">
        <f>=IFERROR($B$14/$B$10,"")</f>
      </c>
      <c r="I330" s="15">
        <f>=IFERROR(G330/H330,"")</f>
      </c>
      <c r="J330" s="16"/>
      <c r="K330" s="11"/>
      <c r="L330" s="17"/>
    </row>
    <row r="331" ht="18" customHeight="1" spans="1:12" x14ac:dyDescent="0.25">
      <c r="A331" s="10"/>
      <c r="B331" s="10"/>
      <c r="C331" s="10"/>
      <c r="D331" s="11"/>
      <c r="E331" s="12"/>
      <c r="F331" s="13"/>
      <c r="G331" s="14">
        <f>=SUMIF($C$17:$C$502,C331,$F$17:$F$502)</f>
      </c>
      <c r="H331" s="14">
        <f>=IFERROR($B$14/$B$10,"")</f>
      </c>
      <c r="I331" s="15">
        <f>=IFERROR(G331/H331,"")</f>
      </c>
      <c r="J331" s="16"/>
      <c r="K331" s="11"/>
      <c r="L331" s="17"/>
    </row>
    <row r="332" ht="18" customHeight="1" spans="1:12" x14ac:dyDescent="0.25">
      <c r="A332" s="10"/>
      <c r="B332" s="10"/>
      <c r="C332" s="10"/>
      <c r="D332" s="11"/>
      <c r="E332" s="12"/>
      <c r="F332" s="13"/>
      <c r="G332" s="14">
        <f>=SUMIF($C$17:$C$502,C332,$F$17:$F$502)</f>
      </c>
      <c r="H332" s="14">
        <f>=IFERROR($B$14/$B$10,"")</f>
      </c>
      <c r="I332" s="15">
        <f>=IFERROR(G332/H332,"")</f>
      </c>
      <c r="J332" s="16"/>
      <c r="K332" s="11"/>
      <c r="L332" s="17"/>
    </row>
    <row r="333" ht="18" customHeight="1" spans="1:12" x14ac:dyDescent="0.25">
      <c r="A333" s="10"/>
      <c r="B333" s="10"/>
      <c r="C333" s="10"/>
      <c r="D333" s="11"/>
      <c r="E333" s="12"/>
      <c r="F333" s="13"/>
      <c r="G333" s="14">
        <f>=SUMIF($C$17:$C$502,C333,$F$17:$F$502)</f>
      </c>
      <c r="H333" s="14">
        <f>=IFERROR($B$14/$B$10,"")</f>
      </c>
      <c r="I333" s="15">
        <f>=IFERROR(G333/H333,"")</f>
      </c>
      <c r="J333" s="16"/>
      <c r="K333" s="11"/>
      <c r="L333" s="17"/>
    </row>
    <row r="334" ht="18" customHeight="1" spans="1:12" x14ac:dyDescent="0.25">
      <c r="A334" s="10"/>
      <c r="B334" s="10"/>
      <c r="C334" s="10"/>
      <c r="D334" s="11"/>
      <c r="E334" s="12"/>
      <c r="F334" s="13"/>
      <c r="G334" s="14">
        <f>=SUMIF($C$17:$C$502,C334,$F$17:$F$502)</f>
      </c>
      <c r="H334" s="14">
        <f>=IFERROR($B$14/$B$10,"")</f>
      </c>
      <c r="I334" s="15">
        <f>=IFERROR(G334/H334,"")</f>
      </c>
      <c r="J334" s="16"/>
      <c r="K334" s="11"/>
      <c r="L334" s="17"/>
    </row>
    <row r="335" ht="18" customHeight="1" spans="1:12" x14ac:dyDescent="0.25">
      <c r="A335" s="10"/>
      <c r="B335" s="10"/>
      <c r="C335" s="10"/>
      <c r="D335" s="11"/>
      <c r="E335" s="12"/>
      <c r="F335" s="13"/>
      <c r="G335" s="14">
        <f>=SUMIF($C$17:$C$502,C335,$F$17:$F$502)</f>
      </c>
      <c r="H335" s="14">
        <f>=IFERROR($B$14/$B$10,"")</f>
      </c>
      <c r="I335" s="15">
        <f>=IFERROR(G335/H335,"")</f>
      </c>
      <c r="J335" s="16"/>
      <c r="K335" s="11"/>
      <c r="L335" s="17"/>
    </row>
    <row r="336" ht="18" customHeight="1" spans="1:12" x14ac:dyDescent="0.25">
      <c r="A336" s="10"/>
      <c r="B336" s="10"/>
      <c r="C336" s="10"/>
      <c r="D336" s="11"/>
      <c r="E336" s="12"/>
      <c r="F336" s="13"/>
      <c r="G336" s="14">
        <f>=SUMIF($C$17:$C$502,C336,$F$17:$F$502)</f>
      </c>
      <c r="H336" s="14">
        <f>=IFERROR($B$14/$B$10,"")</f>
      </c>
      <c r="I336" s="15">
        <f>=IFERROR(G336/H336,"")</f>
      </c>
      <c r="J336" s="16"/>
      <c r="K336" s="11"/>
      <c r="L336" s="17"/>
    </row>
    <row r="337" ht="18" customHeight="1" spans="1:12" x14ac:dyDescent="0.25">
      <c r="A337" s="10"/>
      <c r="B337" s="10"/>
      <c r="C337" s="10"/>
      <c r="D337" s="11"/>
      <c r="E337" s="12"/>
      <c r="F337" s="13"/>
      <c r="G337" s="14">
        <f>=SUMIF($C$17:$C$502,C337,$F$17:$F$502)</f>
      </c>
      <c r="H337" s="14">
        <f>=IFERROR($B$14/$B$10,"")</f>
      </c>
      <c r="I337" s="15">
        <f>=IFERROR(G337/H337,"")</f>
      </c>
      <c r="J337" s="16"/>
      <c r="K337" s="11"/>
      <c r="L337" s="17"/>
    </row>
    <row r="338" ht="18" customHeight="1" spans="1:12" x14ac:dyDescent="0.25">
      <c r="A338" s="10"/>
      <c r="B338" s="10"/>
      <c r="C338" s="10"/>
      <c r="D338" s="11"/>
      <c r="E338" s="12"/>
      <c r="F338" s="13"/>
      <c r="G338" s="14">
        <f>=SUMIF($C$17:$C$502,C338,$F$17:$F$502)</f>
      </c>
      <c r="H338" s="14">
        <f>=IFERROR($B$14/$B$10,"")</f>
      </c>
      <c r="I338" s="15">
        <f>=IFERROR(G338/H338,"")</f>
      </c>
      <c r="J338" s="16"/>
      <c r="K338" s="11"/>
      <c r="L338" s="17"/>
    </row>
    <row r="339" ht="18" customHeight="1" spans="1:12" x14ac:dyDescent="0.25">
      <c r="A339" s="10"/>
      <c r="B339" s="10"/>
      <c r="C339" s="10"/>
      <c r="D339" s="11"/>
      <c r="E339" s="12"/>
      <c r="F339" s="13"/>
      <c r="G339" s="14">
        <f>=SUMIF($C$17:$C$502,C339,$F$17:$F$502)</f>
      </c>
      <c r="H339" s="14">
        <f>=IFERROR($B$14/$B$10,"")</f>
      </c>
      <c r="I339" s="15">
        <f>=IFERROR(G339/H339,"")</f>
      </c>
      <c r="J339" s="16"/>
      <c r="K339" s="11"/>
      <c r="L339" s="17"/>
    </row>
    <row r="340" ht="18" customHeight="1" spans="1:12" x14ac:dyDescent="0.25">
      <c r="A340" s="10"/>
      <c r="B340" s="10"/>
      <c r="C340" s="10"/>
      <c r="D340" s="11"/>
      <c r="E340" s="12"/>
      <c r="F340" s="13"/>
      <c r="G340" s="14">
        <f>=SUMIF($C$17:$C$502,C340,$F$17:$F$502)</f>
      </c>
      <c r="H340" s="14">
        <f>=IFERROR($B$14/$B$10,"")</f>
      </c>
      <c r="I340" s="15">
        <f>=IFERROR(G340/H340,"")</f>
      </c>
      <c r="J340" s="16"/>
      <c r="K340" s="11"/>
      <c r="L340" s="17"/>
    </row>
    <row r="341" ht="18" customHeight="1" spans="1:12" x14ac:dyDescent="0.25">
      <c r="A341" s="10"/>
      <c r="B341" s="10"/>
      <c r="C341" s="10"/>
      <c r="D341" s="11"/>
      <c r="E341" s="12"/>
      <c r="F341" s="13"/>
      <c r="G341" s="14">
        <f>=SUMIF($C$17:$C$502,C341,$F$17:$F$502)</f>
      </c>
      <c r="H341" s="14">
        <f>=IFERROR($B$14/$B$10,"")</f>
      </c>
      <c r="I341" s="15">
        <f>=IFERROR(G341/H341,"")</f>
      </c>
      <c r="J341" s="16"/>
      <c r="K341" s="11"/>
      <c r="L341" s="17"/>
    </row>
    <row r="342" ht="18" customHeight="1" spans="1:12" x14ac:dyDescent="0.25">
      <c r="A342" s="10"/>
      <c r="B342" s="10"/>
      <c r="C342" s="10"/>
      <c r="D342" s="11"/>
      <c r="E342" s="12"/>
      <c r="F342" s="13"/>
      <c r="G342" s="14">
        <f>=SUMIF($C$17:$C$502,C342,$F$17:$F$502)</f>
      </c>
      <c r="H342" s="14">
        <f>=IFERROR($B$14/$B$10,"")</f>
      </c>
      <c r="I342" s="15">
        <f>=IFERROR(G342/H342,"")</f>
      </c>
      <c r="J342" s="16"/>
      <c r="K342" s="11"/>
      <c r="L342" s="17"/>
    </row>
    <row r="343" ht="18" customHeight="1" spans="1:12" x14ac:dyDescent="0.25">
      <c r="A343" s="10"/>
      <c r="B343" s="10"/>
      <c r="C343" s="10"/>
      <c r="D343" s="11"/>
      <c r="E343" s="12"/>
      <c r="F343" s="13"/>
      <c r="G343" s="14">
        <f>=SUMIF($C$17:$C$502,C343,$F$17:$F$502)</f>
      </c>
      <c r="H343" s="14">
        <f>=IFERROR($B$14/$B$10,"")</f>
      </c>
      <c r="I343" s="15">
        <f>=IFERROR(G343/H343,"")</f>
      </c>
      <c r="J343" s="16"/>
      <c r="K343" s="11"/>
      <c r="L343" s="17"/>
    </row>
    <row r="344" ht="18" customHeight="1" spans="1:12" x14ac:dyDescent="0.25">
      <c r="A344" s="10"/>
      <c r="B344" s="10"/>
      <c r="C344" s="10"/>
      <c r="D344" s="11"/>
      <c r="E344" s="12"/>
      <c r="F344" s="13"/>
      <c r="G344" s="14">
        <f>=SUMIF($C$17:$C$502,C344,$F$17:$F$502)</f>
      </c>
      <c r="H344" s="14">
        <f>=IFERROR($B$14/$B$10,"")</f>
      </c>
      <c r="I344" s="15">
        <f>=IFERROR(G344/H344,"")</f>
      </c>
      <c r="J344" s="16"/>
      <c r="K344" s="11"/>
      <c r="L344" s="17"/>
    </row>
    <row r="345" ht="18" customHeight="1" spans="1:12" x14ac:dyDescent="0.25">
      <c r="A345" s="10"/>
      <c r="B345" s="10"/>
      <c r="C345" s="10"/>
      <c r="D345" s="11"/>
      <c r="E345" s="12"/>
      <c r="F345" s="13"/>
      <c r="G345" s="14">
        <f>=SUMIF($C$17:$C$502,C345,$F$17:$F$502)</f>
      </c>
      <c r="H345" s="14">
        <f>=IFERROR($B$14/$B$10,"")</f>
      </c>
      <c r="I345" s="15">
        <f>=IFERROR(G345/H345,"")</f>
      </c>
      <c r="J345" s="16"/>
      <c r="K345" s="11"/>
      <c r="L345" s="17"/>
    </row>
    <row r="346" ht="18" customHeight="1" spans="1:12" x14ac:dyDescent="0.25">
      <c r="A346" s="10"/>
      <c r="B346" s="10"/>
      <c r="C346" s="10"/>
      <c r="D346" s="11"/>
      <c r="E346" s="12"/>
      <c r="F346" s="13"/>
      <c r="G346" s="14">
        <f>=SUMIF($C$17:$C$502,C346,$F$17:$F$502)</f>
      </c>
      <c r="H346" s="14">
        <f>=IFERROR($B$14/$B$10,"")</f>
      </c>
      <c r="I346" s="15">
        <f>=IFERROR(G346/H346,"")</f>
      </c>
      <c r="J346" s="16"/>
      <c r="K346" s="11"/>
      <c r="L346" s="17"/>
    </row>
    <row r="347" ht="18" customHeight="1" spans="1:12" x14ac:dyDescent="0.25">
      <c r="A347" s="10"/>
      <c r="B347" s="10"/>
      <c r="C347" s="10"/>
      <c r="D347" s="11"/>
      <c r="E347" s="12"/>
      <c r="F347" s="13"/>
      <c r="G347" s="14">
        <f>=SUMIF($C$17:$C$502,C347,$F$17:$F$502)</f>
      </c>
      <c r="H347" s="14">
        <f>=IFERROR($B$14/$B$10,"")</f>
      </c>
      <c r="I347" s="15">
        <f>=IFERROR(G347/H347,"")</f>
      </c>
      <c r="J347" s="16"/>
      <c r="K347" s="11"/>
      <c r="L347" s="17"/>
    </row>
    <row r="348" ht="18" customHeight="1" spans="1:12" x14ac:dyDescent="0.25">
      <c r="A348" s="10"/>
      <c r="B348" s="10"/>
      <c r="C348" s="10"/>
      <c r="D348" s="11"/>
      <c r="E348" s="12"/>
      <c r="F348" s="13"/>
      <c r="G348" s="14">
        <f>=SUMIF($C$17:$C$502,C348,$F$17:$F$502)</f>
      </c>
      <c r="H348" s="14">
        <f>=IFERROR($B$14/$B$10,"")</f>
      </c>
      <c r="I348" s="15">
        <f>=IFERROR(G348/H348,"")</f>
      </c>
      <c r="J348" s="16"/>
      <c r="K348" s="11"/>
      <c r="L348" s="17"/>
    </row>
    <row r="349" ht="18" customHeight="1" spans="1:12" x14ac:dyDescent="0.25">
      <c r="A349" s="10"/>
      <c r="B349" s="10"/>
      <c r="C349" s="10"/>
      <c r="D349" s="11"/>
      <c r="E349" s="12"/>
      <c r="F349" s="13"/>
      <c r="G349" s="14">
        <f>=SUMIF($C$17:$C$502,C349,$F$17:$F$502)</f>
      </c>
      <c r="H349" s="14">
        <f>=IFERROR($B$14/$B$10,"")</f>
      </c>
      <c r="I349" s="15">
        <f>=IFERROR(G349/H349,"")</f>
      </c>
      <c r="J349" s="16"/>
      <c r="K349" s="11"/>
      <c r="L349" s="17"/>
    </row>
    <row r="350" ht="18" customHeight="1" spans="1:12" x14ac:dyDescent="0.25">
      <c r="A350" s="10"/>
      <c r="B350" s="10"/>
      <c r="C350" s="10"/>
      <c r="D350" s="11"/>
      <c r="E350" s="12"/>
      <c r="F350" s="13"/>
      <c r="G350" s="14">
        <f>=SUMIF($C$17:$C$502,C350,$F$17:$F$502)</f>
      </c>
      <c r="H350" s="14">
        <f>=IFERROR($B$14/$B$10,"")</f>
      </c>
      <c r="I350" s="15">
        <f>=IFERROR(G350/H350,"")</f>
      </c>
      <c r="J350" s="16"/>
      <c r="K350" s="11"/>
      <c r="L350" s="17"/>
    </row>
    <row r="351" ht="18" customHeight="1" spans="1:12" x14ac:dyDescent="0.25">
      <c r="A351" s="10"/>
      <c r="B351" s="10"/>
      <c r="C351" s="10"/>
      <c r="D351" s="11"/>
      <c r="E351" s="12"/>
      <c r="F351" s="13"/>
      <c r="G351" s="14">
        <f>=SUMIF($C$17:$C$502,C351,$F$17:$F$502)</f>
      </c>
      <c r="H351" s="14">
        <f>=IFERROR($B$14/$B$10,"")</f>
      </c>
      <c r="I351" s="15">
        <f>=IFERROR(G351/H351,"")</f>
      </c>
      <c r="J351" s="16"/>
      <c r="K351" s="11"/>
      <c r="L351" s="17"/>
    </row>
    <row r="352" ht="18" customHeight="1" spans="1:12" x14ac:dyDescent="0.25">
      <c r="A352" s="10"/>
      <c r="B352" s="10"/>
      <c r="C352" s="10"/>
      <c r="D352" s="11"/>
      <c r="E352" s="12"/>
      <c r="F352" s="13"/>
      <c r="G352" s="14">
        <f>=SUMIF($C$17:$C$502,C352,$F$17:$F$502)</f>
      </c>
      <c r="H352" s="14">
        <f>=IFERROR($B$14/$B$10,"")</f>
      </c>
      <c r="I352" s="15">
        <f>=IFERROR(G352/H352,"")</f>
      </c>
      <c r="J352" s="16"/>
      <c r="K352" s="11"/>
      <c r="L352" s="17"/>
    </row>
    <row r="353" ht="18" customHeight="1" spans="1:12" x14ac:dyDescent="0.25">
      <c r="A353" s="10"/>
      <c r="B353" s="10"/>
      <c r="C353" s="10"/>
      <c r="D353" s="11"/>
      <c r="E353" s="12"/>
      <c r="F353" s="13"/>
      <c r="G353" s="14">
        <f>=SUMIF($C$17:$C$502,C353,$F$17:$F$502)</f>
      </c>
      <c r="H353" s="14">
        <f>=IFERROR($B$14/$B$10,"")</f>
      </c>
      <c r="I353" s="15">
        <f>=IFERROR(G353/H353,"")</f>
      </c>
      <c r="J353" s="16"/>
      <c r="K353" s="11"/>
      <c r="L353" s="17"/>
    </row>
    <row r="354" ht="18" customHeight="1" spans="1:12" x14ac:dyDescent="0.25">
      <c r="A354" s="10"/>
      <c r="B354" s="10"/>
      <c r="C354" s="10"/>
      <c r="D354" s="11"/>
      <c r="E354" s="12"/>
      <c r="F354" s="13"/>
      <c r="G354" s="14">
        <f>=SUMIF($C$17:$C$502,C354,$F$17:$F$502)</f>
      </c>
      <c r="H354" s="14">
        <f>=IFERROR($B$14/$B$10,"")</f>
      </c>
      <c r="I354" s="15">
        <f>=IFERROR(G354/H354,"")</f>
      </c>
      <c r="J354" s="16"/>
      <c r="K354" s="11"/>
      <c r="L354" s="17"/>
    </row>
    <row r="355" ht="18" customHeight="1" spans="1:12" x14ac:dyDescent="0.25">
      <c r="A355" s="10"/>
      <c r="B355" s="10"/>
      <c r="C355" s="10"/>
      <c r="D355" s="11"/>
      <c r="E355" s="12"/>
      <c r="F355" s="13"/>
      <c r="G355" s="14">
        <f>=SUMIF($C$17:$C$502,C355,$F$17:$F$502)</f>
      </c>
      <c r="H355" s="14">
        <f>=IFERROR($B$14/$B$10,"")</f>
      </c>
      <c r="I355" s="15">
        <f>=IFERROR(G355/H355,"")</f>
      </c>
      <c r="J355" s="16"/>
      <c r="K355" s="11"/>
      <c r="L355" s="17"/>
    </row>
    <row r="356" ht="18" customHeight="1" spans="1:12" x14ac:dyDescent="0.25">
      <c r="A356" s="10"/>
      <c r="B356" s="10"/>
      <c r="C356" s="10"/>
      <c r="D356" s="11"/>
      <c r="E356" s="12"/>
      <c r="F356" s="13"/>
      <c r="G356" s="14">
        <f>=SUMIF($C$17:$C$502,C356,$F$17:$F$502)</f>
      </c>
      <c r="H356" s="14">
        <f>=IFERROR($B$14/$B$10,"")</f>
      </c>
      <c r="I356" s="15">
        <f>=IFERROR(G356/H356,"")</f>
      </c>
      <c r="J356" s="16"/>
      <c r="K356" s="11"/>
      <c r="L356" s="17"/>
    </row>
    <row r="357" ht="18" customHeight="1" spans="1:12" x14ac:dyDescent="0.25">
      <c r="A357" s="10"/>
      <c r="B357" s="10"/>
      <c r="C357" s="10"/>
      <c r="D357" s="11"/>
      <c r="E357" s="12"/>
      <c r="F357" s="13"/>
      <c r="G357" s="14">
        <f>=SUMIF($C$17:$C$502,C357,$F$17:$F$502)</f>
      </c>
      <c r="H357" s="14">
        <f>=IFERROR($B$14/$B$10,"")</f>
      </c>
      <c r="I357" s="15">
        <f>=IFERROR(G357/H357,"")</f>
      </c>
      <c r="J357" s="16"/>
      <c r="K357" s="11"/>
      <c r="L357" s="17"/>
    </row>
    <row r="358" ht="18" customHeight="1" spans="1:12" x14ac:dyDescent="0.25">
      <c r="A358" s="10"/>
      <c r="B358" s="10"/>
      <c r="C358" s="10"/>
      <c r="D358" s="11"/>
      <c r="E358" s="12"/>
      <c r="F358" s="13"/>
      <c r="G358" s="14">
        <f>=SUMIF($C$17:$C$502,C358,$F$17:$F$502)</f>
      </c>
      <c r="H358" s="14">
        <f>=IFERROR($B$14/$B$10,"")</f>
      </c>
      <c r="I358" s="15">
        <f>=IFERROR(G358/H358,"")</f>
      </c>
      <c r="J358" s="16"/>
      <c r="K358" s="11"/>
      <c r="L358" s="17"/>
    </row>
    <row r="359" ht="18" customHeight="1" spans="1:12" x14ac:dyDescent="0.25">
      <c r="A359" s="10"/>
      <c r="B359" s="10"/>
      <c r="C359" s="10"/>
      <c r="D359" s="11"/>
      <c r="E359" s="12"/>
      <c r="F359" s="13"/>
      <c r="G359" s="14">
        <f>=SUMIF($C$17:$C$502,C359,$F$17:$F$502)</f>
      </c>
      <c r="H359" s="14">
        <f>=IFERROR($B$14/$B$10,"")</f>
      </c>
      <c r="I359" s="15">
        <f>=IFERROR(G359/H359,"")</f>
      </c>
      <c r="J359" s="16"/>
      <c r="K359" s="11"/>
      <c r="L359" s="17"/>
    </row>
    <row r="360" ht="18" customHeight="1" spans="1:12" x14ac:dyDescent="0.25">
      <c r="A360" s="10"/>
      <c r="B360" s="10"/>
      <c r="C360" s="10"/>
      <c r="D360" s="11"/>
      <c r="E360" s="12"/>
      <c r="F360" s="13"/>
      <c r="G360" s="14">
        <f>=SUMIF($C$17:$C$502,C360,$F$17:$F$502)</f>
      </c>
      <c r="H360" s="14">
        <f>=IFERROR($B$14/$B$10,"")</f>
      </c>
      <c r="I360" s="15">
        <f>=IFERROR(G360/H360,"")</f>
      </c>
      <c r="J360" s="16"/>
      <c r="K360" s="11"/>
      <c r="L360" s="17"/>
    </row>
    <row r="361" ht="18" customHeight="1" spans="1:12" x14ac:dyDescent="0.25">
      <c r="A361" s="10"/>
      <c r="B361" s="10"/>
      <c r="C361" s="10"/>
      <c r="D361" s="11"/>
      <c r="E361" s="12"/>
      <c r="F361" s="13"/>
      <c r="G361" s="14">
        <f>=SUMIF($C$17:$C$502,C361,$F$17:$F$502)</f>
      </c>
      <c r="H361" s="14">
        <f>=IFERROR($B$14/$B$10,"")</f>
      </c>
      <c r="I361" s="15">
        <f>=IFERROR(G361/H361,"")</f>
      </c>
      <c r="J361" s="16"/>
      <c r="K361" s="11"/>
      <c r="L361" s="17"/>
    </row>
    <row r="362" ht="18" customHeight="1" spans="1:12" x14ac:dyDescent="0.25">
      <c r="A362" s="10"/>
      <c r="B362" s="10"/>
      <c r="C362" s="10"/>
      <c r="D362" s="11"/>
      <c r="E362" s="12"/>
      <c r="F362" s="13"/>
      <c r="G362" s="14">
        <f>=SUMIF($C$17:$C$502,C362,$F$17:$F$502)</f>
      </c>
      <c r="H362" s="14">
        <f>=IFERROR($B$14/$B$10,"")</f>
      </c>
      <c r="I362" s="15">
        <f>=IFERROR(G362/H362,"")</f>
      </c>
      <c r="J362" s="16"/>
      <c r="K362" s="11"/>
      <c r="L362" s="17"/>
    </row>
    <row r="363" ht="18" customHeight="1" spans="1:12" x14ac:dyDescent="0.25">
      <c r="A363" s="10"/>
      <c r="B363" s="10"/>
      <c r="C363" s="10"/>
      <c r="D363" s="11"/>
      <c r="E363" s="12"/>
      <c r="F363" s="13"/>
      <c r="G363" s="14">
        <f>=SUMIF($C$17:$C$502,C363,$F$17:$F$502)</f>
      </c>
      <c r="H363" s="14">
        <f>=IFERROR($B$14/$B$10,"")</f>
      </c>
      <c r="I363" s="15">
        <f>=IFERROR(G363/H363,"")</f>
      </c>
      <c r="J363" s="16"/>
      <c r="K363" s="11"/>
      <c r="L363" s="17"/>
    </row>
    <row r="364" ht="18" customHeight="1" spans="1:12" x14ac:dyDescent="0.25">
      <c r="A364" s="10"/>
      <c r="B364" s="10"/>
      <c r="C364" s="10"/>
      <c r="D364" s="11"/>
      <c r="E364" s="12"/>
      <c r="F364" s="13"/>
      <c r="G364" s="14">
        <f>=SUMIF($C$17:$C$502,C364,$F$17:$F$502)</f>
      </c>
      <c r="H364" s="14">
        <f>=IFERROR($B$14/$B$10,"")</f>
      </c>
      <c r="I364" s="15">
        <f>=IFERROR(G364/H364,"")</f>
      </c>
      <c r="J364" s="16"/>
      <c r="K364" s="11"/>
      <c r="L364" s="17"/>
    </row>
    <row r="365" ht="18" customHeight="1" spans="1:12" x14ac:dyDescent="0.25">
      <c r="A365" s="10"/>
      <c r="B365" s="10"/>
      <c r="C365" s="10"/>
      <c r="D365" s="11"/>
      <c r="E365" s="12"/>
      <c r="F365" s="13"/>
      <c r="G365" s="14">
        <f>=SUMIF($C$17:$C$502,C365,$F$17:$F$502)</f>
      </c>
      <c r="H365" s="14">
        <f>=IFERROR($B$14/$B$10,"")</f>
      </c>
      <c r="I365" s="15">
        <f>=IFERROR(G365/H365,"")</f>
      </c>
      <c r="J365" s="16"/>
      <c r="K365" s="11"/>
      <c r="L365" s="17"/>
    </row>
    <row r="366" ht="18" customHeight="1" spans="1:12" x14ac:dyDescent="0.25">
      <c r="A366" s="10"/>
      <c r="B366" s="10"/>
      <c r="C366" s="10"/>
      <c r="D366" s="11"/>
      <c r="E366" s="12"/>
      <c r="F366" s="13"/>
      <c r="G366" s="14">
        <f>=SUMIF($C$17:$C$502,C366,$F$17:$F$502)</f>
      </c>
      <c r="H366" s="14">
        <f>=IFERROR($B$14/$B$10,"")</f>
      </c>
      <c r="I366" s="15">
        <f>=IFERROR(G366/H366,"")</f>
      </c>
      <c r="J366" s="16"/>
      <c r="K366" s="11"/>
      <c r="L366" s="17"/>
    </row>
    <row r="367" ht="18" customHeight="1" spans="1:12" x14ac:dyDescent="0.25">
      <c r="A367" s="10"/>
      <c r="B367" s="10"/>
      <c r="C367" s="10"/>
      <c r="D367" s="11"/>
      <c r="E367" s="12"/>
      <c r="F367" s="13"/>
      <c r="G367" s="14">
        <f>=SUMIF($C$17:$C$502,C367,$F$17:$F$502)</f>
      </c>
      <c r="H367" s="14">
        <f>=IFERROR($B$14/$B$10,"")</f>
      </c>
      <c r="I367" s="15">
        <f>=IFERROR(G367/H367,"")</f>
      </c>
      <c r="J367" s="16"/>
      <c r="K367" s="11"/>
      <c r="L367" s="17"/>
    </row>
    <row r="368" ht="18" customHeight="1" spans="1:12" x14ac:dyDescent="0.25">
      <c r="A368" s="10"/>
      <c r="B368" s="10"/>
      <c r="C368" s="10"/>
      <c r="D368" s="11"/>
      <c r="E368" s="12"/>
      <c r="F368" s="13"/>
      <c r="G368" s="14">
        <f>=SUMIF($C$17:$C$502,C368,$F$17:$F$502)</f>
      </c>
      <c r="H368" s="14">
        <f>=IFERROR($B$14/$B$10,"")</f>
      </c>
      <c r="I368" s="15">
        <f>=IFERROR(G368/H368,"")</f>
      </c>
      <c r="J368" s="16"/>
      <c r="K368" s="11"/>
      <c r="L368" s="17"/>
    </row>
    <row r="369" ht="18" customHeight="1" spans="1:12" x14ac:dyDescent="0.25">
      <c r="A369" s="10"/>
      <c r="B369" s="10"/>
      <c r="C369" s="10"/>
      <c r="D369" s="11"/>
      <c r="E369" s="12"/>
      <c r="F369" s="13"/>
      <c r="G369" s="14">
        <f>=SUMIF($C$17:$C$502,C369,$F$17:$F$502)</f>
      </c>
      <c r="H369" s="14">
        <f>=IFERROR($B$14/$B$10,"")</f>
      </c>
      <c r="I369" s="15">
        <f>=IFERROR(G369/H369,"")</f>
      </c>
      <c r="J369" s="16"/>
      <c r="K369" s="11"/>
      <c r="L369" s="17"/>
    </row>
    <row r="370" ht="18" customHeight="1" spans="1:12" x14ac:dyDescent="0.25">
      <c r="A370" s="10"/>
      <c r="B370" s="10"/>
      <c r="C370" s="10"/>
      <c r="D370" s="11"/>
      <c r="E370" s="12"/>
      <c r="F370" s="13"/>
      <c r="G370" s="14">
        <f>=SUMIF($C$17:$C$502,C370,$F$17:$F$502)</f>
      </c>
      <c r="H370" s="14">
        <f>=IFERROR($B$14/$B$10,"")</f>
      </c>
      <c r="I370" s="15">
        <f>=IFERROR(G370/H370,"")</f>
      </c>
      <c r="J370" s="16"/>
      <c r="K370" s="11"/>
      <c r="L370" s="17"/>
    </row>
    <row r="371" ht="18" customHeight="1" spans="1:12" x14ac:dyDescent="0.25">
      <c r="A371" s="10"/>
      <c r="B371" s="10"/>
      <c r="C371" s="10"/>
      <c r="D371" s="11"/>
      <c r="E371" s="12"/>
      <c r="F371" s="13"/>
      <c r="G371" s="14">
        <f>=SUMIF($C$17:$C$502,C371,$F$17:$F$502)</f>
      </c>
      <c r="H371" s="14">
        <f>=IFERROR($B$14/$B$10,"")</f>
      </c>
      <c r="I371" s="15">
        <f>=IFERROR(G371/H371,"")</f>
      </c>
      <c r="J371" s="16"/>
      <c r="K371" s="11"/>
      <c r="L371" s="17"/>
    </row>
    <row r="372" ht="18" customHeight="1" spans="1:12" x14ac:dyDescent="0.25">
      <c r="A372" s="10"/>
      <c r="B372" s="10"/>
      <c r="C372" s="10"/>
      <c r="D372" s="11"/>
      <c r="E372" s="12"/>
      <c r="F372" s="13"/>
      <c r="G372" s="14">
        <f>=SUMIF($C$17:$C$502,C372,$F$17:$F$502)</f>
      </c>
      <c r="H372" s="14">
        <f>=IFERROR($B$14/$B$10,"")</f>
      </c>
      <c r="I372" s="15">
        <f>=IFERROR(G372/H372,"")</f>
      </c>
      <c r="J372" s="16"/>
      <c r="K372" s="11"/>
      <c r="L372" s="17"/>
    </row>
    <row r="373" ht="18" customHeight="1" spans="1:12" x14ac:dyDescent="0.25">
      <c r="A373" s="10"/>
      <c r="B373" s="10"/>
      <c r="C373" s="10"/>
      <c r="D373" s="11"/>
      <c r="E373" s="12"/>
      <c r="F373" s="13"/>
      <c r="G373" s="14">
        <f>=SUMIF($C$17:$C$502,C373,$F$17:$F$502)</f>
      </c>
      <c r="H373" s="14">
        <f>=IFERROR($B$14/$B$10,"")</f>
      </c>
      <c r="I373" s="15">
        <f>=IFERROR(G373/H373,"")</f>
      </c>
      <c r="J373" s="16"/>
      <c r="K373" s="11"/>
      <c r="L373" s="17"/>
    </row>
    <row r="374" ht="18" customHeight="1" spans="1:12" x14ac:dyDescent="0.25">
      <c r="A374" s="10"/>
      <c r="B374" s="10"/>
      <c r="C374" s="10"/>
      <c r="D374" s="11"/>
      <c r="E374" s="12"/>
      <c r="F374" s="13"/>
      <c r="G374" s="14">
        <f>=SUMIF($C$17:$C$502,C374,$F$17:$F$502)</f>
      </c>
      <c r="H374" s="14">
        <f>=IFERROR($B$14/$B$10,"")</f>
      </c>
      <c r="I374" s="15">
        <f>=IFERROR(G374/H374,"")</f>
      </c>
      <c r="J374" s="16"/>
      <c r="K374" s="11"/>
      <c r="L374" s="17"/>
    </row>
    <row r="375" ht="18" customHeight="1" spans="1:12" x14ac:dyDescent="0.25">
      <c r="A375" s="10"/>
      <c r="B375" s="10"/>
      <c r="C375" s="10"/>
      <c r="D375" s="11"/>
      <c r="E375" s="12"/>
      <c r="F375" s="13"/>
      <c r="G375" s="14">
        <f>=SUMIF($C$17:$C$502,C375,$F$17:$F$502)</f>
      </c>
      <c r="H375" s="14">
        <f>=IFERROR($B$14/$B$10,"")</f>
      </c>
      <c r="I375" s="15">
        <f>=IFERROR(G375/H375,"")</f>
      </c>
      <c r="J375" s="16"/>
      <c r="K375" s="11"/>
      <c r="L375" s="17"/>
    </row>
    <row r="376" ht="18" customHeight="1" spans="1:12" x14ac:dyDescent="0.25">
      <c r="A376" s="10"/>
      <c r="B376" s="10"/>
      <c r="C376" s="10"/>
      <c r="D376" s="11"/>
      <c r="E376" s="12"/>
      <c r="F376" s="13"/>
      <c r="G376" s="14">
        <f>=SUMIF($C$17:$C$502,C376,$F$17:$F$502)</f>
      </c>
      <c r="H376" s="14">
        <f>=IFERROR($B$14/$B$10,"")</f>
      </c>
      <c r="I376" s="15">
        <f>=IFERROR(G376/H376,"")</f>
      </c>
      <c r="J376" s="16"/>
      <c r="K376" s="11"/>
      <c r="L376" s="17"/>
    </row>
    <row r="377" ht="18" customHeight="1" spans="1:12" x14ac:dyDescent="0.25">
      <c r="A377" s="10"/>
      <c r="B377" s="10"/>
      <c r="C377" s="10"/>
      <c r="D377" s="11"/>
      <c r="E377" s="12"/>
      <c r="F377" s="13"/>
      <c r="G377" s="14">
        <f>=SUMIF($C$17:$C$502,C377,$F$17:$F$502)</f>
      </c>
      <c r="H377" s="14">
        <f>=IFERROR($B$14/$B$10,"")</f>
      </c>
      <c r="I377" s="15">
        <f>=IFERROR(G377/H377,"")</f>
      </c>
      <c r="J377" s="16"/>
      <c r="K377" s="11"/>
      <c r="L377" s="17"/>
    </row>
    <row r="378" ht="18" customHeight="1" spans="1:12" x14ac:dyDescent="0.25">
      <c r="A378" s="10"/>
      <c r="B378" s="10"/>
      <c r="C378" s="10"/>
      <c r="D378" s="11"/>
      <c r="E378" s="12"/>
      <c r="F378" s="13"/>
      <c r="G378" s="14">
        <f>=SUMIF($C$17:$C$502,C378,$F$17:$F$502)</f>
      </c>
      <c r="H378" s="14">
        <f>=IFERROR($B$14/$B$10,"")</f>
      </c>
      <c r="I378" s="15">
        <f>=IFERROR(G378/H378,"")</f>
      </c>
      <c r="J378" s="16"/>
      <c r="K378" s="11"/>
      <c r="L378" s="17"/>
    </row>
    <row r="379" ht="18" customHeight="1" spans="1:12" x14ac:dyDescent="0.25">
      <c r="A379" s="10"/>
      <c r="B379" s="10"/>
      <c r="C379" s="10"/>
      <c r="D379" s="11"/>
      <c r="E379" s="12"/>
      <c r="F379" s="13"/>
      <c r="G379" s="14">
        <f>=SUMIF($C$17:$C$502,C379,$F$17:$F$502)</f>
      </c>
      <c r="H379" s="14">
        <f>=IFERROR($B$14/$B$10,"")</f>
      </c>
      <c r="I379" s="15">
        <f>=IFERROR(G379/H379,"")</f>
      </c>
      <c r="J379" s="16"/>
      <c r="K379" s="11"/>
      <c r="L379" s="17"/>
    </row>
    <row r="380" ht="18" customHeight="1" spans="1:12" x14ac:dyDescent="0.25">
      <c r="A380" s="10"/>
      <c r="B380" s="10"/>
      <c r="C380" s="10"/>
      <c r="D380" s="11"/>
      <c r="E380" s="12"/>
      <c r="F380" s="13"/>
      <c r="G380" s="14">
        <f>=SUMIF($C$17:$C$502,C380,$F$17:$F$502)</f>
      </c>
      <c r="H380" s="14">
        <f>=IFERROR($B$14/$B$10,"")</f>
      </c>
      <c r="I380" s="15">
        <f>=IFERROR(G380/H380,"")</f>
      </c>
      <c r="J380" s="16"/>
      <c r="K380" s="11"/>
      <c r="L380" s="17"/>
    </row>
    <row r="381" ht="18" customHeight="1" spans="1:12" x14ac:dyDescent="0.25">
      <c r="A381" s="10"/>
      <c r="B381" s="10"/>
      <c r="C381" s="10"/>
      <c r="D381" s="11"/>
      <c r="E381" s="12"/>
      <c r="F381" s="13"/>
      <c r="G381" s="14">
        <f>=SUMIF($C$17:$C$502,C381,$F$17:$F$502)</f>
      </c>
      <c r="H381" s="14">
        <f>=IFERROR($B$14/$B$10,"")</f>
      </c>
      <c r="I381" s="15">
        <f>=IFERROR(G381/H381,"")</f>
      </c>
      <c r="J381" s="16"/>
      <c r="K381" s="11"/>
      <c r="L381" s="17"/>
    </row>
    <row r="382" ht="18" customHeight="1" spans="1:12" x14ac:dyDescent="0.25">
      <c r="A382" s="10"/>
      <c r="B382" s="10"/>
      <c r="C382" s="10"/>
      <c r="D382" s="11"/>
      <c r="E382" s="12"/>
      <c r="F382" s="13"/>
      <c r="G382" s="14">
        <f>=SUMIF($C$17:$C$502,C382,$F$17:$F$502)</f>
      </c>
      <c r="H382" s="14">
        <f>=IFERROR($B$14/$B$10,"")</f>
      </c>
      <c r="I382" s="15">
        <f>=IFERROR(G382/H382,"")</f>
      </c>
      <c r="J382" s="16"/>
      <c r="K382" s="11"/>
      <c r="L382" s="17"/>
    </row>
    <row r="383" ht="18" customHeight="1" spans="1:12" x14ac:dyDescent="0.25">
      <c r="A383" s="10"/>
      <c r="B383" s="10"/>
      <c r="C383" s="10"/>
      <c r="D383" s="11"/>
      <c r="E383" s="12"/>
      <c r="F383" s="13"/>
      <c r="G383" s="14">
        <f>=SUMIF($C$17:$C$502,C383,$F$17:$F$502)</f>
      </c>
      <c r="H383" s="14">
        <f>=IFERROR($B$14/$B$10,"")</f>
      </c>
      <c r="I383" s="15">
        <f>=IFERROR(G383/H383,"")</f>
      </c>
      <c r="J383" s="16"/>
      <c r="K383" s="11"/>
      <c r="L383" s="17"/>
    </row>
    <row r="384" ht="18" customHeight="1" spans="1:12" x14ac:dyDescent="0.25">
      <c r="A384" s="10"/>
      <c r="B384" s="10"/>
      <c r="C384" s="10"/>
      <c r="D384" s="11"/>
      <c r="E384" s="12"/>
      <c r="F384" s="13"/>
      <c r="G384" s="14">
        <f>=SUMIF($C$17:$C$502,C384,$F$17:$F$502)</f>
      </c>
      <c r="H384" s="14">
        <f>=IFERROR($B$14/$B$10,"")</f>
      </c>
      <c r="I384" s="15">
        <f>=IFERROR(G384/H384,"")</f>
      </c>
      <c r="J384" s="16"/>
      <c r="K384" s="11"/>
      <c r="L384" s="17"/>
    </row>
    <row r="385" ht="18" customHeight="1" spans="1:12" x14ac:dyDescent="0.25">
      <c r="A385" s="10"/>
      <c r="B385" s="10"/>
      <c r="C385" s="10"/>
      <c r="D385" s="11"/>
      <c r="E385" s="12"/>
      <c r="F385" s="13"/>
      <c r="G385" s="14">
        <f>=SUMIF($C$17:$C$502,C385,$F$17:$F$502)</f>
      </c>
      <c r="H385" s="14">
        <f>=IFERROR($B$14/$B$10,"")</f>
      </c>
      <c r="I385" s="15">
        <f>=IFERROR(G385/H385,"")</f>
      </c>
      <c r="J385" s="16"/>
      <c r="K385" s="11"/>
      <c r="L385" s="17"/>
    </row>
    <row r="386" ht="18" customHeight="1" spans="1:12" x14ac:dyDescent="0.25">
      <c r="A386" s="10"/>
      <c r="B386" s="10"/>
      <c r="C386" s="10"/>
      <c r="D386" s="11"/>
      <c r="E386" s="12"/>
      <c r="F386" s="13"/>
      <c r="G386" s="14">
        <f>=SUMIF($C$17:$C$502,C386,$F$17:$F$502)</f>
      </c>
      <c r="H386" s="14">
        <f>=IFERROR($B$14/$B$10,"")</f>
      </c>
      <c r="I386" s="15">
        <f>=IFERROR(G386/H386,"")</f>
      </c>
      <c r="J386" s="16"/>
      <c r="K386" s="11"/>
      <c r="L386" s="17"/>
    </row>
    <row r="387" ht="18" customHeight="1" spans="1:12" x14ac:dyDescent="0.25">
      <c r="A387" s="10"/>
      <c r="B387" s="10"/>
      <c r="C387" s="10"/>
      <c r="D387" s="11"/>
      <c r="E387" s="12"/>
      <c r="F387" s="13"/>
      <c r="G387" s="14">
        <f>=SUMIF($C$17:$C$502,C387,$F$17:$F$502)</f>
      </c>
      <c r="H387" s="14">
        <f>=IFERROR($B$14/$B$10,"")</f>
      </c>
      <c r="I387" s="15">
        <f>=IFERROR(G387/H387,"")</f>
      </c>
      <c r="J387" s="16"/>
      <c r="K387" s="11"/>
      <c r="L387" s="17"/>
    </row>
    <row r="388" ht="18" customHeight="1" spans="1:12" x14ac:dyDescent="0.25">
      <c r="A388" s="10"/>
      <c r="B388" s="10"/>
      <c r="C388" s="10"/>
      <c r="D388" s="11"/>
      <c r="E388" s="12"/>
      <c r="F388" s="13"/>
      <c r="G388" s="14">
        <f>=SUMIF($C$17:$C$502,C388,$F$17:$F$502)</f>
      </c>
      <c r="H388" s="14">
        <f>=IFERROR($B$14/$B$10,"")</f>
      </c>
      <c r="I388" s="15">
        <f>=IFERROR(G388/H388,"")</f>
      </c>
      <c r="J388" s="16"/>
      <c r="K388" s="11"/>
      <c r="L388" s="17"/>
    </row>
    <row r="389" ht="18" customHeight="1" spans="1:12" x14ac:dyDescent="0.25">
      <c r="A389" s="10"/>
      <c r="B389" s="10"/>
      <c r="C389" s="10"/>
      <c r="D389" s="11"/>
      <c r="E389" s="12"/>
      <c r="F389" s="13"/>
      <c r="G389" s="14">
        <f>=SUMIF($C$17:$C$502,C389,$F$17:$F$502)</f>
      </c>
      <c r="H389" s="14">
        <f>=IFERROR($B$14/$B$10,"")</f>
      </c>
      <c r="I389" s="15">
        <f>=IFERROR(G389/H389,"")</f>
      </c>
      <c r="J389" s="16"/>
      <c r="K389" s="11"/>
      <c r="L389" s="17"/>
    </row>
    <row r="390" ht="18" customHeight="1" spans="1:12" x14ac:dyDescent="0.25">
      <c r="A390" s="10"/>
      <c r="B390" s="10"/>
      <c r="C390" s="10"/>
      <c r="D390" s="11"/>
      <c r="E390" s="12"/>
      <c r="F390" s="13"/>
      <c r="G390" s="14">
        <f>=SUMIF($C$17:$C$502,C390,$F$17:$F$502)</f>
      </c>
      <c r="H390" s="14">
        <f>=IFERROR($B$14/$B$10,"")</f>
      </c>
      <c r="I390" s="15">
        <f>=IFERROR(G390/H390,"")</f>
      </c>
      <c r="J390" s="16"/>
      <c r="K390" s="11"/>
      <c r="L390" s="17"/>
    </row>
    <row r="391" ht="18" customHeight="1" spans="1:12" x14ac:dyDescent="0.25">
      <c r="A391" s="10"/>
      <c r="B391" s="10"/>
      <c r="C391" s="10"/>
      <c r="D391" s="11"/>
      <c r="E391" s="12"/>
      <c r="F391" s="13"/>
      <c r="G391" s="14">
        <f>=SUMIF($C$17:$C$502,C391,$F$17:$F$502)</f>
      </c>
      <c r="H391" s="14">
        <f>=IFERROR($B$14/$B$10,"")</f>
      </c>
      <c r="I391" s="15">
        <f>=IFERROR(G391/H391,"")</f>
      </c>
      <c r="J391" s="16"/>
      <c r="K391" s="11"/>
      <c r="L391" s="17"/>
    </row>
    <row r="392" ht="18" customHeight="1" spans="1:12" x14ac:dyDescent="0.25">
      <c r="A392" s="10"/>
      <c r="B392" s="10"/>
      <c r="C392" s="10"/>
      <c r="D392" s="11"/>
      <c r="E392" s="12"/>
      <c r="F392" s="13"/>
      <c r="G392" s="14">
        <f>=SUMIF($C$17:$C$502,C392,$F$17:$F$502)</f>
      </c>
      <c r="H392" s="14">
        <f>=IFERROR($B$14/$B$10,"")</f>
      </c>
      <c r="I392" s="15">
        <f>=IFERROR(G392/H392,"")</f>
      </c>
      <c r="J392" s="16"/>
      <c r="K392" s="11"/>
      <c r="L392" s="17"/>
    </row>
    <row r="393" ht="18" customHeight="1" spans="1:12" x14ac:dyDescent="0.25">
      <c r="A393" s="10"/>
      <c r="B393" s="10"/>
      <c r="C393" s="10"/>
      <c r="D393" s="11"/>
      <c r="E393" s="12"/>
      <c r="F393" s="13"/>
      <c r="G393" s="14">
        <f>=SUMIF($C$17:$C$502,C393,$F$17:$F$502)</f>
      </c>
      <c r="H393" s="14">
        <f>=IFERROR($B$14/$B$10,"")</f>
      </c>
      <c r="I393" s="15">
        <f>=IFERROR(G393/H393,"")</f>
      </c>
      <c r="J393" s="16"/>
      <c r="K393" s="11"/>
      <c r="L393" s="17"/>
    </row>
    <row r="394" ht="18" customHeight="1" spans="1:12" x14ac:dyDescent="0.25">
      <c r="A394" s="10"/>
      <c r="B394" s="10"/>
      <c r="C394" s="10"/>
      <c r="D394" s="11"/>
      <c r="E394" s="12"/>
      <c r="F394" s="13"/>
      <c r="G394" s="14">
        <f>=SUMIF($C$17:$C$502,C394,$F$17:$F$502)</f>
      </c>
      <c r="H394" s="14">
        <f>=IFERROR($B$14/$B$10,"")</f>
      </c>
      <c r="I394" s="15">
        <f>=IFERROR(G394/H394,"")</f>
      </c>
      <c r="J394" s="16"/>
      <c r="K394" s="11"/>
      <c r="L394" s="17"/>
    </row>
    <row r="395" ht="18" customHeight="1" spans="1:12" x14ac:dyDescent="0.25">
      <c r="A395" s="10"/>
      <c r="B395" s="10"/>
      <c r="C395" s="10"/>
      <c r="D395" s="11"/>
      <c r="E395" s="12"/>
      <c r="F395" s="13"/>
      <c r="G395" s="14">
        <f>=SUMIF($C$17:$C$502,C395,$F$17:$F$502)</f>
      </c>
      <c r="H395" s="14">
        <f>=IFERROR($B$14/$B$10,"")</f>
      </c>
      <c r="I395" s="15">
        <f>=IFERROR(G395/H395,"")</f>
      </c>
      <c r="J395" s="16"/>
      <c r="K395" s="11"/>
      <c r="L395" s="17"/>
    </row>
    <row r="396" ht="18" customHeight="1" spans="1:12" x14ac:dyDescent="0.25">
      <c r="A396" s="10"/>
      <c r="B396" s="10"/>
      <c r="C396" s="10"/>
      <c r="D396" s="11"/>
      <c r="E396" s="12"/>
      <c r="F396" s="13"/>
      <c r="G396" s="14">
        <f>=SUMIF($C$17:$C$502,C396,$F$17:$F$502)</f>
      </c>
      <c r="H396" s="14">
        <f>=IFERROR($B$14/$B$10,"")</f>
      </c>
      <c r="I396" s="15">
        <f>=IFERROR(G396/H396,"")</f>
      </c>
      <c r="J396" s="16"/>
      <c r="K396" s="11"/>
      <c r="L396" s="17"/>
    </row>
    <row r="397" ht="18" customHeight="1" spans="1:12" x14ac:dyDescent="0.25">
      <c r="A397" s="10"/>
      <c r="B397" s="10"/>
      <c r="C397" s="10"/>
      <c r="D397" s="11"/>
      <c r="E397" s="12"/>
      <c r="F397" s="13"/>
      <c r="G397" s="14">
        <f>=SUMIF($C$17:$C$502,C397,$F$17:$F$502)</f>
      </c>
      <c r="H397" s="14">
        <f>=IFERROR($B$14/$B$10,"")</f>
      </c>
      <c r="I397" s="15">
        <f>=IFERROR(G397/H397,"")</f>
      </c>
      <c r="J397" s="16"/>
      <c r="K397" s="11"/>
      <c r="L397" s="17"/>
    </row>
    <row r="398" ht="18" customHeight="1" spans="1:12" x14ac:dyDescent="0.25">
      <c r="A398" s="10"/>
      <c r="B398" s="10"/>
      <c r="C398" s="10"/>
      <c r="D398" s="11"/>
      <c r="E398" s="12"/>
      <c r="F398" s="13"/>
      <c r="G398" s="14">
        <f>=SUMIF($C$17:$C$502,C398,$F$17:$F$502)</f>
      </c>
      <c r="H398" s="14">
        <f>=IFERROR($B$14/$B$10,"")</f>
      </c>
      <c r="I398" s="15">
        <f>=IFERROR(G398/H398,"")</f>
      </c>
      <c r="J398" s="16"/>
      <c r="K398" s="11"/>
      <c r="L398" s="17"/>
    </row>
    <row r="399" ht="18" customHeight="1" spans="1:12" x14ac:dyDescent="0.25">
      <c r="A399" s="10"/>
      <c r="B399" s="10"/>
      <c r="C399" s="10"/>
      <c r="D399" s="11"/>
      <c r="E399" s="12"/>
      <c r="F399" s="13"/>
      <c r="G399" s="14">
        <f>=SUMIF($C$17:$C$502,C399,$F$17:$F$502)</f>
      </c>
      <c r="H399" s="14">
        <f>=IFERROR($B$14/$B$10,"")</f>
      </c>
      <c r="I399" s="15">
        <f>=IFERROR(G399/H399,"")</f>
      </c>
      <c r="J399" s="16"/>
      <c r="K399" s="11"/>
      <c r="L399" s="17"/>
    </row>
    <row r="400" ht="18" customHeight="1" spans="1:12" x14ac:dyDescent="0.25">
      <c r="A400" s="10"/>
      <c r="B400" s="10"/>
      <c r="C400" s="10"/>
      <c r="D400" s="11"/>
      <c r="E400" s="12"/>
      <c r="F400" s="13"/>
      <c r="G400" s="14">
        <f>=SUMIF($C$17:$C$502,C400,$F$17:$F$502)</f>
      </c>
      <c r="H400" s="14">
        <f>=IFERROR($B$14/$B$10,"")</f>
      </c>
      <c r="I400" s="15">
        <f>=IFERROR(G400/H400,"")</f>
      </c>
      <c r="J400" s="16"/>
      <c r="K400" s="11"/>
      <c r="L400" s="17"/>
    </row>
    <row r="401" ht="18" customHeight="1" spans="1:12" x14ac:dyDescent="0.25">
      <c r="A401" s="10"/>
      <c r="B401" s="10"/>
      <c r="C401" s="10"/>
      <c r="D401" s="11"/>
      <c r="E401" s="12"/>
      <c r="F401" s="13"/>
      <c r="G401" s="14">
        <f>=SUMIF($C$17:$C$502,C401,$F$17:$F$502)</f>
      </c>
      <c r="H401" s="14">
        <f>=IFERROR($B$14/$B$10,"")</f>
      </c>
      <c r="I401" s="15">
        <f>=IFERROR(G401/H401,"")</f>
      </c>
      <c r="J401" s="16"/>
      <c r="K401" s="11"/>
      <c r="L401" s="17"/>
    </row>
    <row r="402" ht="18" customHeight="1" spans="1:12" x14ac:dyDescent="0.25">
      <c r="A402" s="10"/>
      <c r="B402" s="10"/>
      <c r="C402" s="10"/>
      <c r="D402" s="11"/>
      <c r="E402" s="12"/>
      <c r="F402" s="13"/>
      <c r="G402" s="14">
        <f>=SUMIF($C$17:$C$502,C402,$F$17:$F$502)</f>
      </c>
      <c r="H402" s="14">
        <f>=IFERROR($B$14/$B$10,"")</f>
      </c>
      <c r="I402" s="15">
        <f>=IFERROR(G402/H402,"")</f>
      </c>
      <c r="J402" s="16"/>
      <c r="K402" s="11"/>
      <c r="L402" s="17"/>
    </row>
    <row r="403" ht="18" customHeight="1" spans="1:12" x14ac:dyDescent="0.25">
      <c r="A403" s="10"/>
      <c r="B403" s="10"/>
      <c r="C403" s="10"/>
      <c r="D403" s="11"/>
      <c r="E403" s="12"/>
      <c r="F403" s="13"/>
      <c r="G403" s="14">
        <f>=SUMIF($C$17:$C$502,C403,$F$17:$F$502)</f>
      </c>
      <c r="H403" s="14">
        <f>=IFERROR($B$14/$B$10,"")</f>
      </c>
      <c r="I403" s="15">
        <f>=IFERROR(G403/H403,"")</f>
      </c>
      <c r="J403" s="16"/>
      <c r="K403" s="11"/>
      <c r="L403" s="17"/>
    </row>
    <row r="404" ht="18" customHeight="1" spans="1:12" x14ac:dyDescent="0.25">
      <c r="A404" s="10"/>
      <c r="B404" s="10"/>
      <c r="C404" s="10"/>
      <c r="D404" s="11"/>
      <c r="E404" s="12"/>
      <c r="F404" s="13"/>
      <c r="G404" s="14">
        <f>=SUMIF($C$17:$C$502,C404,$F$17:$F$502)</f>
      </c>
      <c r="H404" s="14">
        <f>=IFERROR($B$14/$B$10,"")</f>
      </c>
      <c r="I404" s="15">
        <f>=IFERROR(G404/H404,"")</f>
      </c>
      <c r="J404" s="16"/>
      <c r="K404" s="11"/>
      <c r="L404" s="17"/>
    </row>
    <row r="405" ht="18" customHeight="1" spans="1:12" x14ac:dyDescent="0.25">
      <c r="A405" s="10"/>
      <c r="B405" s="10"/>
      <c r="C405" s="10"/>
      <c r="D405" s="11"/>
      <c r="E405" s="12"/>
      <c r="F405" s="13"/>
      <c r="G405" s="14">
        <f>=SUMIF($C$17:$C$502,C405,$F$17:$F$502)</f>
      </c>
      <c r="H405" s="14">
        <f>=IFERROR($B$14/$B$10,"")</f>
      </c>
      <c r="I405" s="15">
        <f>=IFERROR(G405/H405,"")</f>
      </c>
      <c r="J405" s="16"/>
      <c r="K405" s="11"/>
      <c r="L405" s="17"/>
    </row>
    <row r="406" ht="18" customHeight="1" spans="1:12" x14ac:dyDescent="0.25">
      <c r="A406" s="10"/>
      <c r="B406" s="10"/>
      <c r="C406" s="10"/>
      <c r="D406" s="11"/>
      <c r="E406" s="12"/>
      <c r="F406" s="13"/>
      <c r="G406" s="14">
        <f>=SUMIF($C$17:$C$502,C406,$F$17:$F$502)</f>
      </c>
      <c r="H406" s="14">
        <f>=IFERROR($B$14/$B$10,"")</f>
      </c>
      <c r="I406" s="15">
        <f>=IFERROR(G406/H406,"")</f>
      </c>
      <c r="J406" s="16"/>
      <c r="K406" s="11"/>
      <c r="L406" s="17"/>
    </row>
    <row r="407" ht="18" customHeight="1" spans="1:12" x14ac:dyDescent="0.25">
      <c r="A407" s="10"/>
      <c r="B407" s="10"/>
      <c r="C407" s="10"/>
      <c r="D407" s="11"/>
      <c r="E407" s="12"/>
      <c r="F407" s="13"/>
      <c r="G407" s="14">
        <f>=SUMIF($C$17:$C$502,C407,$F$17:$F$502)</f>
      </c>
      <c r="H407" s="14">
        <f>=IFERROR($B$14/$B$10,"")</f>
      </c>
      <c r="I407" s="15">
        <f>=IFERROR(G407/H407,"")</f>
      </c>
      <c r="J407" s="16"/>
      <c r="K407" s="11"/>
      <c r="L407" s="17"/>
    </row>
    <row r="408" ht="18" customHeight="1" spans="1:12" x14ac:dyDescent="0.25">
      <c r="A408" s="10"/>
      <c r="B408" s="10"/>
      <c r="C408" s="10"/>
      <c r="D408" s="11"/>
      <c r="E408" s="12"/>
      <c r="F408" s="13"/>
      <c r="G408" s="14">
        <f>=SUMIF($C$17:$C$502,C408,$F$17:$F$502)</f>
      </c>
      <c r="H408" s="14">
        <f>=IFERROR($B$14/$B$10,"")</f>
      </c>
      <c r="I408" s="15">
        <f>=IFERROR(G408/H408,"")</f>
      </c>
      <c r="J408" s="16"/>
      <c r="K408" s="11"/>
      <c r="L408" s="17"/>
    </row>
    <row r="409" ht="18" customHeight="1" spans="1:12" x14ac:dyDescent="0.25">
      <c r="A409" s="10"/>
      <c r="B409" s="10"/>
      <c r="C409" s="10"/>
      <c r="D409" s="11"/>
      <c r="E409" s="12"/>
      <c r="F409" s="13"/>
      <c r="G409" s="14">
        <f>=SUMIF($C$17:$C$502,C409,$F$17:$F$502)</f>
      </c>
      <c r="H409" s="14">
        <f>=IFERROR($B$14/$B$10,"")</f>
      </c>
      <c r="I409" s="15">
        <f>=IFERROR(G409/H409,"")</f>
      </c>
      <c r="J409" s="16"/>
      <c r="K409" s="11"/>
      <c r="L409" s="17"/>
    </row>
    <row r="410" ht="18" customHeight="1" spans="1:12" x14ac:dyDescent="0.25">
      <c r="A410" s="10"/>
      <c r="B410" s="10"/>
      <c r="C410" s="10"/>
      <c r="D410" s="11"/>
      <c r="E410" s="12"/>
      <c r="F410" s="13"/>
      <c r="G410" s="14">
        <f>=SUMIF($C$17:$C$502,C410,$F$17:$F$502)</f>
      </c>
      <c r="H410" s="14">
        <f>=IFERROR($B$14/$B$10,"")</f>
      </c>
      <c r="I410" s="15">
        <f>=IFERROR(G410/H410,"")</f>
      </c>
      <c r="J410" s="16"/>
      <c r="K410" s="11"/>
      <c r="L410" s="17"/>
    </row>
    <row r="411" ht="18" customHeight="1" spans="1:12" x14ac:dyDescent="0.25">
      <c r="A411" s="10"/>
      <c r="B411" s="10"/>
      <c r="C411" s="10"/>
      <c r="D411" s="11"/>
      <c r="E411" s="12"/>
      <c r="F411" s="13"/>
      <c r="G411" s="14">
        <f>=SUMIF($C$17:$C$502,C411,$F$17:$F$502)</f>
      </c>
      <c r="H411" s="14">
        <f>=IFERROR($B$14/$B$10,"")</f>
      </c>
      <c r="I411" s="15">
        <f>=IFERROR(G411/H411,"")</f>
      </c>
      <c r="J411" s="16"/>
      <c r="K411" s="11"/>
      <c r="L411" s="17"/>
    </row>
    <row r="412" ht="18" customHeight="1" spans="1:12" x14ac:dyDescent="0.25">
      <c r="A412" s="10"/>
      <c r="B412" s="10"/>
      <c r="C412" s="10"/>
      <c r="D412" s="11"/>
      <c r="E412" s="12"/>
      <c r="F412" s="13"/>
      <c r="G412" s="14">
        <f>=SUMIF($C$17:$C$502,C412,$F$17:$F$502)</f>
      </c>
      <c r="H412" s="14">
        <f>=IFERROR($B$14/$B$10,"")</f>
      </c>
      <c r="I412" s="15">
        <f>=IFERROR(G412/H412,"")</f>
      </c>
      <c r="J412" s="16"/>
      <c r="K412" s="11"/>
      <c r="L412" s="17"/>
    </row>
    <row r="413" ht="18" customHeight="1" spans="1:12" x14ac:dyDescent="0.25">
      <c r="A413" s="10"/>
      <c r="B413" s="10"/>
      <c r="C413" s="10"/>
      <c r="D413" s="11"/>
      <c r="E413" s="12"/>
      <c r="F413" s="13"/>
      <c r="G413" s="14">
        <f>=SUMIF($C$17:$C$502,C413,$F$17:$F$502)</f>
      </c>
      <c r="H413" s="14">
        <f>=IFERROR($B$14/$B$10,"")</f>
      </c>
      <c r="I413" s="15">
        <f>=IFERROR(G413/H413,"")</f>
      </c>
      <c r="J413" s="16"/>
      <c r="K413" s="11"/>
      <c r="L413" s="17"/>
    </row>
    <row r="414" ht="18" customHeight="1" spans="1:12" x14ac:dyDescent="0.25">
      <c r="A414" s="10"/>
      <c r="B414" s="10"/>
      <c r="C414" s="10"/>
      <c r="D414" s="11"/>
      <c r="E414" s="12"/>
      <c r="F414" s="13"/>
      <c r="G414" s="14">
        <f>=SUMIF($C$17:$C$502,C414,$F$17:$F$502)</f>
      </c>
      <c r="H414" s="14">
        <f>=IFERROR($B$14/$B$10,"")</f>
      </c>
      <c r="I414" s="15">
        <f>=IFERROR(G414/H414,"")</f>
      </c>
      <c r="J414" s="16"/>
      <c r="K414" s="11"/>
      <c r="L414" s="17"/>
    </row>
    <row r="415" ht="18" customHeight="1" spans="1:12" x14ac:dyDescent="0.25">
      <c r="A415" s="10"/>
      <c r="B415" s="10"/>
      <c r="C415" s="10"/>
      <c r="D415" s="11"/>
      <c r="E415" s="12"/>
      <c r="F415" s="13"/>
      <c r="G415" s="14">
        <f>=SUMIF($C$17:$C$502,C415,$F$17:$F$502)</f>
      </c>
      <c r="H415" s="14">
        <f>=IFERROR($B$14/$B$10,"")</f>
      </c>
      <c r="I415" s="15">
        <f>=IFERROR(G415/H415,"")</f>
      </c>
      <c r="J415" s="16"/>
      <c r="K415" s="11"/>
      <c r="L415" s="17"/>
    </row>
    <row r="416" ht="18" customHeight="1" spans="1:12" x14ac:dyDescent="0.25">
      <c r="A416" s="10"/>
      <c r="B416" s="10"/>
      <c r="C416" s="10"/>
      <c r="D416" s="11"/>
      <c r="E416" s="12"/>
      <c r="F416" s="13"/>
      <c r="G416" s="14">
        <f>=SUMIF($C$17:$C$502,C416,$F$17:$F$502)</f>
      </c>
      <c r="H416" s="14">
        <f>=IFERROR($B$14/$B$10,"")</f>
      </c>
      <c r="I416" s="15">
        <f>=IFERROR(G416/H416,"")</f>
      </c>
      <c r="J416" s="16"/>
      <c r="K416" s="11"/>
      <c r="L416" s="17"/>
    </row>
    <row r="417" ht="18" customHeight="1" spans="1:12" x14ac:dyDescent="0.25">
      <c r="A417" s="10"/>
      <c r="B417" s="10"/>
      <c r="C417" s="10"/>
      <c r="D417" s="11"/>
      <c r="E417" s="12"/>
      <c r="F417" s="13"/>
      <c r="G417" s="14">
        <f>=SUMIF($C$17:$C$502,C417,$F$17:$F$502)</f>
      </c>
      <c r="H417" s="14">
        <f>=IFERROR($B$14/$B$10,"")</f>
      </c>
      <c r="I417" s="15">
        <f>=IFERROR(G417/H417,"")</f>
      </c>
      <c r="J417" s="16"/>
      <c r="K417" s="11"/>
      <c r="L417" s="17"/>
    </row>
    <row r="418" ht="18" customHeight="1" spans="1:12" x14ac:dyDescent="0.25">
      <c r="A418" s="10"/>
      <c r="B418" s="10"/>
      <c r="C418" s="10"/>
      <c r="D418" s="11"/>
      <c r="E418" s="12"/>
      <c r="F418" s="13"/>
      <c r="G418" s="14">
        <f>=SUMIF($C$17:$C$502,C418,$F$17:$F$502)</f>
      </c>
      <c r="H418" s="14">
        <f>=IFERROR($B$14/$B$10,"")</f>
      </c>
      <c r="I418" s="15">
        <f>=IFERROR(G418/H418,"")</f>
      </c>
      <c r="J418" s="16"/>
      <c r="K418" s="11"/>
      <c r="L418" s="17"/>
    </row>
    <row r="419" ht="18" customHeight="1" spans="1:12" x14ac:dyDescent="0.25">
      <c r="A419" s="10"/>
      <c r="B419" s="10"/>
      <c r="C419" s="10"/>
      <c r="D419" s="11"/>
      <c r="E419" s="12"/>
      <c r="F419" s="13"/>
      <c r="G419" s="14">
        <f>=SUMIF($C$17:$C$502,C419,$F$17:$F$502)</f>
      </c>
      <c r="H419" s="14">
        <f>=IFERROR($B$14/$B$10,"")</f>
      </c>
      <c r="I419" s="15">
        <f>=IFERROR(G419/H419,"")</f>
      </c>
      <c r="J419" s="16"/>
      <c r="K419" s="11"/>
      <c r="L419" s="17"/>
    </row>
    <row r="420" ht="18" customHeight="1" spans="1:12" x14ac:dyDescent="0.25">
      <c r="A420" s="10"/>
      <c r="B420" s="10"/>
      <c r="C420" s="10"/>
      <c r="D420" s="11"/>
      <c r="E420" s="12"/>
      <c r="F420" s="13"/>
      <c r="G420" s="14">
        <f>=SUMIF($C$17:$C$502,C420,$F$17:$F$502)</f>
      </c>
      <c r="H420" s="14">
        <f>=IFERROR($B$14/$B$10,"")</f>
      </c>
      <c r="I420" s="15">
        <f>=IFERROR(G420/H420,"")</f>
      </c>
      <c r="J420" s="16"/>
      <c r="K420" s="11"/>
      <c r="L420" s="17"/>
    </row>
    <row r="421" ht="18" customHeight="1" spans="1:12" x14ac:dyDescent="0.25">
      <c r="A421" s="10"/>
      <c r="B421" s="10"/>
      <c r="C421" s="10"/>
      <c r="D421" s="11"/>
      <c r="E421" s="12"/>
      <c r="F421" s="13"/>
      <c r="G421" s="14">
        <f>=SUMIF($C$17:$C$502,C421,$F$17:$F$502)</f>
      </c>
      <c r="H421" s="14">
        <f>=IFERROR($B$14/$B$10,"")</f>
      </c>
      <c r="I421" s="15">
        <f>=IFERROR(G421/H421,"")</f>
      </c>
      <c r="J421" s="16"/>
      <c r="K421" s="11"/>
      <c r="L421" s="17"/>
    </row>
    <row r="422" ht="18" customHeight="1" spans="1:12" x14ac:dyDescent="0.25">
      <c r="A422" s="10"/>
      <c r="B422" s="10"/>
      <c r="C422" s="10"/>
      <c r="D422" s="11"/>
      <c r="E422" s="12"/>
      <c r="F422" s="13"/>
      <c r="G422" s="14">
        <f>=SUMIF($C$17:$C$502,C422,$F$17:$F$502)</f>
      </c>
      <c r="H422" s="14">
        <f>=IFERROR($B$14/$B$10,"")</f>
      </c>
      <c r="I422" s="15">
        <f>=IFERROR(G422/H422,"")</f>
      </c>
      <c r="J422" s="16"/>
      <c r="K422" s="11"/>
      <c r="L422" s="17"/>
    </row>
    <row r="423" ht="18" customHeight="1" spans="1:12" x14ac:dyDescent="0.25">
      <c r="A423" s="10"/>
      <c r="B423" s="10"/>
      <c r="C423" s="10"/>
      <c r="D423" s="11"/>
      <c r="E423" s="12"/>
      <c r="F423" s="13"/>
      <c r="G423" s="14">
        <f>=SUMIF($C$17:$C$502,C423,$F$17:$F$502)</f>
      </c>
      <c r="H423" s="14">
        <f>=IFERROR($B$14/$B$10,"")</f>
      </c>
      <c r="I423" s="15">
        <f>=IFERROR(G423/H423,"")</f>
      </c>
      <c r="J423" s="16"/>
      <c r="K423" s="11"/>
      <c r="L423" s="17"/>
    </row>
    <row r="424" ht="18" customHeight="1" spans="1:12" x14ac:dyDescent="0.25">
      <c r="A424" s="10"/>
      <c r="B424" s="10"/>
      <c r="C424" s="10"/>
      <c r="D424" s="11"/>
      <c r="E424" s="12"/>
      <c r="F424" s="13"/>
      <c r="G424" s="14">
        <f>=SUMIF($C$17:$C$502,C424,$F$17:$F$502)</f>
      </c>
      <c r="H424" s="14">
        <f>=IFERROR($B$14/$B$10,"")</f>
      </c>
      <c r="I424" s="15">
        <f>=IFERROR(G424/H424,"")</f>
      </c>
      <c r="J424" s="16"/>
      <c r="K424" s="11"/>
      <c r="L424" s="17"/>
    </row>
    <row r="425" ht="18" customHeight="1" spans="1:12" x14ac:dyDescent="0.25">
      <c r="A425" s="10"/>
      <c r="B425" s="10"/>
      <c r="C425" s="10"/>
      <c r="D425" s="11"/>
      <c r="E425" s="12"/>
      <c r="F425" s="13"/>
      <c r="G425" s="14">
        <f>=SUMIF($C$17:$C$502,C425,$F$17:$F$502)</f>
      </c>
      <c r="H425" s="14">
        <f>=IFERROR($B$14/$B$10,"")</f>
      </c>
      <c r="I425" s="15">
        <f>=IFERROR(G425/H425,"")</f>
      </c>
      <c r="J425" s="16"/>
      <c r="K425" s="11"/>
      <c r="L425" s="17"/>
    </row>
    <row r="426" ht="18" customHeight="1" spans="1:12" x14ac:dyDescent="0.25">
      <c r="A426" s="10"/>
      <c r="B426" s="10"/>
      <c r="C426" s="10"/>
      <c r="D426" s="11"/>
      <c r="E426" s="12"/>
      <c r="F426" s="13"/>
      <c r="G426" s="14">
        <f>=SUMIF($C$17:$C$502,C426,$F$17:$F$502)</f>
      </c>
      <c r="H426" s="14">
        <f>=IFERROR($B$14/$B$10,"")</f>
      </c>
      <c r="I426" s="15">
        <f>=IFERROR(G426/H426,"")</f>
      </c>
      <c r="J426" s="16"/>
      <c r="K426" s="11"/>
      <c r="L426" s="17"/>
    </row>
    <row r="427" ht="18" customHeight="1" spans="1:12" x14ac:dyDescent="0.25">
      <c r="A427" s="10"/>
      <c r="B427" s="10"/>
      <c r="C427" s="10"/>
      <c r="D427" s="11"/>
      <c r="E427" s="12"/>
      <c r="F427" s="13"/>
      <c r="G427" s="14">
        <f>=SUMIF($C$17:$C$502,C427,$F$17:$F$502)</f>
      </c>
      <c r="H427" s="14">
        <f>=IFERROR($B$14/$B$10,"")</f>
      </c>
      <c r="I427" s="15">
        <f>=IFERROR(G427/H427,"")</f>
      </c>
      <c r="J427" s="16"/>
      <c r="K427" s="11"/>
      <c r="L427" s="17"/>
    </row>
    <row r="428" ht="18" customHeight="1" spans="1:12" x14ac:dyDescent="0.25">
      <c r="A428" s="10"/>
      <c r="B428" s="10"/>
      <c r="C428" s="10"/>
      <c r="D428" s="11"/>
      <c r="E428" s="12"/>
      <c r="F428" s="13"/>
      <c r="G428" s="14">
        <f>=SUMIF($C$17:$C$502,C428,$F$17:$F$502)</f>
      </c>
      <c r="H428" s="14">
        <f>=IFERROR($B$14/$B$10,"")</f>
      </c>
      <c r="I428" s="15">
        <f>=IFERROR(G428/H428,"")</f>
      </c>
      <c r="J428" s="16"/>
      <c r="K428" s="11"/>
      <c r="L428" s="17"/>
    </row>
    <row r="429" ht="18" customHeight="1" spans="1:12" x14ac:dyDescent="0.25">
      <c r="A429" s="10"/>
      <c r="B429" s="10"/>
      <c r="C429" s="10"/>
      <c r="D429" s="11"/>
      <c r="E429" s="12"/>
      <c r="F429" s="13"/>
      <c r="G429" s="14">
        <f>=SUMIF($C$17:$C$502,C429,$F$17:$F$502)</f>
      </c>
      <c r="H429" s="14">
        <f>=IFERROR($B$14/$B$10,"")</f>
      </c>
      <c r="I429" s="15">
        <f>=IFERROR(G429/H429,"")</f>
      </c>
      <c r="J429" s="16"/>
      <c r="K429" s="11"/>
      <c r="L429" s="17"/>
    </row>
    <row r="430" ht="18" customHeight="1" spans="1:12" x14ac:dyDescent="0.25">
      <c r="A430" s="10"/>
      <c r="B430" s="10"/>
      <c r="C430" s="10"/>
      <c r="D430" s="11"/>
      <c r="E430" s="12"/>
      <c r="F430" s="13"/>
      <c r="G430" s="14">
        <f>=SUMIF($C$17:$C$502,C430,$F$17:$F$502)</f>
      </c>
      <c r="H430" s="14">
        <f>=IFERROR($B$14/$B$10,"")</f>
      </c>
      <c r="I430" s="15">
        <f>=IFERROR(G430/H430,"")</f>
      </c>
      <c r="J430" s="16"/>
      <c r="K430" s="11"/>
      <c r="L430" s="17"/>
    </row>
    <row r="431" ht="18" customHeight="1" spans="1:12" x14ac:dyDescent="0.25">
      <c r="A431" s="10"/>
      <c r="B431" s="10"/>
      <c r="C431" s="10"/>
      <c r="D431" s="11"/>
      <c r="E431" s="12"/>
      <c r="F431" s="13"/>
      <c r="G431" s="14">
        <f>=SUMIF($C$17:$C$502,C431,$F$17:$F$502)</f>
      </c>
      <c r="H431" s="14">
        <f>=IFERROR($B$14/$B$10,"")</f>
      </c>
      <c r="I431" s="15">
        <f>=IFERROR(G431/H431,"")</f>
      </c>
      <c r="J431" s="16"/>
      <c r="K431" s="11"/>
      <c r="L431" s="17"/>
    </row>
    <row r="432" ht="18" customHeight="1" spans="1:12" x14ac:dyDescent="0.25">
      <c r="A432" s="10"/>
      <c r="B432" s="10"/>
      <c r="C432" s="10"/>
      <c r="D432" s="11"/>
      <c r="E432" s="12"/>
      <c r="F432" s="13"/>
      <c r="G432" s="14">
        <f>=SUMIF($C$17:$C$502,C432,$F$17:$F$502)</f>
      </c>
      <c r="H432" s="14">
        <f>=IFERROR($B$14/$B$10,"")</f>
      </c>
      <c r="I432" s="15">
        <f>=IFERROR(G432/H432,"")</f>
      </c>
      <c r="J432" s="16"/>
      <c r="K432" s="11"/>
      <c r="L432" s="17"/>
    </row>
    <row r="433" ht="18" customHeight="1" spans="1:12" x14ac:dyDescent="0.25">
      <c r="A433" s="10"/>
      <c r="B433" s="10"/>
      <c r="C433" s="10"/>
      <c r="D433" s="11"/>
      <c r="E433" s="12"/>
      <c r="F433" s="13"/>
      <c r="G433" s="14">
        <f>=SUMIF($C$17:$C$502,C433,$F$17:$F$502)</f>
      </c>
      <c r="H433" s="14">
        <f>=IFERROR($B$14/$B$10,"")</f>
      </c>
      <c r="I433" s="15">
        <f>=IFERROR(G433/H433,"")</f>
      </c>
      <c r="J433" s="16"/>
      <c r="K433" s="11"/>
      <c r="L433" s="17"/>
    </row>
    <row r="434" ht="18" customHeight="1" spans="1:12" x14ac:dyDescent="0.25">
      <c r="A434" s="10"/>
      <c r="B434" s="10"/>
      <c r="C434" s="10"/>
      <c r="D434" s="11"/>
      <c r="E434" s="12"/>
      <c r="F434" s="13"/>
      <c r="G434" s="14">
        <f>=SUMIF($C$17:$C$502,C434,$F$17:$F$502)</f>
      </c>
      <c r="H434" s="14">
        <f>=IFERROR($B$14/$B$10,"")</f>
      </c>
      <c r="I434" s="15">
        <f>=IFERROR(G434/H434,"")</f>
      </c>
      <c r="J434" s="16"/>
      <c r="K434" s="11"/>
      <c r="L434" s="17"/>
    </row>
    <row r="435" ht="18" customHeight="1" spans="1:12" x14ac:dyDescent="0.25">
      <c r="A435" s="10"/>
      <c r="B435" s="10"/>
      <c r="C435" s="10"/>
      <c r="D435" s="11"/>
      <c r="E435" s="12"/>
      <c r="F435" s="13"/>
      <c r="G435" s="14">
        <f>=SUMIF($C$17:$C$502,C435,$F$17:$F$502)</f>
      </c>
      <c r="H435" s="14">
        <f>=IFERROR($B$14/$B$10,"")</f>
      </c>
      <c r="I435" s="15">
        <f>=IFERROR(G435/H435,"")</f>
      </c>
      <c r="J435" s="16"/>
      <c r="K435" s="11"/>
      <c r="L435" s="17"/>
    </row>
    <row r="436" ht="18" customHeight="1" spans="1:12" x14ac:dyDescent="0.25">
      <c r="A436" s="10"/>
      <c r="B436" s="10"/>
      <c r="C436" s="10"/>
      <c r="D436" s="11"/>
      <c r="E436" s="12"/>
      <c r="F436" s="13"/>
      <c r="G436" s="14">
        <f>=SUMIF($C$17:$C$502,C436,$F$17:$F$502)</f>
      </c>
      <c r="H436" s="14">
        <f>=IFERROR($B$14/$B$10,"")</f>
      </c>
      <c r="I436" s="15">
        <f>=IFERROR(G436/H436,"")</f>
      </c>
      <c r="J436" s="16"/>
      <c r="K436" s="11"/>
      <c r="L436" s="17"/>
    </row>
    <row r="437" ht="18" customHeight="1" spans="1:12" x14ac:dyDescent="0.25">
      <c r="A437" s="10"/>
      <c r="B437" s="10"/>
      <c r="C437" s="10"/>
      <c r="D437" s="11"/>
      <c r="E437" s="12"/>
      <c r="F437" s="13"/>
      <c r="G437" s="14">
        <f>=SUMIF($C$17:$C$502,C437,$F$17:$F$502)</f>
      </c>
      <c r="H437" s="14">
        <f>=IFERROR($B$14/$B$10,"")</f>
      </c>
      <c r="I437" s="15">
        <f>=IFERROR(G437/H437,"")</f>
      </c>
      <c r="J437" s="16"/>
      <c r="K437" s="11"/>
      <c r="L437" s="17"/>
    </row>
    <row r="438" ht="18" customHeight="1" spans="1:12" x14ac:dyDescent="0.25">
      <c r="A438" s="10"/>
      <c r="B438" s="10"/>
      <c r="C438" s="10"/>
      <c r="D438" s="11"/>
      <c r="E438" s="12"/>
      <c r="F438" s="13"/>
      <c r="G438" s="14">
        <f>=SUMIF($C$17:$C$502,C438,$F$17:$F$502)</f>
      </c>
      <c r="H438" s="14">
        <f>=IFERROR($B$14/$B$10,"")</f>
      </c>
      <c r="I438" s="15">
        <f>=IFERROR(G438/H438,"")</f>
      </c>
      <c r="J438" s="16"/>
      <c r="K438" s="11"/>
      <c r="L438" s="17"/>
    </row>
    <row r="439" ht="18" customHeight="1" spans="1:12" x14ac:dyDescent="0.25">
      <c r="A439" s="10"/>
      <c r="B439" s="10"/>
      <c r="C439" s="10"/>
      <c r="D439" s="11"/>
      <c r="E439" s="12"/>
      <c r="F439" s="13"/>
      <c r="G439" s="14">
        <f>=SUMIF($C$17:$C$502,C439,$F$17:$F$502)</f>
      </c>
      <c r="H439" s="14">
        <f>=IFERROR($B$14/$B$10,"")</f>
      </c>
      <c r="I439" s="15">
        <f>=IFERROR(G439/H439,"")</f>
      </c>
      <c r="J439" s="16"/>
      <c r="K439" s="11"/>
      <c r="L439" s="17"/>
    </row>
    <row r="440" ht="18" customHeight="1" spans="1:12" x14ac:dyDescent="0.25">
      <c r="A440" s="10"/>
      <c r="B440" s="10"/>
      <c r="C440" s="10"/>
      <c r="D440" s="11"/>
      <c r="E440" s="12"/>
      <c r="F440" s="13"/>
      <c r="G440" s="14">
        <f>=SUMIF($C$17:$C$502,C440,$F$17:$F$502)</f>
      </c>
      <c r="H440" s="14">
        <f>=IFERROR($B$14/$B$10,"")</f>
      </c>
      <c r="I440" s="15">
        <f>=IFERROR(G440/H440,"")</f>
      </c>
      <c r="J440" s="16"/>
      <c r="K440" s="11"/>
      <c r="L440" s="17"/>
    </row>
    <row r="441" ht="18" customHeight="1" spans="1:12" x14ac:dyDescent="0.25">
      <c r="A441" s="10"/>
      <c r="B441" s="10"/>
      <c r="C441" s="10"/>
      <c r="D441" s="11"/>
      <c r="E441" s="12"/>
      <c r="F441" s="13"/>
      <c r="G441" s="14">
        <f>=SUMIF($C$17:$C$502,C441,$F$17:$F$502)</f>
      </c>
      <c r="H441" s="14">
        <f>=IFERROR($B$14/$B$10,"")</f>
      </c>
      <c r="I441" s="15">
        <f>=IFERROR(G441/H441,"")</f>
      </c>
      <c r="J441" s="16"/>
      <c r="K441" s="11"/>
      <c r="L441" s="17"/>
    </row>
    <row r="442" ht="18" customHeight="1" spans="1:12" x14ac:dyDescent="0.25">
      <c r="A442" s="10"/>
      <c r="B442" s="10"/>
      <c r="C442" s="10"/>
      <c r="D442" s="11"/>
      <c r="E442" s="12"/>
      <c r="F442" s="13"/>
      <c r="G442" s="14">
        <f>=SUMIF($C$17:$C$502,C442,$F$17:$F$502)</f>
      </c>
      <c r="H442" s="14">
        <f>=IFERROR($B$14/$B$10,"")</f>
      </c>
      <c r="I442" s="15">
        <f>=IFERROR(G442/H442,"")</f>
      </c>
      <c r="J442" s="16"/>
      <c r="K442" s="11"/>
      <c r="L442" s="17"/>
    </row>
    <row r="443" ht="18" customHeight="1" spans="1:12" x14ac:dyDescent="0.25">
      <c r="A443" s="10"/>
      <c r="B443" s="10"/>
      <c r="C443" s="10"/>
      <c r="D443" s="11"/>
      <c r="E443" s="12"/>
      <c r="F443" s="13"/>
      <c r="G443" s="14">
        <f>=SUMIF($C$17:$C$502,C443,$F$17:$F$502)</f>
      </c>
      <c r="H443" s="14">
        <f>=IFERROR($B$14/$B$10,"")</f>
      </c>
      <c r="I443" s="15">
        <f>=IFERROR(G443/H443,"")</f>
      </c>
      <c r="J443" s="16"/>
      <c r="K443" s="11"/>
      <c r="L443" s="17"/>
    </row>
    <row r="444" ht="18" customHeight="1" spans="1:12" x14ac:dyDescent="0.25">
      <c r="A444" s="10"/>
      <c r="B444" s="10"/>
      <c r="C444" s="10"/>
      <c r="D444" s="11"/>
      <c r="E444" s="12"/>
      <c r="F444" s="13"/>
      <c r="G444" s="14">
        <f>=SUMIF($C$17:$C$502,C444,$F$17:$F$502)</f>
      </c>
      <c r="H444" s="14">
        <f>=IFERROR($B$14/$B$10,"")</f>
      </c>
      <c r="I444" s="15">
        <f>=IFERROR(G444/H444,"")</f>
      </c>
      <c r="J444" s="16"/>
      <c r="K444" s="11"/>
      <c r="L444" s="17"/>
    </row>
    <row r="445" ht="18" customHeight="1" spans="1:12" x14ac:dyDescent="0.25">
      <c r="A445" s="10"/>
      <c r="B445" s="10"/>
      <c r="C445" s="10"/>
      <c r="D445" s="11"/>
      <c r="E445" s="12"/>
      <c r="F445" s="13"/>
      <c r="G445" s="14">
        <f>=SUMIF($C$17:$C$502,C445,$F$17:$F$502)</f>
      </c>
      <c r="H445" s="14">
        <f>=IFERROR($B$14/$B$10,"")</f>
      </c>
      <c r="I445" s="15">
        <f>=IFERROR(G445/H445,"")</f>
      </c>
      <c r="J445" s="16"/>
      <c r="K445" s="11"/>
      <c r="L445" s="17"/>
    </row>
    <row r="446" ht="18" customHeight="1" spans="1:12" x14ac:dyDescent="0.25">
      <c r="A446" s="10"/>
      <c r="B446" s="10"/>
      <c r="C446" s="10"/>
      <c r="D446" s="11"/>
      <c r="E446" s="12"/>
      <c r="F446" s="13"/>
      <c r="G446" s="14">
        <f>=SUMIF($C$17:$C$502,C446,$F$17:$F$502)</f>
      </c>
      <c r="H446" s="14">
        <f>=IFERROR($B$14/$B$10,"")</f>
      </c>
      <c r="I446" s="15">
        <f>=IFERROR(G446/H446,"")</f>
      </c>
      <c r="J446" s="16"/>
      <c r="K446" s="11"/>
      <c r="L446" s="17"/>
    </row>
    <row r="447" ht="18" customHeight="1" spans="1:12" x14ac:dyDescent="0.25">
      <c r="A447" s="10"/>
      <c r="B447" s="10"/>
      <c r="C447" s="10"/>
      <c r="D447" s="11"/>
      <c r="E447" s="12"/>
      <c r="F447" s="13"/>
      <c r="G447" s="14">
        <f>=SUMIF($C$17:$C$502,C447,$F$17:$F$502)</f>
      </c>
      <c r="H447" s="14">
        <f>=IFERROR($B$14/$B$10,"")</f>
      </c>
      <c r="I447" s="15">
        <f>=IFERROR(G447/H447,"")</f>
      </c>
      <c r="J447" s="16"/>
      <c r="K447" s="11"/>
      <c r="L447" s="17"/>
    </row>
    <row r="448" ht="18" customHeight="1" spans="1:12" x14ac:dyDescent="0.25">
      <c r="A448" s="10"/>
      <c r="B448" s="10"/>
      <c r="C448" s="10"/>
      <c r="D448" s="11"/>
      <c r="E448" s="12"/>
      <c r="F448" s="13"/>
      <c r="G448" s="14">
        <f>=SUMIF($C$17:$C$502,C448,$F$17:$F$502)</f>
      </c>
      <c r="H448" s="14">
        <f>=IFERROR($B$14/$B$10,"")</f>
      </c>
      <c r="I448" s="15">
        <f>=IFERROR(G448/H448,"")</f>
      </c>
      <c r="J448" s="16"/>
      <c r="K448" s="11"/>
      <c r="L448" s="17"/>
    </row>
    <row r="449" ht="18" customHeight="1" spans="1:12" x14ac:dyDescent="0.25">
      <c r="A449" s="10"/>
      <c r="B449" s="10"/>
      <c r="C449" s="10"/>
      <c r="D449" s="11"/>
      <c r="E449" s="12"/>
      <c r="F449" s="13"/>
      <c r="G449" s="14">
        <f>=SUMIF($C$17:$C$502,C449,$F$17:$F$502)</f>
      </c>
      <c r="H449" s="14">
        <f>=IFERROR($B$14/$B$10,"")</f>
      </c>
      <c r="I449" s="15">
        <f>=IFERROR(G449/H449,"")</f>
      </c>
      <c r="J449" s="16"/>
      <c r="K449" s="11"/>
      <c r="L449" s="17"/>
    </row>
    <row r="450" ht="18" customHeight="1" spans="1:12" x14ac:dyDescent="0.25">
      <c r="A450" s="10"/>
      <c r="B450" s="10"/>
      <c r="C450" s="10"/>
      <c r="D450" s="11"/>
      <c r="E450" s="12"/>
      <c r="F450" s="13"/>
      <c r="G450" s="14">
        <f>=SUMIF($C$17:$C$502,C450,$F$17:$F$502)</f>
      </c>
      <c r="H450" s="14">
        <f>=IFERROR($B$14/$B$10,"")</f>
      </c>
      <c r="I450" s="15">
        <f>=IFERROR(G450/H450,"")</f>
      </c>
      <c r="J450" s="16"/>
      <c r="K450" s="11"/>
      <c r="L450" s="17"/>
    </row>
    <row r="451" ht="18" customHeight="1" spans="1:12" x14ac:dyDescent="0.25">
      <c r="A451" s="10"/>
      <c r="B451" s="10"/>
      <c r="C451" s="10"/>
      <c r="D451" s="11"/>
      <c r="E451" s="12"/>
      <c r="F451" s="13"/>
      <c r="G451" s="14">
        <f>=SUMIF($C$17:$C$502,C451,$F$17:$F$502)</f>
      </c>
      <c r="H451" s="14">
        <f>=IFERROR($B$14/$B$10,"")</f>
      </c>
      <c r="I451" s="15">
        <f>=IFERROR(G451/H451,"")</f>
      </c>
      <c r="J451" s="16"/>
      <c r="K451" s="11"/>
      <c r="L451" s="17"/>
    </row>
    <row r="452" ht="18" customHeight="1" spans="1:12" x14ac:dyDescent="0.25">
      <c r="A452" s="10"/>
      <c r="B452" s="10"/>
      <c r="C452" s="10"/>
      <c r="D452" s="11"/>
      <c r="E452" s="12"/>
      <c r="F452" s="13"/>
      <c r="G452" s="14">
        <f>=SUMIF($C$17:$C$502,C452,$F$17:$F$502)</f>
      </c>
      <c r="H452" s="14">
        <f>=IFERROR($B$14/$B$10,"")</f>
      </c>
      <c r="I452" s="15">
        <f>=IFERROR(G452/H452,"")</f>
      </c>
      <c r="J452" s="16"/>
      <c r="K452" s="11"/>
      <c r="L452" s="17"/>
    </row>
    <row r="453" ht="18" customHeight="1" spans="1:12" x14ac:dyDescent="0.25">
      <c r="A453" s="10"/>
      <c r="B453" s="10"/>
      <c r="C453" s="10"/>
      <c r="D453" s="11"/>
      <c r="E453" s="12"/>
      <c r="F453" s="13"/>
      <c r="G453" s="14">
        <f>=SUMIF($C$17:$C$502,C453,$F$17:$F$502)</f>
      </c>
      <c r="H453" s="14">
        <f>=IFERROR($B$14/$B$10,"")</f>
      </c>
      <c r="I453" s="15">
        <f>=IFERROR(G453/H453,"")</f>
      </c>
      <c r="J453" s="16"/>
      <c r="K453" s="11"/>
      <c r="L453" s="17"/>
    </row>
    <row r="454" ht="18" customHeight="1" spans="1:12" x14ac:dyDescent="0.25">
      <c r="A454" s="10"/>
      <c r="B454" s="10"/>
      <c r="C454" s="10"/>
      <c r="D454" s="11"/>
      <c r="E454" s="12"/>
      <c r="F454" s="13"/>
      <c r="G454" s="14">
        <f>=SUMIF($C$17:$C$502,C454,$F$17:$F$502)</f>
      </c>
      <c r="H454" s="14">
        <f>=IFERROR($B$14/$B$10,"")</f>
      </c>
      <c r="I454" s="15">
        <f>=IFERROR(G454/H454,"")</f>
      </c>
      <c r="J454" s="16"/>
      <c r="K454" s="11"/>
      <c r="L454" s="17"/>
    </row>
    <row r="455" ht="18" customHeight="1" spans="1:12" x14ac:dyDescent="0.25">
      <c r="A455" s="10"/>
      <c r="B455" s="10"/>
      <c r="C455" s="10"/>
      <c r="D455" s="11"/>
      <c r="E455" s="12"/>
      <c r="F455" s="13"/>
      <c r="G455" s="14">
        <f>=SUMIF($C$17:$C$502,C455,$F$17:$F$502)</f>
      </c>
      <c r="H455" s="14">
        <f>=IFERROR($B$14/$B$10,"")</f>
      </c>
      <c r="I455" s="15">
        <f>=IFERROR(G455/H455,"")</f>
      </c>
      <c r="J455" s="16"/>
      <c r="K455" s="11"/>
      <c r="L455" s="17"/>
    </row>
    <row r="456" ht="18" customHeight="1" spans="1:12" x14ac:dyDescent="0.25">
      <c r="A456" s="10"/>
      <c r="B456" s="10"/>
      <c r="C456" s="10"/>
      <c r="D456" s="11"/>
      <c r="E456" s="12"/>
      <c r="F456" s="13"/>
      <c r="G456" s="14">
        <f>=SUMIF($C$17:$C$502,C456,$F$17:$F$502)</f>
      </c>
      <c r="H456" s="14">
        <f>=IFERROR($B$14/$B$10,"")</f>
      </c>
      <c r="I456" s="15">
        <f>=IFERROR(G456/H456,"")</f>
      </c>
      <c r="J456" s="16"/>
      <c r="K456" s="11"/>
      <c r="L456" s="17"/>
    </row>
    <row r="457" ht="18" customHeight="1" spans="1:12" x14ac:dyDescent="0.25">
      <c r="A457" s="10"/>
      <c r="B457" s="10"/>
      <c r="C457" s="10"/>
      <c r="D457" s="11"/>
      <c r="E457" s="12"/>
      <c r="F457" s="13"/>
      <c r="G457" s="14">
        <f>=SUMIF($C$17:$C$502,C457,$F$17:$F$502)</f>
      </c>
      <c r="H457" s="14">
        <f>=IFERROR($B$14/$B$10,"")</f>
      </c>
      <c r="I457" s="15">
        <f>=IFERROR(G457/H457,"")</f>
      </c>
      <c r="J457" s="16"/>
      <c r="K457" s="11"/>
      <c r="L457" s="17"/>
    </row>
    <row r="458" ht="18" customHeight="1" spans="1:12" x14ac:dyDescent="0.25">
      <c r="A458" s="10"/>
      <c r="B458" s="10"/>
      <c r="C458" s="10"/>
      <c r="D458" s="11"/>
      <c r="E458" s="12"/>
      <c r="F458" s="13"/>
      <c r="G458" s="14">
        <f>=SUMIF($C$17:$C$502,C458,$F$17:$F$502)</f>
      </c>
      <c r="H458" s="14">
        <f>=IFERROR($B$14/$B$10,"")</f>
      </c>
      <c r="I458" s="15">
        <f>=IFERROR(G458/H458,"")</f>
      </c>
      <c r="J458" s="16"/>
      <c r="K458" s="11"/>
      <c r="L458" s="17"/>
    </row>
    <row r="459" ht="18" customHeight="1" spans="1:12" x14ac:dyDescent="0.25">
      <c r="A459" s="10"/>
      <c r="B459" s="10"/>
      <c r="C459" s="10"/>
      <c r="D459" s="11"/>
      <c r="E459" s="12"/>
      <c r="F459" s="13"/>
      <c r="G459" s="14">
        <f>=SUMIF($C$17:$C$502,C459,$F$17:$F$502)</f>
      </c>
      <c r="H459" s="14">
        <f>=IFERROR($B$14/$B$10,"")</f>
      </c>
      <c r="I459" s="15">
        <f>=IFERROR(G459/H459,"")</f>
      </c>
      <c r="J459" s="16"/>
      <c r="K459" s="11"/>
      <c r="L459" s="17"/>
    </row>
    <row r="460" ht="18" customHeight="1" spans="1:12" x14ac:dyDescent="0.25">
      <c r="A460" s="10"/>
      <c r="B460" s="10"/>
      <c r="C460" s="10"/>
      <c r="D460" s="11"/>
      <c r="E460" s="12"/>
      <c r="F460" s="13"/>
      <c r="G460" s="14">
        <f>=SUMIF($C$17:$C$502,C460,$F$17:$F$502)</f>
      </c>
      <c r="H460" s="14">
        <f>=IFERROR($B$14/$B$10,"")</f>
      </c>
      <c r="I460" s="15">
        <f>=IFERROR(G460/H460,"")</f>
      </c>
      <c r="J460" s="16"/>
      <c r="K460" s="11"/>
      <c r="L460" s="17"/>
    </row>
    <row r="461" ht="18" customHeight="1" spans="1:12" x14ac:dyDescent="0.25">
      <c r="A461" s="10"/>
      <c r="B461" s="10"/>
      <c r="C461" s="10"/>
      <c r="D461" s="11"/>
      <c r="E461" s="12"/>
      <c r="F461" s="13"/>
      <c r="G461" s="14">
        <f>=SUMIF($C$17:$C$502,C461,$F$17:$F$502)</f>
      </c>
      <c r="H461" s="14">
        <f>=IFERROR($B$14/$B$10,"")</f>
      </c>
      <c r="I461" s="15">
        <f>=IFERROR(G461/H461,"")</f>
      </c>
      <c r="J461" s="16"/>
      <c r="K461" s="11"/>
      <c r="L461" s="17"/>
    </row>
    <row r="462" ht="18" customHeight="1" spans="1:12" x14ac:dyDescent="0.25">
      <c r="A462" s="10"/>
      <c r="B462" s="10"/>
      <c r="C462" s="10"/>
      <c r="D462" s="11"/>
      <c r="E462" s="12"/>
      <c r="F462" s="13"/>
      <c r="G462" s="14">
        <f>=SUMIF($C$17:$C$502,C462,$F$17:$F$502)</f>
      </c>
      <c r="H462" s="14">
        <f>=IFERROR($B$14/$B$10,"")</f>
      </c>
      <c r="I462" s="15">
        <f>=IFERROR(G462/H462,"")</f>
      </c>
      <c r="J462" s="16"/>
      <c r="K462" s="11"/>
      <c r="L462" s="17"/>
    </row>
    <row r="463" ht="18" customHeight="1" spans="1:12" x14ac:dyDescent="0.25">
      <c r="A463" s="10"/>
      <c r="B463" s="10"/>
      <c r="C463" s="10"/>
      <c r="D463" s="11"/>
      <c r="E463" s="12"/>
      <c r="F463" s="13"/>
      <c r="G463" s="14">
        <f>=SUMIF($C$17:$C$502,C463,$F$17:$F$502)</f>
      </c>
      <c r="H463" s="14">
        <f>=IFERROR($B$14/$B$10,"")</f>
      </c>
      <c r="I463" s="15">
        <f>=IFERROR(G463/H463,"")</f>
      </c>
      <c r="J463" s="16"/>
      <c r="K463" s="11"/>
      <c r="L463" s="17"/>
    </row>
    <row r="464" ht="18" customHeight="1" spans="1:12" x14ac:dyDescent="0.25">
      <c r="A464" s="10"/>
      <c r="B464" s="10"/>
      <c r="C464" s="10"/>
      <c r="D464" s="11"/>
      <c r="E464" s="12"/>
      <c r="F464" s="13"/>
      <c r="G464" s="14">
        <f>=SUMIF($C$17:$C$502,C464,$F$17:$F$502)</f>
      </c>
      <c r="H464" s="14">
        <f>=IFERROR($B$14/$B$10,"")</f>
      </c>
      <c r="I464" s="15">
        <f>=IFERROR(G464/H464,"")</f>
      </c>
      <c r="J464" s="16"/>
      <c r="K464" s="11"/>
      <c r="L464" s="17"/>
    </row>
    <row r="465" ht="18" customHeight="1" spans="1:12" x14ac:dyDescent="0.25">
      <c r="A465" s="10"/>
      <c r="B465" s="10"/>
      <c r="C465" s="10"/>
      <c r="D465" s="11"/>
      <c r="E465" s="12"/>
      <c r="F465" s="13"/>
      <c r="G465" s="14">
        <f>=SUMIF($C$17:$C$502,C465,$F$17:$F$502)</f>
      </c>
      <c r="H465" s="14">
        <f>=IFERROR($B$14/$B$10,"")</f>
      </c>
      <c r="I465" s="15">
        <f>=IFERROR(G465/H465,"")</f>
      </c>
      <c r="J465" s="16"/>
      <c r="K465" s="11"/>
      <c r="L465" s="17"/>
    </row>
    <row r="466" ht="18" customHeight="1" spans="1:12" x14ac:dyDescent="0.25">
      <c r="A466" s="10"/>
      <c r="B466" s="10"/>
      <c r="C466" s="10"/>
      <c r="D466" s="11"/>
      <c r="E466" s="12"/>
      <c r="F466" s="13"/>
      <c r="G466" s="14">
        <f>=SUMIF($C$17:$C$502,C466,$F$17:$F$502)</f>
      </c>
      <c r="H466" s="14">
        <f>=IFERROR($B$14/$B$10,"")</f>
      </c>
      <c r="I466" s="15">
        <f>=IFERROR(G466/H466,"")</f>
      </c>
      <c r="J466" s="16"/>
      <c r="K466" s="11"/>
      <c r="L466" s="17"/>
    </row>
    <row r="467" ht="18" customHeight="1" spans="1:12" x14ac:dyDescent="0.25">
      <c r="A467" s="10"/>
      <c r="B467" s="10"/>
      <c r="C467" s="10"/>
      <c r="D467" s="11"/>
      <c r="E467" s="12"/>
      <c r="F467" s="13"/>
      <c r="G467" s="14">
        <f>=SUMIF($C$17:$C$502,C467,$F$17:$F$502)</f>
      </c>
      <c r="H467" s="14">
        <f>=IFERROR($B$14/$B$10,"")</f>
      </c>
      <c r="I467" s="15">
        <f>=IFERROR(G467/H467,"")</f>
      </c>
      <c r="J467" s="16"/>
      <c r="K467" s="11"/>
      <c r="L467" s="17"/>
    </row>
    <row r="468" ht="18" customHeight="1" spans="1:12" x14ac:dyDescent="0.25">
      <c r="A468" s="10"/>
      <c r="B468" s="10"/>
      <c r="C468" s="10"/>
      <c r="D468" s="11"/>
      <c r="E468" s="12"/>
      <c r="F468" s="13"/>
      <c r="G468" s="14">
        <f>=SUMIF($C$17:$C$502,C468,$F$17:$F$502)</f>
      </c>
      <c r="H468" s="14">
        <f>=IFERROR($B$14/$B$10,"")</f>
      </c>
      <c r="I468" s="15">
        <f>=IFERROR(G468/H468,"")</f>
      </c>
      <c r="J468" s="16"/>
      <c r="K468" s="11"/>
      <c r="L468" s="17"/>
    </row>
    <row r="469" ht="18" customHeight="1" spans="1:12" x14ac:dyDescent="0.25">
      <c r="A469" s="10"/>
      <c r="B469" s="10"/>
      <c r="C469" s="10"/>
      <c r="D469" s="11"/>
      <c r="E469" s="12"/>
      <c r="F469" s="13"/>
      <c r="G469" s="14">
        <f>=SUMIF($C$17:$C$502,C469,$F$17:$F$502)</f>
      </c>
      <c r="H469" s="14">
        <f>=IFERROR($B$14/$B$10,"")</f>
      </c>
      <c r="I469" s="15">
        <f>=IFERROR(G469/H469,"")</f>
      </c>
      <c r="J469" s="16"/>
      <c r="K469" s="11"/>
      <c r="L469" s="17"/>
    </row>
    <row r="470" ht="18" customHeight="1" spans="1:12" x14ac:dyDescent="0.25">
      <c r="A470" s="10"/>
      <c r="B470" s="10"/>
      <c r="C470" s="10"/>
      <c r="D470" s="11"/>
      <c r="E470" s="12"/>
      <c r="F470" s="13"/>
      <c r="G470" s="14">
        <f>=SUMIF($C$17:$C$502,C470,$F$17:$F$502)</f>
      </c>
      <c r="H470" s="14">
        <f>=IFERROR($B$14/$B$10,"")</f>
      </c>
      <c r="I470" s="15">
        <f>=IFERROR(G470/H470,"")</f>
      </c>
      <c r="J470" s="16"/>
      <c r="K470" s="11"/>
      <c r="L470" s="17"/>
    </row>
    <row r="471" ht="18" customHeight="1" spans="1:12" x14ac:dyDescent="0.25">
      <c r="A471" s="10"/>
      <c r="B471" s="10"/>
      <c r="C471" s="10"/>
      <c r="D471" s="11"/>
      <c r="E471" s="12"/>
      <c r="F471" s="13"/>
      <c r="G471" s="14">
        <f>=SUMIF($C$17:$C$502,C471,$F$17:$F$502)</f>
      </c>
      <c r="H471" s="14">
        <f>=IFERROR($B$14/$B$10,"")</f>
      </c>
      <c r="I471" s="15">
        <f>=IFERROR(G471/H471,"")</f>
      </c>
      <c r="J471" s="16"/>
      <c r="K471" s="11"/>
      <c r="L471" s="17"/>
    </row>
    <row r="472" ht="18" customHeight="1" spans="1:12" x14ac:dyDescent="0.25">
      <c r="A472" s="10"/>
      <c r="B472" s="10"/>
      <c r="C472" s="10"/>
      <c r="D472" s="11"/>
      <c r="E472" s="12"/>
      <c r="F472" s="13"/>
      <c r="G472" s="14">
        <f>=SUMIF($C$17:$C$502,C472,$F$17:$F$502)</f>
      </c>
      <c r="H472" s="14">
        <f>=IFERROR($B$14/$B$10,"")</f>
      </c>
      <c r="I472" s="15">
        <f>=IFERROR(G472/H472,"")</f>
      </c>
      <c r="J472" s="16"/>
      <c r="K472" s="11"/>
      <c r="L472" s="17"/>
    </row>
    <row r="473" ht="18" customHeight="1" spans="1:12" x14ac:dyDescent="0.25">
      <c r="A473" s="10"/>
      <c r="B473" s="10"/>
      <c r="C473" s="10"/>
      <c r="D473" s="11"/>
      <c r="E473" s="12"/>
      <c r="F473" s="13"/>
      <c r="G473" s="14">
        <f>=SUMIF($C$17:$C$502,C473,$F$17:$F$502)</f>
      </c>
      <c r="H473" s="14">
        <f>=IFERROR($B$14/$B$10,"")</f>
      </c>
      <c r="I473" s="15">
        <f>=IFERROR(G473/H473,"")</f>
      </c>
      <c r="J473" s="16"/>
      <c r="K473" s="11"/>
      <c r="L473" s="17"/>
    </row>
    <row r="474" ht="18" customHeight="1" spans="1:12" x14ac:dyDescent="0.25">
      <c r="A474" s="10"/>
      <c r="B474" s="10"/>
      <c r="C474" s="10"/>
      <c r="D474" s="11"/>
      <c r="E474" s="12"/>
      <c r="F474" s="13"/>
      <c r="G474" s="14">
        <f>=SUMIF($C$17:$C$502,C474,$F$17:$F$502)</f>
      </c>
      <c r="H474" s="14">
        <f>=IFERROR($B$14/$B$10,"")</f>
      </c>
      <c r="I474" s="15">
        <f>=IFERROR(G474/H474,"")</f>
      </c>
      <c r="J474" s="16"/>
      <c r="K474" s="11"/>
      <c r="L474" s="17"/>
    </row>
    <row r="475" ht="18" customHeight="1" spans="1:12" x14ac:dyDescent="0.25">
      <c r="A475" s="10"/>
      <c r="B475" s="10"/>
      <c r="C475" s="10"/>
      <c r="D475" s="11"/>
      <c r="E475" s="12"/>
      <c r="F475" s="13"/>
      <c r="G475" s="14">
        <f>=SUMIF($C$17:$C$502,C475,$F$17:$F$502)</f>
      </c>
      <c r="H475" s="14">
        <f>=IFERROR($B$14/$B$10,"")</f>
      </c>
      <c r="I475" s="15">
        <f>=IFERROR(G475/H475,"")</f>
      </c>
      <c r="J475" s="16"/>
      <c r="K475" s="11"/>
      <c r="L475" s="17"/>
    </row>
    <row r="476" ht="18" customHeight="1" spans="1:12" x14ac:dyDescent="0.25">
      <c r="A476" s="10"/>
      <c r="B476" s="10"/>
      <c r="C476" s="10"/>
      <c r="D476" s="11"/>
      <c r="E476" s="12"/>
      <c r="F476" s="13"/>
      <c r="G476" s="14">
        <f>=SUMIF($C$17:$C$502,C476,$F$17:$F$502)</f>
      </c>
      <c r="H476" s="14">
        <f>=IFERROR($B$14/$B$10,"")</f>
      </c>
      <c r="I476" s="15">
        <f>=IFERROR(G476/H476,"")</f>
      </c>
      <c r="J476" s="16"/>
      <c r="K476" s="11"/>
      <c r="L476" s="17"/>
    </row>
    <row r="477" ht="18" customHeight="1" spans="1:12" x14ac:dyDescent="0.25">
      <c r="A477" s="10"/>
      <c r="B477" s="10"/>
      <c r="C477" s="10"/>
      <c r="D477" s="11"/>
      <c r="E477" s="12"/>
      <c r="F477" s="13"/>
      <c r="G477" s="14">
        <f>=SUMIF($C$17:$C$502,C477,$F$17:$F$502)</f>
      </c>
      <c r="H477" s="14">
        <f>=IFERROR($B$14/$B$10,"")</f>
      </c>
      <c r="I477" s="15">
        <f>=IFERROR(G477/H477,"")</f>
      </c>
      <c r="J477" s="16"/>
      <c r="K477" s="11"/>
      <c r="L477" s="17"/>
    </row>
    <row r="478" ht="18" customHeight="1" spans="1:12" x14ac:dyDescent="0.25">
      <c r="A478" s="10"/>
      <c r="B478" s="10"/>
      <c r="C478" s="10"/>
      <c r="D478" s="11"/>
      <c r="E478" s="12"/>
      <c r="F478" s="13"/>
      <c r="G478" s="14">
        <f>=SUMIF($C$17:$C$502,C478,$F$17:$F$502)</f>
      </c>
      <c r="H478" s="14">
        <f>=IFERROR($B$14/$B$10,"")</f>
      </c>
      <c r="I478" s="15">
        <f>=IFERROR(G478/H478,"")</f>
      </c>
      <c r="J478" s="16"/>
      <c r="K478" s="11"/>
      <c r="L478" s="17"/>
    </row>
    <row r="479" ht="18" customHeight="1" spans="1:12" x14ac:dyDescent="0.25">
      <c r="A479" s="10"/>
      <c r="B479" s="10"/>
      <c r="C479" s="10"/>
      <c r="D479" s="11"/>
      <c r="E479" s="12"/>
      <c r="F479" s="13"/>
      <c r="G479" s="14">
        <f>=SUMIF($C$17:$C$502,C479,$F$17:$F$502)</f>
      </c>
      <c r="H479" s="14">
        <f>=IFERROR($B$14/$B$10,"")</f>
      </c>
      <c r="I479" s="15">
        <f>=IFERROR(G479/H479,"")</f>
      </c>
      <c r="J479" s="16"/>
      <c r="K479" s="11"/>
      <c r="L479" s="17"/>
    </row>
    <row r="480" ht="18" customHeight="1" spans="1:12" x14ac:dyDescent="0.25">
      <c r="A480" s="10"/>
      <c r="B480" s="10"/>
      <c r="C480" s="10"/>
      <c r="D480" s="11"/>
      <c r="E480" s="12"/>
      <c r="F480" s="13"/>
      <c r="G480" s="14">
        <f>=SUMIF($C$17:$C$502,C480,$F$17:$F$502)</f>
      </c>
      <c r="H480" s="14">
        <f>=IFERROR($B$14/$B$10,"")</f>
      </c>
      <c r="I480" s="15">
        <f>=IFERROR(G480/H480,"")</f>
      </c>
      <c r="J480" s="16"/>
      <c r="K480" s="11"/>
      <c r="L480" s="17"/>
    </row>
    <row r="481" ht="18" customHeight="1" spans="1:12" x14ac:dyDescent="0.25">
      <c r="A481" s="10"/>
      <c r="B481" s="10"/>
      <c r="C481" s="10"/>
      <c r="D481" s="11"/>
      <c r="E481" s="12"/>
      <c r="F481" s="13"/>
      <c r="G481" s="14">
        <f>=SUMIF($C$17:$C$502,C481,$F$17:$F$502)</f>
      </c>
      <c r="H481" s="14">
        <f>=IFERROR($B$14/$B$10,"")</f>
      </c>
      <c r="I481" s="15">
        <f>=IFERROR(G481/H481,"")</f>
      </c>
      <c r="J481" s="16"/>
      <c r="K481" s="11"/>
      <c r="L481" s="17"/>
    </row>
    <row r="482" ht="18" customHeight="1" spans="1:12" x14ac:dyDescent="0.25">
      <c r="A482" s="10"/>
      <c r="B482" s="10"/>
      <c r="C482" s="10"/>
      <c r="D482" s="11"/>
      <c r="E482" s="12"/>
      <c r="F482" s="13"/>
      <c r="G482" s="14">
        <f>=SUMIF($C$17:$C$502,C482,$F$17:$F$502)</f>
      </c>
      <c r="H482" s="14">
        <f>=IFERROR($B$14/$B$10,"")</f>
      </c>
      <c r="I482" s="15">
        <f>=IFERROR(G482/H482,"")</f>
      </c>
      <c r="J482" s="16"/>
      <c r="K482" s="11"/>
      <c r="L482" s="17"/>
    </row>
    <row r="483" ht="18" customHeight="1" spans="1:12" x14ac:dyDescent="0.25">
      <c r="A483" s="10"/>
      <c r="B483" s="10"/>
      <c r="C483" s="10"/>
      <c r="D483" s="11"/>
      <c r="E483" s="12"/>
      <c r="F483" s="13"/>
      <c r="G483" s="14">
        <f>=SUMIF($C$17:$C$502,C483,$F$17:$F$502)</f>
      </c>
      <c r="H483" s="14">
        <f>=IFERROR($B$14/$B$10,"")</f>
      </c>
      <c r="I483" s="15">
        <f>=IFERROR(G483/H483,"")</f>
      </c>
      <c r="J483" s="16"/>
      <c r="K483" s="11"/>
      <c r="L483" s="17"/>
    </row>
    <row r="484" ht="18" customHeight="1" spans="1:12" x14ac:dyDescent="0.25">
      <c r="A484" s="10"/>
      <c r="B484" s="10"/>
      <c r="C484" s="10"/>
      <c r="D484" s="11"/>
      <c r="E484" s="12"/>
      <c r="F484" s="13"/>
      <c r="G484" s="14">
        <f>=SUMIF($C$17:$C$502,C484,$F$17:$F$502)</f>
      </c>
      <c r="H484" s="14">
        <f>=IFERROR($B$14/$B$10,"")</f>
      </c>
      <c r="I484" s="15">
        <f>=IFERROR(G484/H484,"")</f>
      </c>
      <c r="J484" s="16"/>
      <c r="K484" s="11"/>
      <c r="L484" s="17"/>
    </row>
    <row r="485" ht="18" customHeight="1" spans="1:12" x14ac:dyDescent="0.25">
      <c r="A485" s="10"/>
      <c r="B485" s="10"/>
      <c r="C485" s="10"/>
      <c r="D485" s="11"/>
      <c r="E485" s="12"/>
      <c r="F485" s="13"/>
      <c r="G485" s="14">
        <f>=SUMIF($C$17:$C$502,C485,$F$17:$F$502)</f>
      </c>
      <c r="H485" s="14">
        <f>=IFERROR($B$14/$B$10,"")</f>
      </c>
      <c r="I485" s="15">
        <f>=IFERROR(G485/H485,"")</f>
      </c>
      <c r="J485" s="16"/>
      <c r="K485" s="11"/>
      <c r="L485" s="17"/>
    </row>
    <row r="486" ht="18" customHeight="1" spans="1:12" x14ac:dyDescent="0.25">
      <c r="A486" s="10"/>
      <c r="B486" s="10"/>
      <c r="C486" s="10"/>
      <c r="D486" s="11"/>
      <c r="E486" s="12"/>
      <c r="F486" s="13"/>
      <c r="G486" s="14">
        <f>=SUMIF($C$17:$C$502,C486,$F$17:$F$502)</f>
      </c>
      <c r="H486" s="14">
        <f>=IFERROR($B$14/$B$10,"")</f>
      </c>
      <c r="I486" s="15">
        <f>=IFERROR(G486/H486,"")</f>
      </c>
      <c r="J486" s="16"/>
      <c r="K486" s="11"/>
      <c r="L486" s="17"/>
    </row>
    <row r="487" ht="18" customHeight="1" spans="1:12" x14ac:dyDescent="0.25">
      <c r="A487" s="10"/>
      <c r="B487" s="10"/>
      <c r="C487" s="10"/>
      <c r="D487" s="11"/>
      <c r="E487" s="12"/>
      <c r="F487" s="13"/>
      <c r="G487" s="14">
        <f>=SUMIF($C$17:$C$502,C487,$F$17:$F$502)</f>
      </c>
      <c r="H487" s="14">
        <f>=IFERROR($B$14/$B$10,"")</f>
      </c>
      <c r="I487" s="15">
        <f>=IFERROR(G487/H487,"")</f>
      </c>
      <c r="J487" s="16"/>
      <c r="K487" s="11"/>
      <c r="L487" s="17"/>
    </row>
    <row r="488" ht="18" customHeight="1" spans="1:12" x14ac:dyDescent="0.25">
      <c r="A488" s="10"/>
      <c r="B488" s="10"/>
      <c r="C488" s="10"/>
      <c r="D488" s="11"/>
      <c r="E488" s="12"/>
      <c r="F488" s="13"/>
      <c r="G488" s="14">
        <f>=SUMIF($C$17:$C$502,C488,$F$17:$F$502)</f>
      </c>
      <c r="H488" s="14">
        <f>=IFERROR($B$14/$B$10,"")</f>
      </c>
      <c r="I488" s="15">
        <f>=IFERROR(G488/H488,"")</f>
      </c>
      <c r="J488" s="16"/>
      <c r="K488" s="11"/>
      <c r="L488" s="17"/>
    </row>
    <row r="489" ht="18" customHeight="1" spans="1:12" x14ac:dyDescent="0.25">
      <c r="A489" s="10"/>
      <c r="B489" s="10"/>
      <c r="C489" s="10"/>
      <c r="D489" s="11"/>
      <c r="E489" s="12"/>
      <c r="F489" s="13"/>
      <c r="G489" s="14">
        <f>=SUMIF($C$17:$C$502,C489,$F$17:$F$502)</f>
      </c>
      <c r="H489" s="14">
        <f>=IFERROR($B$14/$B$10,"")</f>
      </c>
      <c r="I489" s="15">
        <f>=IFERROR(G489/H489,"")</f>
      </c>
      <c r="J489" s="16"/>
      <c r="K489" s="11"/>
      <c r="L489" s="17"/>
    </row>
    <row r="490" ht="18" customHeight="1" spans="1:12" x14ac:dyDescent="0.25">
      <c r="A490" s="10"/>
      <c r="B490" s="10"/>
      <c r="C490" s="10"/>
      <c r="D490" s="11"/>
      <c r="E490" s="12"/>
      <c r="F490" s="13"/>
      <c r="G490" s="14">
        <f>=SUMIF($C$17:$C$502,C490,$F$17:$F$502)</f>
      </c>
      <c r="H490" s="14">
        <f>=IFERROR($B$14/$B$10,"")</f>
      </c>
      <c r="I490" s="15">
        <f>=IFERROR(G490/H490,"")</f>
      </c>
      <c r="J490" s="16"/>
      <c r="K490" s="11"/>
      <c r="L490" s="17"/>
    </row>
    <row r="491" ht="18" customHeight="1" spans="1:12" x14ac:dyDescent="0.25">
      <c r="A491" s="10"/>
      <c r="B491" s="10"/>
      <c r="C491" s="10"/>
      <c r="D491" s="11"/>
      <c r="E491" s="12"/>
      <c r="F491" s="13"/>
      <c r="G491" s="14">
        <f>=SUMIF($C$17:$C$502,C491,$F$17:$F$502)</f>
      </c>
      <c r="H491" s="14">
        <f>=IFERROR($B$14/$B$10,"")</f>
      </c>
      <c r="I491" s="15">
        <f>=IFERROR(G491/H491,"")</f>
      </c>
      <c r="J491" s="16"/>
      <c r="K491" s="11"/>
      <c r="L491" s="17"/>
    </row>
    <row r="492" ht="18" customHeight="1" spans="1:12" x14ac:dyDescent="0.25">
      <c r="A492" s="10"/>
      <c r="B492" s="10"/>
      <c r="C492" s="10"/>
      <c r="D492" s="11"/>
      <c r="E492" s="12"/>
      <c r="F492" s="13"/>
      <c r="G492" s="14">
        <f>=SUMIF($C$17:$C$502,C492,$F$17:$F$502)</f>
      </c>
      <c r="H492" s="14">
        <f>=IFERROR($B$14/$B$10,"")</f>
      </c>
      <c r="I492" s="15">
        <f>=IFERROR(G492/H492,"")</f>
      </c>
      <c r="J492" s="16"/>
      <c r="K492" s="11"/>
      <c r="L492" s="17"/>
    </row>
    <row r="493" ht="18" customHeight="1" spans="1:12" x14ac:dyDescent="0.25">
      <c r="A493" s="10"/>
      <c r="B493" s="10"/>
      <c r="C493" s="10"/>
      <c r="D493" s="11"/>
      <c r="E493" s="12"/>
      <c r="F493" s="13"/>
      <c r="G493" s="14">
        <f>=SUMIF($C$17:$C$502,C493,$F$17:$F$502)</f>
      </c>
      <c r="H493" s="14">
        <f>=IFERROR($B$14/$B$10,"")</f>
      </c>
      <c r="I493" s="15">
        <f>=IFERROR(G493/H493,"")</f>
      </c>
      <c r="J493" s="16"/>
      <c r="K493" s="11"/>
      <c r="L493" s="17"/>
    </row>
    <row r="494" ht="18" customHeight="1" spans="1:12" x14ac:dyDescent="0.25">
      <c r="A494" s="10"/>
      <c r="B494" s="10"/>
      <c r="C494" s="10"/>
      <c r="D494" s="11"/>
      <c r="E494" s="12"/>
      <c r="F494" s="13"/>
      <c r="G494" s="14">
        <f>=SUMIF($C$17:$C$502,C494,$F$17:$F$502)</f>
      </c>
      <c r="H494" s="14">
        <f>=IFERROR($B$14/$B$10,"")</f>
      </c>
      <c r="I494" s="15">
        <f>=IFERROR(G494/H494,"")</f>
      </c>
      <c r="J494" s="16"/>
      <c r="K494" s="11"/>
      <c r="L494" s="17"/>
    </row>
    <row r="495" ht="18" customHeight="1" spans="1:12" x14ac:dyDescent="0.25">
      <c r="A495" s="10"/>
      <c r="B495" s="10"/>
      <c r="C495" s="10"/>
      <c r="D495" s="11"/>
      <c r="E495" s="12"/>
      <c r="F495" s="13"/>
      <c r="G495" s="14">
        <f>=SUMIF($C$17:$C$502,C495,$F$17:$F$502)</f>
      </c>
      <c r="H495" s="14">
        <f>=IFERROR($B$14/$B$10,"")</f>
      </c>
      <c r="I495" s="15">
        <f>=IFERROR(G495/H495,"")</f>
      </c>
      <c r="J495" s="16"/>
      <c r="K495" s="11"/>
      <c r="L495" s="17"/>
    </row>
    <row r="496" ht="18" customHeight="1" spans="1:12" x14ac:dyDescent="0.25">
      <c r="A496" s="10"/>
      <c r="B496" s="10"/>
      <c r="C496" s="10"/>
      <c r="D496" s="11"/>
      <c r="E496" s="12"/>
      <c r="F496" s="13"/>
      <c r="G496" s="14">
        <f>=SUMIF($C$17:$C$502,C496,$F$17:$F$502)</f>
      </c>
      <c r="H496" s="14">
        <f>=IFERROR($B$14/$B$10,"")</f>
      </c>
      <c r="I496" s="15">
        <f>=IFERROR(G496/H496,"")</f>
      </c>
      <c r="J496" s="16"/>
      <c r="K496" s="11"/>
      <c r="L496" s="17"/>
    </row>
    <row r="497" ht="18" customHeight="1" spans="1:12" x14ac:dyDescent="0.25">
      <c r="A497" s="10"/>
      <c r="B497" s="10"/>
      <c r="C497" s="10"/>
      <c r="D497" s="11"/>
      <c r="E497" s="12"/>
      <c r="F497" s="13"/>
      <c r="G497" s="14">
        <f>=SUMIF($C$17:$C$502,C497,$F$17:$F$502)</f>
      </c>
      <c r="H497" s="14">
        <f>=IFERROR($B$14/$B$10,"")</f>
      </c>
      <c r="I497" s="15">
        <f>=IFERROR(G497/H497,"")</f>
      </c>
      <c r="J497" s="16"/>
      <c r="K497" s="11"/>
      <c r="L497" s="17"/>
    </row>
    <row r="498" ht="18" customHeight="1" spans="1:12" x14ac:dyDescent="0.25">
      <c r="A498" s="10"/>
      <c r="B498" s="10"/>
      <c r="C498" s="10"/>
      <c r="D498" s="11"/>
      <c r="E498" s="12"/>
      <c r="F498" s="13"/>
      <c r="G498" s="14">
        <f>=SUMIF($C$17:$C$502,C498,$F$17:$F$502)</f>
      </c>
      <c r="H498" s="14">
        <f>=IFERROR($B$14/$B$10,"")</f>
      </c>
      <c r="I498" s="15">
        <f>=IFERROR(G498/H498,"")</f>
      </c>
      <c r="J498" s="16"/>
      <c r="K498" s="11"/>
      <c r="L498" s="17"/>
    </row>
    <row r="499" ht="18" customHeight="1" spans="1:12" x14ac:dyDescent="0.25">
      <c r="A499" s="10"/>
      <c r="B499" s="10"/>
      <c r="C499" s="10"/>
      <c r="D499" s="11"/>
      <c r="E499" s="12"/>
      <c r="F499" s="13"/>
      <c r="G499" s="14">
        <f>=SUMIF($C$17:$C$502,C499,$F$17:$F$502)</f>
      </c>
      <c r="H499" s="14">
        <f>=IFERROR($B$14/$B$10,"")</f>
      </c>
      <c r="I499" s="15">
        <f>=IFERROR(G499/H499,"")</f>
      </c>
      <c r="J499" s="16"/>
      <c r="K499" s="11"/>
      <c r="L499" s="17"/>
    </row>
    <row r="500" ht="18" customHeight="1" spans="1:12" x14ac:dyDescent="0.25">
      <c r="A500" s="10"/>
      <c r="B500" s="10"/>
      <c r="C500" s="10"/>
      <c r="D500" s="11"/>
      <c r="E500" s="12"/>
      <c r="F500" s="13"/>
      <c r="G500" s="14">
        <f>=SUMIF($C$17:$C$502,C500,$F$17:$F$502)</f>
      </c>
      <c r="H500" s="14">
        <f>=IFERROR($B$14/$B$10,"")</f>
      </c>
      <c r="I500" s="15">
        <f>=IFERROR(G500/H500,"")</f>
      </c>
      <c r="J500" s="16"/>
      <c r="K500" s="11"/>
      <c r="L500" s="17"/>
    </row>
    <row r="501" ht="18" customHeight="1" spans="1:12" x14ac:dyDescent="0.25">
      <c r="A501" s="10"/>
      <c r="B501" s="10"/>
      <c r="C501" s="10"/>
      <c r="D501" s="11"/>
      <c r="E501" s="12"/>
      <c r="F501" s="13"/>
      <c r="G501" s="14">
        <f>=SUMIF($C$17:$C$502,C501,$F$17:$F$502)</f>
      </c>
      <c r="H501" s="14">
        <f>=IFERROR($B$14/$B$10,"")</f>
      </c>
      <c r="I501" s="15">
        <f>=IFERROR(G501/H501,"")</f>
      </c>
      <c r="J501" s="16"/>
      <c r="K501" s="11"/>
      <c r="L501" s="17"/>
    </row>
    <row r="502" ht="18" customHeight="1" spans="1:12" x14ac:dyDescent="0.25">
      <c r="A502" s="10"/>
      <c r="B502" s="10"/>
      <c r="C502" s="10"/>
      <c r="D502" s="11"/>
      <c r="E502" s="12"/>
      <c r="F502" s="13"/>
      <c r="G502" s="14">
        <f>=SUMIF($C$17:$C$502,C502,$F$17:$F$502)</f>
      </c>
      <c r="H502" s="14">
        <f>=IFERROR($B$14/$B$10,"")</f>
      </c>
      <c r="I502" s="15">
        <f>=IFERROR(G502/H502,"")</f>
      </c>
      <c r="J502" s="16"/>
      <c r="K502" s="11"/>
      <c r="L502" s="17"/>
    </row>
  </sheetData>
  <mergeCells count="13">
    <mergeCell ref="A1:L1"/>
    <mergeCell ref="C3:L3"/>
    <mergeCell ref="C4:L4"/>
    <mergeCell ref="C5:L5"/>
    <mergeCell ref="C6:L6"/>
    <mergeCell ref="C7:L7"/>
    <mergeCell ref="C8:L8"/>
    <mergeCell ref="C9:L9"/>
    <mergeCell ref="C10:L10"/>
    <mergeCell ref="C11:L11"/>
    <mergeCell ref="C12:L12"/>
    <mergeCell ref="C13:L13"/>
    <mergeCell ref="C14:L14"/>
  </mergeCells>
  <dataValidations count="10">
    <dataValidation type="list" allowBlank="1" sqref="A100:A502">
      <formula1>Config!$B$1:$B$50</formula1>
    </dataValidation>
    <dataValidation type="list" allowBlank="1" sqref="A17:A502">
      <formula1>Config!$B$1:$B$50</formula1>
    </dataValidation>
    <dataValidation type="list" allowBlank="1" sqref="B100:B502">
      <formula1>Config!$I$1:$I$2</formula1>
    </dataValidation>
    <dataValidation type="list" allowBlank="1" sqref="B17:B502">
      <formula1>Config!$I$1:$I$2</formula1>
    </dataValidation>
    <dataValidation type="list" allowBlank="1" sqref="C100:C502">
      <formula1>Config!$A$1:$A$100</formula1>
    </dataValidation>
    <dataValidation type="list" allowBlank="1" sqref="C17:C502">
      <formula1>Config!$A$1:$A$100</formula1>
    </dataValidation>
    <dataValidation type="list" allowBlank="1" sqref="E100:E502">
      <formula1>Config!$E$1:$E$138</formula1>
    </dataValidation>
    <dataValidation type="list" allowBlank="1" sqref="E17:E502">
      <formula1>Config!$E$1:$E$138</formula1>
    </dataValidation>
    <dataValidation type="list" allowBlank="1" sqref="L100:L502">
      <formula1>Config!$H$1:$H$853</formula1>
    </dataValidation>
    <dataValidation type="list" allowBlank="1" sqref="L17:L502">
      <formula1>Config!$H$1:$H$853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I853"/>
  <sheetViews>
    <sheetView workbookViewId="0" zoomScale="100" zoomScaleNormal="100">
      <selection activeCell="A1" sqref="A1"/>
    </sheetView>
  </sheetViews>
  <sheetFormatPr defaultRowHeight="15" outlineLevelRow="0" outlineLevelCol="0" x14ac:dyDescent="0"/>
  <sheetData>
    <row r="1" spans="1:9" x14ac:dyDescent="0.25">
      <c r="A1" t="s">
        <v>46</v>
      </c>
      <c r="B1" t="s">
        <v>44</v>
      </c>
      <c r="C1" t="s">
        <v>460</v>
      </c>
      <c r="D1" t="s">
        <v>461</v>
      </c>
      <c r="E1" t="s">
        <v>464</v>
      </c>
      <c r="F1" t="s">
        <v>465</v>
      </c>
      <c r="G1" t="s">
        <v>466</v>
      </c>
      <c r="H1" t="s">
        <v>467</v>
      </c>
      <c r="I1" t="s">
        <v>51</v>
      </c>
    </row>
    <row r="2" spans="1:9" x14ac:dyDescent="0.25">
      <c r="A2" t="s">
        <v>56</v>
      </c>
      <c r="B2" t="s">
        <v>137</v>
      </c>
      <c r="C2" t="s">
        <v>47</v>
      </c>
      <c r="D2" t="s">
        <v>48</v>
      </c>
      <c r="E2" t="s">
        <v>468</v>
      </c>
      <c r="F2" t="s">
        <v>469</v>
      </c>
      <c r="G2" t="s">
        <v>470</v>
      </c>
      <c r="H2" t="s">
        <v>471</v>
      </c>
      <c r="I2" t="s">
        <v>45</v>
      </c>
    </row>
    <row r="3" spans="1:8" x14ac:dyDescent="0.25">
      <c r="A3" t="s">
        <v>59</v>
      </c>
      <c r="B3" t="s">
        <v>184</v>
      </c>
      <c r="C3" t="s">
        <v>52</v>
      </c>
      <c r="D3" t="s">
        <v>53</v>
      </c>
      <c r="E3" t="s">
        <v>472</v>
      </c>
      <c r="F3" t="s">
        <v>473</v>
      </c>
      <c r="G3" t="s">
        <v>474</v>
      </c>
      <c r="H3" t="s">
        <v>475</v>
      </c>
    </row>
    <row r="4" spans="1:8" x14ac:dyDescent="0.25">
      <c r="A4" t="s">
        <v>72</v>
      </c>
      <c r="B4" t="s">
        <v>240</v>
      </c>
      <c r="C4" t="s">
        <v>54</v>
      </c>
      <c r="D4" t="s">
        <v>55</v>
      </c>
      <c r="E4" t="s">
        <v>476</v>
      </c>
      <c r="F4" t="s">
        <v>477</v>
      </c>
      <c r="G4" t="s">
        <v>478</v>
      </c>
      <c r="H4" t="s">
        <v>479</v>
      </c>
    </row>
    <row r="5" spans="1:8" x14ac:dyDescent="0.25">
      <c r="A5" t="s">
        <v>83</v>
      </c>
      <c r="B5" t="s">
        <v>269</v>
      </c>
      <c r="C5" t="s">
        <v>60</v>
      </c>
      <c r="D5" t="s">
        <v>61</v>
      </c>
      <c r="E5" t="s">
        <v>480</v>
      </c>
      <c r="F5" t="s">
        <v>481</v>
      </c>
      <c r="G5" t="s">
        <v>482</v>
      </c>
      <c r="H5" t="s">
        <v>483</v>
      </c>
    </row>
    <row r="6" spans="1:8" x14ac:dyDescent="0.25">
      <c r="A6" t="s">
        <v>90</v>
      </c>
      <c r="B6" t="s">
        <v>402</v>
      </c>
      <c r="C6" t="s">
        <v>62</v>
      </c>
      <c r="D6" t="s">
        <v>63</v>
      </c>
      <c r="E6" t="s">
        <v>484</v>
      </c>
      <c r="F6" t="s">
        <v>485</v>
      </c>
      <c r="G6" t="s">
        <v>486</v>
      </c>
      <c r="H6" t="s">
        <v>487</v>
      </c>
    </row>
    <row r="7" spans="1:8" x14ac:dyDescent="0.25">
      <c r="A7" t="s">
        <v>109</v>
      </c>
      <c r="B7" t="s">
        <v>428</v>
      </c>
      <c r="C7" t="s">
        <v>64</v>
      </c>
      <c r="D7" t="s">
        <v>65</v>
      </c>
      <c r="E7" t="s">
        <v>488</v>
      </c>
      <c r="F7" t="s">
        <v>489</v>
      </c>
      <c r="G7" t="s">
        <v>490</v>
      </c>
      <c r="H7" t="s">
        <v>491</v>
      </c>
    </row>
    <row r="8" spans="1:8" x14ac:dyDescent="0.25">
      <c r="A8" t="s">
        <v>126</v>
      </c>
      <c r="B8" t="s">
        <v>492</v>
      </c>
      <c r="C8" t="s">
        <v>66</v>
      </c>
      <c r="D8" t="s">
        <v>67</v>
      </c>
      <c r="E8" t="s">
        <v>493</v>
      </c>
      <c r="F8" t="s">
        <v>494</v>
      </c>
      <c r="G8" t="s">
        <v>495</v>
      </c>
      <c r="H8" t="s">
        <v>496</v>
      </c>
    </row>
    <row r="9" spans="1:8" x14ac:dyDescent="0.25">
      <c r="A9" t="s">
        <v>138</v>
      </c>
      <c r="B9" t="s">
        <v>497</v>
      </c>
      <c r="C9" t="s">
        <v>68</v>
      </c>
      <c r="D9" t="s">
        <v>69</v>
      </c>
      <c r="E9" t="s">
        <v>498</v>
      </c>
      <c r="F9" t="s">
        <v>499</v>
      </c>
      <c r="G9" t="s">
        <v>500</v>
      </c>
      <c r="H9" t="s">
        <v>501</v>
      </c>
    </row>
    <row r="10" spans="1:8" x14ac:dyDescent="0.25">
      <c r="A10" t="s">
        <v>147</v>
      </c>
      <c r="B10" t="s">
        <v>502</v>
      </c>
      <c r="C10" t="s">
        <v>70</v>
      </c>
      <c r="D10" t="s">
        <v>71</v>
      </c>
      <c r="E10" t="s">
        <v>503</v>
      </c>
      <c r="F10" t="s">
        <v>504</v>
      </c>
      <c r="G10" t="s">
        <v>505</v>
      </c>
      <c r="H10" t="s">
        <v>506</v>
      </c>
    </row>
    <row r="11" spans="1:8" x14ac:dyDescent="0.25">
      <c r="A11" t="s">
        <v>154</v>
      </c>
      <c r="B11" t="s">
        <v>507</v>
      </c>
      <c r="C11" t="s">
        <v>73</v>
      </c>
      <c r="D11" t="s">
        <v>74</v>
      </c>
      <c r="E11" t="s">
        <v>508</v>
      </c>
      <c r="F11" t="s">
        <v>509</v>
      </c>
      <c r="G11" t="s">
        <v>510</v>
      </c>
      <c r="H11" t="s">
        <v>511</v>
      </c>
    </row>
    <row r="12" spans="1:8" x14ac:dyDescent="0.25">
      <c r="A12" t="s">
        <v>161</v>
      </c>
      <c r="B12" t="s">
        <v>512</v>
      </c>
      <c r="C12" t="s">
        <v>77</v>
      </c>
      <c r="D12" t="s">
        <v>78</v>
      </c>
      <c r="E12" t="s">
        <v>513</v>
      </c>
      <c r="F12" t="s">
        <v>514</v>
      </c>
      <c r="G12" t="s">
        <v>515</v>
      </c>
      <c r="H12" t="s">
        <v>516</v>
      </c>
    </row>
    <row r="13" spans="1:8" x14ac:dyDescent="0.25">
      <c r="A13" t="s">
        <v>170</v>
      </c>
      <c r="B13" t="s">
        <v>517</v>
      </c>
      <c r="C13" t="s">
        <v>79</v>
      </c>
      <c r="D13" t="s">
        <v>80</v>
      </c>
      <c r="E13" t="s">
        <v>518</v>
      </c>
      <c r="F13" t="s">
        <v>519</v>
      </c>
      <c r="G13" t="s">
        <v>520</v>
      </c>
      <c r="H13" t="s">
        <v>521</v>
      </c>
    </row>
    <row r="14" spans="1:8" x14ac:dyDescent="0.25">
      <c r="A14" t="s">
        <v>175</v>
      </c>
      <c r="B14" t="s">
        <v>522</v>
      </c>
      <c r="C14" t="s">
        <v>81</v>
      </c>
      <c r="D14" t="s">
        <v>82</v>
      </c>
      <c r="E14" t="s">
        <v>523</v>
      </c>
      <c r="F14" t="s">
        <v>524</v>
      </c>
      <c r="G14" t="s">
        <v>525</v>
      </c>
      <c r="H14" t="s">
        <v>526</v>
      </c>
    </row>
    <row r="15" spans="1:8" x14ac:dyDescent="0.25">
      <c r="A15" t="s">
        <v>185</v>
      </c>
      <c r="B15" t="s">
        <v>527</v>
      </c>
      <c r="C15" t="s">
        <v>84</v>
      </c>
      <c r="D15" t="s">
        <v>85</v>
      </c>
      <c r="E15" t="s">
        <v>528</v>
      </c>
      <c r="F15" t="s">
        <v>529</v>
      </c>
      <c r="G15" t="s">
        <v>530</v>
      </c>
      <c r="H15" t="s">
        <v>531</v>
      </c>
    </row>
    <row r="16" spans="1:8" x14ac:dyDescent="0.25">
      <c r="A16" t="s">
        <v>196</v>
      </c>
      <c r="B16" t="s">
        <v>532</v>
      </c>
      <c r="C16" t="s">
        <v>88</v>
      </c>
      <c r="D16" t="s">
        <v>89</v>
      </c>
      <c r="E16" t="s">
        <v>533</v>
      </c>
      <c r="F16" t="s">
        <v>534</v>
      </c>
      <c r="G16" t="s">
        <v>535</v>
      </c>
      <c r="H16" t="s">
        <v>536</v>
      </c>
    </row>
    <row r="17" spans="1:8" x14ac:dyDescent="0.25">
      <c r="A17" t="s">
        <v>207</v>
      </c>
      <c r="B17" t="s">
        <v>537</v>
      </c>
      <c r="C17" t="s">
        <v>91</v>
      </c>
      <c r="D17" t="s">
        <v>92</v>
      </c>
      <c r="E17" t="s">
        <v>538</v>
      </c>
      <c r="F17" t="s">
        <v>539</v>
      </c>
      <c r="G17" t="s">
        <v>540</v>
      </c>
      <c r="H17" t="s">
        <v>541</v>
      </c>
    </row>
    <row r="18" spans="1:8" x14ac:dyDescent="0.25">
      <c r="A18" t="s">
        <v>214</v>
      </c>
      <c r="B18" t="s">
        <v>542</v>
      </c>
      <c r="C18" t="s">
        <v>95</v>
      </c>
      <c r="D18" t="s">
        <v>96</v>
      </c>
      <c r="E18" t="s">
        <v>543</v>
      </c>
      <c r="F18" t="s">
        <v>544</v>
      </c>
      <c r="G18" t="s">
        <v>545</v>
      </c>
      <c r="H18" t="s">
        <v>546</v>
      </c>
    </row>
    <row r="19" spans="1:8" x14ac:dyDescent="0.25">
      <c r="A19" t="s">
        <v>219</v>
      </c>
      <c r="B19" t="s">
        <v>547</v>
      </c>
      <c r="C19" t="s">
        <v>97</v>
      </c>
      <c r="D19" t="s">
        <v>98</v>
      </c>
      <c r="E19" t="s">
        <v>548</v>
      </c>
      <c r="F19" t="s">
        <v>549</v>
      </c>
      <c r="G19" t="s">
        <v>550</v>
      </c>
      <c r="H19" t="s">
        <v>551</v>
      </c>
    </row>
    <row r="20" spans="1:8" x14ac:dyDescent="0.25">
      <c r="A20" t="s">
        <v>241</v>
      </c>
      <c r="B20" t="s">
        <v>552</v>
      </c>
      <c r="C20" t="s">
        <v>99</v>
      </c>
      <c r="D20" t="s">
        <v>100</v>
      </c>
      <c r="E20" t="s">
        <v>553</v>
      </c>
      <c r="F20" t="s">
        <v>554</v>
      </c>
      <c r="G20" t="s">
        <v>555</v>
      </c>
      <c r="H20" t="s">
        <v>556</v>
      </c>
    </row>
    <row r="21" spans="1:8" x14ac:dyDescent="0.25">
      <c r="A21" t="s">
        <v>557</v>
      </c>
      <c r="B21" t="s">
        <v>558</v>
      </c>
      <c r="C21" t="s">
        <v>101</v>
      </c>
      <c r="D21" t="s">
        <v>102</v>
      </c>
      <c r="E21" t="s">
        <v>559</v>
      </c>
      <c r="F21" t="s">
        <v>560</v>
      </c>
      <c r="G21" t="s">
        <v>561</v>
      </c>
      <c r="H21" t="s">
        <v>562</v>
      </c>
    </row>
    <row r="22" spans="1:8" x14ac:dyDescent="0.25">
      <c r="A22" t="s">
        <v>246</v>
      </c>
      <c r="B22" t="s">
        <v>563</v>
      </c>
      <c r="C22" t="s">
        <v>103</v>
      </c>
      <c r="D22" t="s">
        <v>104</v>
      </c>
      <c r="E22" t="s">
        <v>564</v>
      </c>
      <c r="F22" t="s">
        <v>565</v>
      </c>
      <c r="G22" t="s">
        <v>566</v>
      </c>
      <c r="H22" t="s">
        <v>567</v>
      </c>
    </row>
    <row r="23" spans="1:8" x14ac:dyDescent="0.25">
      <c r="A23" t="s">
        <v>255</v>
      </c>
      <c r="B23" t="s">
        <v>568</v>
      </c>
      <c r="C23" t="s">
        <v>105</v>
      </c>
      <c r="D23" t="s">
        <v>106</v>
      </c>
      <c r="E23" t="s">
        <v>569</v>
      </c>
      <c r="F23" t="s">
        <v>570</v>
      </c>
      <c r="G23" t="s">
        <v>571</v>
      </c>
      <c r="H23" t="s">
        <v>572</v>
      </c>
    </row>
    <row r="24" spans="1:8" x14ac:dyDescent="0.25">
      <c r="A24" t="s">
        <v>264</v>
      </c>
      <c r="B24" t="s">
        <v>573</v>
      </c>
      <c r="C24" t="s">
        <v>107</v>
      </c>
      <c r="D24" t="s">
        <v>108</v>
      </c>
      <c r="E24" t="s">
        <v>574</v>
      </c>
      <c r="F24" t="s">
        <v>575</v>
      </c>
      <c r="G24" t="s">
        <v>576</v>
      </c>
      <c r="H24" t="s">
        <v>577</v>
      </c>
    </row>
    <row r="25" spans="1:8" x14ac:dyDescent="0.25">
      <c r="A25" t="s">
        <v>270</v>
      </c>
      <c r="B25" t="s">
        <v>578</v>
      </c>
      <c r="C25" t="s">
        <v>110</v>
      </c>
      <c r="D25" t="s">
        <v>111</v>
      </c>
      <c r="E25" t="s">
        <v>579</v>
      </c>
      <c r="F25" t="s">
        <v>580</v>
      </c>
      <c r="G25" t="s">
        <v>581</v>
      </c>
      <c r="H25" t="s">
        <v>582</v>
      </c>
    </row>
    <row r="26" spans="1:8" x14ac:dyDescent="0.25">
      <c r="A26" t="s">
        <v>279</v>
      </c>
      <c r="B26" t="s">
        <v>583</v>
      </c>
      <c r="C26" t="s">
        <v>114</v>
      </c>
      <c r="D26" t="s">
        <v>115</v>
      </c>
      <c r="E26" t="s">
        <v>584</v>
      </c>
      <c r="F26" t="s">
        <v>585</v>
      </c>
      <c r="G26" t="s">
        <v>586</v>
      </c>
      <c r="H26" t="s">
        <v>587</v>
      </c>
    </row>
    <row r="27" spans="1:8" x14ac:dyDescent="0.25">
      <c r="A27" t="s">
        <v>288</v>
      </c>
      <c r="B27" t="s">
        <v>588</v>
      </c>
      <c r="C27" t="s">
        <v>116</v>
      </c>
      <c r="D27" t="s">
        <v>117</v>
      </c>
      <c r="E27" t="s">
        <v>589</v>
      </c>
      <c r="F27" t="s">
        <v>590</v>
      </c>
      <c r="G27" t="s">
        <v>591</v>
      </c>
      <c r="H27" t="s">
        <v>592</v>
      </c>
    </row>
    <row r="28" spans="1:8" x14ac:dyDescent="0.25">
      <c r="A28" t="s">
        <v>295</v>
      </c>
      <c r="B28" t="s">
        <v>593</v>
      </c>
      <c r="C28" t="s">
        <v>118</v>
      </c>
      <c r="D28" t="s">
        <v>119</v>
      </c>
      <c r="E28" t="s">
        <v>594</v>
      </c>
      <c r="F28" t="s">
        <v>595</v>
      </c>
      <c r="G28" t="s">
        <v>596</v>
      </c>
      <c r="H28" t="s">
        <v>597</v>
      </c>
    </row>
    <row r="29" spans="1:8" x14ac:dyDescent="0.25">
      <c r="A29" t="s">
        <v>598</v>
      </c>
      <c r="B29" t="s">
        <v>599</v>
      </c>
      <c r="C29" t="s">
        <v>120</v>
      </c>
      <c r="D29" t="s">
        <v>121</v>
      </c>
      <c r="E29" t="s">
        <v>600</v>
      </c>
      <c r="F29" t="s">
        <v>601</v>
      </c>
      <c r="G29" t="s">
        <v>602</v>
      </c>
      <c r="H29" t="s">
        <v>603</v>
      </c>
    </row>
    <row r="30" spans="1:8" x14ac:dyDescent="0.25">
      <c r="A30" t="s">
        <v>300</v>
      </c>
      <c r="B30" t="s">
        <v>604</v>
      </c>
      <c r="C30" t="s">
        <v>122</v>
      </c>
      <c r="D30" t="s">
        <v>123</v>
      </c>
      <c r="E30" t="s">
        <v>605</v>
      </c>
      <c r="F30" t="s">
        <v>606</v>
      </c>
      <c r="G30" t="s">
        <v>607</v>
      </c>
      <c r="H30" t="s">
        <v>608</v>
      </c>
    </row>
    <row r="31" spans="1:8" x14ac:dyDescent="0.25">
      <c r="A31" t="s">
        <v>303</v>
      </c>
      <c r="B31" t="s">
        <v>609</v>
      </c>
      <c r="C31" t="s">
        <v>124</v>
      </c>
      <c r="D31" t="s">
        <v>125</v>
      </c>
      <c r="E31" t="s">
        <v>610</v>
      </c>
      <c r="F31" t="s">
        <v>611</v>
      </c>
      <c r="G31" t="s">
        <v>612</v>
      </c>
      <c r="H31" t="s">
        <v>613</v>
      </c>
    </row>
    <row r="32" spans="1:8" x14ac:dyDescent="0.25">
      <c r="A32" t="s">
        <v>316</v>
      </c>
      <c r="B32" t="s">
        <v>614</v>
      </c>
      <c r="C32" t="s">
        <v>127</v>
      </c>
      <c r="D32" t="s">
        <v>128</v>
      </c>
      <c r="E32" t="s">
        <v>615</v>
      </c>
      <c r="F32" t="s">
        <v>616</v>
      </c>
      <c r="G32" t="s">
        <v>617</v>
      </c>
      <c r="H32" t="s">
        <v>618</v>
      </c>
    </row>
    <row r="33" spans="1:8" x14ac:dyDescent="0.25">
      <c r="A33" t="s">
        <v>331</v>
      </c>
      <c r="B33" t="s">
        <v>619</v>
      </c>
      <c r="C33" t="s">
        <v>131</v>
      </c>
      <c r="D33" t="s">
        <v>132</v>
      </c>
      <c r="E33" t="s">
        <v>620</v>
      </c>
      <c r="F33" t="s">
        <v>621</v>
      </c>
      <c r="G33" t="s">
        <v>622</v>
      </c>
      <c r="H33" t="s">
        <v>623</v>
      </c>
    </row>
    <row r="34" spans="1:8" x14ac:dyDescent="0.25">
      <c r="A34" t="s">
        <v>338</v>
      </c>
      <c r="B34" t="s">
        <v>624</v>
      </c>
      <c r="C34" t="s">
        <v>133</v>
      </c>
      <c r="D34" t="s">
        <v>134</v>
      </c>
      <c r="E34" t="s">
        <v>625</v>
      </c>
      <c r="F34" t="s">
        <v>626</v>
      </c>
      <c r="G34" t="s">
        <v>627</v>
      </c>
      <c r="H34" t="s">
        <v>628</v>
      </c>
    </row>
    <row r="35" spans="1:8" x14ac:dyDescent="0.25">
      <c r="A35" t="s">
        <v>349</v>
      </c>
      <c r="B35" t="s">
        <v>629</v>
      </c>
      <c r="C35" t="s">
        <v>135</v>
      </c>
      <c r="D35" t="s">
        <v>136</v>
      </c>
      <c r="E35" t="s">
        <v>630</v>
      </c>
      <c r="F35" t="s">
        <v>631</v>
      </c>
      <c r="G35" t="s">
        <v>632</v>
      </c>
      <c r="H35" t="s">
        <v>633</v>
      </c>
    </row>
    <row r="36" spans="1:8" x14ac:dyDescent="0.25">
      <c r="A36" t="s">
        <v>354</v>
      </c>
      <c r="B36" t="s">
        <v>634</v>
      </c>
      <c r="C36" t="s">
        <v>139</v>
      </c>
      <c r="D36" t="s">
        <v>140</v>
      </c>
      <c r="E36" t="s">
        <v>635</v>
      </c>
      <c r="F36" t="s">
        <v>636</v>
      </c>
      <c r="G36" t="s">
        <v>637</v>
      </c>
      <c r="H36" t="s">
        <v>638</v>
      </c>
    </row>
    <row r="37" spans="1:8" x14ac:dyDescent="0.25">
      <c r="A37" t="s">
        <v>359</v>
      </c>
      <c r="B37" t="s">
        <v>639</v>
      </c>
      <c r="C37" t="s">
        <v>143</v>
      </c>
      <c r="D37" t="s">
        <v>144</v>
      </c>
      <c r="E37" t="s">
        <v>640</v>
      </c>
      <c r="F37" t="s">
        <v>641</v>
      </c>
      <c r="G37" t="s">
        <v>642</v>
      </c>
      <c r="H37" t="s">
        <v>643</v>
      </c>
    </row>
    <row r="38" spans="1:8" x14ac:dyDescent="0.25">
      <c r="A38" t="s">
        <v>366</v>
      </c>
      <c r="B38" t="s">
        <v>644</v>
      </c>
      <c r="C38" t="s">
        <v>145</v>
      </c>
      <c r="D38" t="s">
        <v>146</v>
      </c>
      <c r="E38" t="s">
        <v>645</v>
      </c>
      <c r="F38" t="s">
        <v>646</v>
      </c>
      <c r="G38" t="s">
        <v>647</v>
      </c>
      <c r="H38" t="s">
        <v>648</v>
      </c>
    </row>
    <row r="39" spans="1:8" x14ac:dyDescent="0.25">
      <c r="A39" t="s">
        <v>375</v>
      </c>
      <c r="B39" t="s">
        <v>649</v>
      </c>
      <c r="C39" t="s">
        <v>148</v>
      </c>
      <c r="D39" t="s">
        <v>149</v>
      </c>
      <c r="E39" t="s">
        <v>650</v>
      </c>
      <c r="F39" t="s">
        <v>651</v>
      </c>
      <c r="G39" t="s">
        <v>652</v>
      </c>
      <c r="H39" t="s">
        <v>653</v>
      </c>
    </row>
    <row r="40" spans="1:8" x14ac:dyDescent="0.25">
      <c r="A40" t="s">
        <v>378</v>
      </c>
      <c r="B40" t="s">
        <v>654</v>
      </c>
      <c r="C40" t="s">
        <v>152</v>
      </c>
      <c r="D40" t="s">
        <v>153</v>
      </c>
      <c r="E40" t="s">
        <v>655</v>
      </c>
      <c r="F40" t="s">
        <v>656</v>
      </c>
      <c r="G40" t="s">
        <v>657</v>
      </c>
      <c r="H40" t="s">
        <v>658</v>
      </c>
    </row>
    <row r="41" spans="1:8" x14ac:dyDescent="0.25">
      <c r="A41" t="s">
        <v>383</v>
      </c>
      <c r="B41" t="s">
        <v>659</v>
      </c>
      <c r="C41" t="s">
        <v>155</v>
      </c>
      <c r="D41" t="s">
        <v>156</v>
      </c>
      <c r="E41" t="s">
        <v>660</v>
      </c>
      <c r="F41" t="s">
        <v>661</v>
      </c>
      <c r="G41" t="s">
        <v>662</v>
      </c>
      <c r="H41" t="s">
        <v>663</v>
      </c>
    </row>
    <row r="42" spans="1:8" x14ac:dyDescent="0.25">
      <c r="A42" t="s">
        <v>386</v>
      </c>
      <c r="B42" t="s">
        <v>664</v>
      </c>
      <c r="C42" t="s">
        <v>159</v>
      </c>
      <c r="D42" t="s">
        <v>160</v>
      </c>
      <c r="E42" t="s">
        <v>665</v>
      </c>
      <c r="F42" t="s">
        <v>666</v>
      </c>
      <c r="G42" t="s">
        <v>667</v>
      </c>
      <c r="H42" t="s">
        <v>668</v>
      </c>
    </row>
    <row r="43" spans="1:8" x14ac:dyDescent="0.25">
      <c r="A43" t="s">
        <v>389</v>
      </c>
      <c r="B43" t="s">
        <v>669</v>
      </c>
      <c r="C43" t="s">
        <v>162</v>
      </c>
      <c r="D43" t="s">
        <v>163</v>
      </c>
      <c r="E43" t="s">
        <v>670</v>
      </c>
      <c r="F43" t="s">
        <v>432</v>
      </c>
      <c r="G43" t="s">
        <v>671</v>
      </c>
      <c r="H43" t="s">
        <v>672</v>
      </c>
    </row>
    <row r="44" spans="1:8" x14ac:dyDescent="0.25">
      <c r="A44" t="s">
        <v>390</v>
      </c>
      <c r="B44" t="s">
        <v>673</v>
      </c>
      <c r="C44" t="s">
        <v>166</v>
      </c>
      <c r="D44" t="s">
        <v>167</v>
      </c>
      <c r="E44" t="s">
        <v>674</v>
      </c>
      <c r="F44" t="s">
        <v>675</v>
      </c>
      <c r="G44" t="s">
        <v>676</v>
      </c>
      <c r="H44" t="s">
        <v>677</v>
      </c>
    </row>
    <row r="45" spans="1:8" x14ac:dyDescent="0.25">
      <c r="A45" t="s">
        <v>393</v>
      </c>
      <c r="B45" t="s">
        <v>678</v>
      </c>
      <c r="C45" t="s">
        <v>168</v>
      </c>
      <c r="D45" t="s">
        <v>169</v>
      </c>
      <c r="E45" t="s">
        <v>679</v>
      </c>
      <c r="F45" t="s">
        <v>273</v>
      </c>
      <c r="G45" t="s">
        <v>680</v>
      </c>
      <c r="H45" t="s">
        <v>681</v>
      </c>
    </row>
    <row r="46" spans="1:8" x14ac:dyDescent="0.25">
      <c r="A46" t="s">
        <v>400</v>
      </c>
      <c r="B46" t="s">
        <v>682</v>
      </c>
      <c r="C46" t="s">
        <v>171</v>
      </c>
      <c r="D46" t="s">
        <v>172</v>
      </c>
      <c r="E46" t="s">
        <v>683</v>
      </c>
      <c r="F46" t="s">
        <v>684</v>
      </c>
      <c r="G46" t="s">
        <v>685</v>
      </c>
      <c r="H46" t="s">
        <v>686</v>
      </c>
    </row>
    <row r="47" spans="1:8" x14ac:dyDescent="0.25">
      <c r="A47" t="s">
        <v>403</v>
      </c>
      <c r="B47" t="s">
        <v>687</v>
      </c>
      <c r="C47" t="s">
        <v>178</v>
      </c>
      <c r="D47" t="s">
        <v>179</v>
      </c>
      <c r="E47" t="s">
        <v>688</v>
      </c>
      <c r="F47" t="s">
        <v>689</v>
      </c>
      <c r="G47" t="s">
        <v>690</v>
      </c>
      <c r="H47" t="s">
        <v>691</v>
      </c>
    </row>
    <row r="48" spans="1:8" x14ac:dyDescent="0.25">
      <c r="A48" t="s">
        <v>408</v>
      </c>
      <c r="B48" t="s">
        <v>692</v>
      </c>
      <c r="C48" t="s">
        <v>180</v>
      </c>
      <c r="D48" t="s">
        <v>181</v>
      </c>
      <c r="E48" t="s">
        <v>693</v>
      </c>
      <c r="F48" t="s">
        <v>694</v>
      </c>
      <c r="G48" t="s">
        <v>695</v>
      </c>
      <c r="H48" t="s">
        <v>696</v>
      </c>
    </row>
    <row r="49" spans="1:8" x14ac:dyDescent="0.25">
      <c r="A49" t="s">
        <v>417</v>
      </c>
      <c r="B49" t="s">
        <v>697</v>
      </c>
      <c r="C49" t="s">
        <v>182</v>
      </c>
      <c r="D49" t="s">
        <v>183</v>
      </c>
      <c r="E49" t="s">
        <v>698</v>
      </c>
      <c r="F49" t="s">
        <v>188</v>
      </c>
      <c r="G49" t="s">
        <v>699</v>
      </c>
      <c r="H49" t="s">
        <v>700</v>
      </c>
    </row>
    <row r="50" spans="1:8" x14ac:dyDescent="0.25">
      <c r="A50" t="s">
        <v>421</v>
      </c>
      <c r="B50" t="s">
        <v>701</v>
      </c>
      <c r="C50" t="s">
        <v>186</v>
      </c>
      <c r="D50" t="s">
        <v>187</v>
      </c>
      <c r="E50" t="s">
        <v>702</v>
      </c>
      <c r="F50" t="s">
        <v>49</v>
      </c>
      <c r="G50" t="s">
        <v>50</v>
      </c>
      <c r="H50" t="s">
        <v>703</v>
      </c>
    </row>
    <row r="51" spans="1:8" x14ac:dyDescent="0.25">
      <c r="A51" t="s">
        <v>429</v>
      </c>
      <c r="C51" t="s">
        <v>190</v>
      </c>
      <c r="D51" t="s">
        <v>191</v>
      </c>
      <c r="E51" t="s">
        <v>704</v>
      </c>
      <c r="F51" t="s">
        <v>217</v>
      </c>
      <c r="G51" t="s">
        <v>218</v>
      </c>
      <c r="H51" t="s">
        <v>705</v>
      </c>
    </row>
    <row r="52" spans="1:8" x14ac:dyDescent="0.25">
      <c r="A52" t="s">
        <v>434</v>
      </c>
      <c r="C52" t="s">
        <v>192</v>
      </c>
      <c r="D52" t="s">
        <v>193</v>
      </c>
      <c r="E52" t="s">
        <v>706</v>
      </c>
      <c r="F52" t="s">
        <v>707</v>
      </c>
      <c r="G52" t="s">
        <v>58</v>
      </c>
      <c r="H52" t="s">
        <v>708</v>
      </c>
    </row>
    <row r="53" spans="1:8" x14ac:dyDescent="0.25">
      <c r="A53" t="s">
        <v>439</v>
      </c>
      <c r="C53" t="s">
        <v>194</v>
      </c>
      <c r="D53" t="s">
        <v>195</v>
      </c>
      <c r="E53" t="s">
        <v>709</v>
      </c>
      <c r="F53" t="s">
        <v>710</v>
      </c>
      <c r="G53" t="s">
        <v>711</v>
      </c>
      <c r="H53" t="s">
        <v>712</v>
      </c>
    </row>
    <row r="54" spans="1:8" x14ac:dyDescent="0.25">
      <c r="A54" t="s">
        <v>444</v>
      </c>
      <c r="C54" t="s">
        <v>197</v>
      </c>
      <c r="D54" t="s">
        <v>198</v>
      </c>
      <c r="E54" t="s">
        <v>713</v>
      </c>
      <c r="F54" t="s">
        <v>714</v>
      </c>
      <c r="G54" t="s">
        <v>715</v>
      </c>
      <c r="H54" t="s">
        <v>716</v>
      </c>
    </row>
    <row r="55" spans="1:8" x14ac:dyDescent="0.25">
      <c r="A55" t="s">
        <v>449</v>
      </c>
      <c r="C55" t="s">
        <v>201</v>
      </c>
      <c r="D55" t="s">
        <v>202</v>
      </c>
      <c r="E55" t="s">
        <v>717</v>
      </c>
      <c r="F55" t="s">
        <v>718</v>
      </c>
      <c r="G55" t="s">
        <v>719</v>
      </c>
      <c r="H55" t="s">
        <v>720</v>
      </c>
    </row>
    <row r="56" spans="1:8" x14ac:dyDescent="0.25">
      <c r="A56" t="s">
        <v>454</v>
      </c>
      <c r="C56" t="s">
        <v>203</v>
      </c>
      <c r="D56" t="s">
        <v>204</v>
      </c>
      <c r="E56" t="s">
        <v>721</v>
      </c>
      <c r="F56" t="s">
        <v>244</v>
      </c>
      <c r="G56" t="s">
        <v>722</v>
      </c>
      <c r="H56" t="s">
        <v>723</v>
      </c>
    </row>
    <row r="57" spans="1:8" x14ac:dyDescent="0.25">
      <c r="A57" t="s">
        <v>459</v>
      </c>
      <c r="C57" t="s">
        <v>205</v>
      </c>
      <c r="D57" t="s">
        <v>206</v>
      </c>
      <c r="E57" t="s">
        <v>724</v>
      </c>
      <c r="F57" t="s">
        <v>725</v>
      </c>
      <c r="G57" t="s">
        <v>726</v>
      </c>
      <c r="H57" t="s">
        <v>727</v>
      </c>
    </row>
    <row r="58" spans="1:8" x14ac:dyDescent="0.25">
      <c r="A58" t="s">
        <v>728</v>
      </c>
      <c r="C58" t="s">
        <v>208</v>
      </c>
      <c r="D58" t="s">
        <v>209</v>
      </c>
      <c r="E58" t="s">
        <v>729</v>
      </c>
      <c r="F58" t="s">
        <v>210</v>
      </c>
      <c r="G58" t="s">
        <v>730</v>
      </c>
      <c r="H58" t="s">
        <v>731</v>
      </c>
    </row>
    <row r="59" spans="1:8" x14ac:dyDescent="0.25">
      <c r="A59" t="s">
        <v>732</v>
      </c>
      <c r="C59" t="s">
        <v>212</v>
      </c>
      <c r="D59" t="s">
        <v>213</v>
      </c>
      <c r="E59" t="s">
        <v>733</v>
      </c>
      <c r="F59" t="s">
        <v>334</v>
      </c>
      <c r="G59" t="s">
        <v>335</v>
      </c>
      <c r="H59" t="s">
        <v>734</v>
      </c>
    </row>
    <row r="60" spans="1:8" x14ac:dyDescent="0.25">
      <c r="A60" t="s">
        <v>735</v>
      </c>
      <c r="C60" t="s">
        <v>215</v>
      </c>
      <c r="D60" t="s">
        <v>216</v>
      </c>
      <c r="E60" t="s">
        <v>736</v>
      </c>
      <c r="F60" t="s">
        <v>737</v>
      </c>
      <c r="G60" t="s">
        <v>738</v>
      </c>
      <c r="H60" t="s">
        <v>739</v>
      </c>
    </row>
    <row r="61" spans="1:8" x14ac:dyDescent="0.25">
      <c r="A61" t="s">
        <v>740</v>
      </c>
      <c r="C61" t="s">
        <v>222</v>
      </c>
      <c r="D61" t="s">
        <v>223</v>
      </c>
      <c r="E61" t="s">
        <v>741</v>
      </c>
      <c r="F61" t="s">
        <v>406</v>
      </c>
      <c r="G61" t="s">
        <v>407</v>
      </c>
      <c r="H61" t="s">
        <v>742</v>
      </c>
    </row>
    <row r="62" spans="1:8" x14ac:dyDescent="0.25">
      <c r="A62" t="s">
        <v>743</v>
      </c>
      <c r="C62" t="s">
        <v>224</v>
      </c>
      <c r="D62" t="s">
        <v>225</v>
      </c>
      <c r="E62" t="s">
        <v>744</v>
      </c>
      <c r="F62" t="s">
        <v>220</v>
      </c>
      <c r="G62" t="s">
        <v>745</v>
      </c>
      <c r="H62" t="s">
        <v>746</v>
      </c>
    </row>
    <row r="63" spans="1:8" x14ac:dyDescent="0.25">
      <c r="A63" t="s">
        <v>747</v>
      </c>
      <c r="C63" t="s">
        <v>226</v>
      </c>
      <c r="D63" t="s">
        <v>227</v>
      </c>
      <c r="E63" t="s">
        <v>748</v>
      </c>
      <c r="F63" t="s">
        <v>267</v>
      </c>
      <c r="G63" t="s">
        <v>749</v>
      </c>
      <c r="H63" t="s">
        <v>750</v>
      </c>
    </row>
    <row r="64" spans="1:8" x14ac:dyDescent="0.25">
      <c r="A64" t="s">
        <v>751</v>
      </c>
      <c r="C64" t="s">
        <v>228</v>
      </c>
      <c r="D64" t="s">
        <v>229</v>
      </c>
      <c r="E64" t="s">
        <v>752</v>
      </c>
      <c r="F64" t="s">
        <v>753</v>
      </c>
      <c r="G64" t="s">
        <v>754</v>
      </c>
      <c r="H64" t="s">
        <v>755</v>
      </c>
    </row>
    <row r="65" spans="1:8" x14ac:dyDescent="0.25">
      <c r="A65" t="s">
        <v>756</v>
      </c>
      <c r="C65" t="s">
        <v>230</v>
      </c>
      <c r="D65" t="s">
        <v>231</v>
      </c>
      <c r="E65" t="s">
        <v>757</v>
      </c>
      <c r="F65" t="s">
        <v>758</v>
      </c>
      <c r="G65" t="s">
        <v>759</v>
      </c>
      <c r="H65" t="s">
        <v>760</v>
      </c>
    </row>
    <row r="66" spans="1:8" x14ac:dyDescent="0.25">
      <c r="A66" t="s">
        <v>761</v>
      </c>
      <c r="C66" t="s">
        <v>232</v>
      </c>
      <c r="D66" t="s">
        <v>233</v>
      </c>
      <c r="E66" t="s">
        <v>762</v>
      </c>
      <c r="F66" t="s">
        <v>369</v>
      </c>
      <c r="G66" t="s">
        <v>763</v>
      </c>
      <c r="H66" t="s">
        <v>764</v>
      </c>
    </row>
    <row r="67" spans="1:8" x14ac:dyDescent="0.25">
      <c r="A67" t="s">
        <v>765</v>
      </c>
      <c r="C67" t="s">
        <v>234</v>
      </c>
      <c r="D67" t="s">
        <v>235</v>
      </c>
      <c r="E67" t="s">
        <v>766</v>
      </c>
      <c r="F67" t="s">
        <v>767</v>
      </c>
      <c r="G67" t="s">
        <v>768</v>
      </c>
      <c r="H67" t="s">
        <v>769</v>
      </c>
    </row>
    <row r="68" spans="1:8" x14ac:dyDescent="0.25">
      <c r="A68" t="s">
        <v>770</v>
      </c>
      <c r="C68" t="s">
        <v>236</v>
      </c>
      <c r="D68" t="s">
        <v>237</v>
      </c>
      <c r="E68" t="s">
        <v>771</v>
      </c>
      <c r="F68" t="s">
        <v>772</v>
      </c>
      <c r="G68" t="s">
        <v>773</v>
      </c>
      <c r="H68" t="s">
        <v>774</v>
      </c>
    </row>
    <row r="69" spans="1:8" x14ac:dyDescent="0.25">
      <c r="A69" t="s">
        <v>775</v>
      </c>
      <c r="C69" t="s">
        <v>238</v>
      </c>
      <c r="D69" t="s">
        <v>239</v>
      </c>
      <c r="E69" t="s">
        <v>776</v>
      </c>
      <c r="F69" t="s">
        <v>360</v>
      </c>
      <c r="G69" t="s">
        <v>777</v>
      </c>
      <c r="H69" t="s">
        <v>778</v>
      </c>
    </row>
    <row r="70" spans="1:8" x14ac:dyDescent="0.25">
      <c r="A70" t="s">
        <v>779</v>
      </c>
      <c r="C70" t="s">
        <v>242</v>
      </c>
      <c r="D70" t="s">
        <v>243</v>
      </c>
      <c r="E70" t="s">
        <v>780</v>
      </c>
      <c r="F70" t="s">
        <v>173</v>
      </c>
      <c r="G70" t="s">
        <v>781</v>
      </c>
      <c r="H70" t="s">
        <v>782</v>
      </c>
    </row>
    <row r="71" spans="1:8" x14ac:dyDescent="0.25">
      <c r="A71" t="s">
        <v>783</v>
      </c>
      <c r="C71" t="s">
        <v>247</v>
      </c>
      <c r="D71" t="s">
        <v>248</v>
      </c>
      <c r="E71" t="s">
        <v>784</v>
      </c>
      <c r="F71" t="s">
        <v>199</v>
      </c>
      <c r="G71" t="s">
        <v>785</v>
      </c>
      <c r="H71" t="s">
        <v>786</v>
      </c>
    </row>
    <row r="72" spans="1:8" x14ac:dyDescent="0.25">
      <c r="A72" t="s">
        <v>787</v>
      </c>
      <c r="C72" t="s">
        <v>251</v>
      </c>
      <c r="D72" t="s">
        <v>252</v>
      </c>
      <c r="E72" t="s">
        <v>788</v>
      </c>
      <c r="F72" t="s">
        <v>319</v>
      </c>
      <c r="G72" t="s">
        <v>320</v>
      </c>
      <c r="H72" t="s">
        <v>789</v>
      </c>
    </row>
    <row r="73" spans="1:8" x14ac:dyDescent="0.25">
      <c r="A73" t="s">
        <v>790</v>
      </c>
      <c r="C73" t="s">
        <v>253</v>
      </c>
      <c r="D73" t="s">
        <v>254</v>
      </c>
      <c r="E73" t="s">
        <v>791</v>
      </c>
      <c r="F73" t="s">
        <v>792</v>
      </c>
      <c r="G73" t="s">
        <v>793</v>
      </c>
      <c r="H73" t="s">
        <v>794</v>
      </c>
    </row>
    <row r="74" spans="1:8" x14ac:dyDescent="0.25">
      <c r="A74" t="s">
        <v>795</v>
      </c>
      <c r="C74" t="s">
        <v>256</v>
      </c>
      <c r="D74" t="s">
        <v>257</v>
      </c>
      <c r="E74" t="s">
        <v>796</v>
      </c>
      <c r="F74" t="s">
        <v>797</v>
      </c>
      <c r="G74" t="s">
        <v>798</v>
      </c>
      <c r="H74" t="s">
        <v>799</v>
      </c>
    </row>
    <row r="75" spans="1:8" x14ac:dyDescent="0.25">
      <c r="A75" t="s">
        <v>800</v>
      </c>
      <c r="C75" t="s">
        <v>260</v>
      </c>
      <c r="D75" t="s">
        <v>261</v>
      </c>
      <c r="E75" t="s">
        <v>801</v>
      </c>
      <c r="F75" t="s">
        <v>802</v>
      </c>
      <c r="G75" t="s">
        <v>803</v>
      </c>
      <c r="H75" t="s">
        <v>804</v>
      </c>
    </row>
    <row r="76" spans="1:8" x14ac:dyDescent="0.25">
      <c r="A76" t="s">
        <v>805</v>
      </c>
      <c r="C76" t="s">
        <v>262</v>
      </c>
      <c r="D76" t="s">
        <v>263</v>
      </c>
      <c r="E76" t="s">
        <v>806</v>
      </c>
      <c r="F76" t="s">
        <v>455</v>
      </c>
      <c r="G76" t="s">
        <v>456</v>
      </c>
      <c r="H76" t="s">
        <v>807</v>
      </c>
    </row>
    <row r="77" spans="1:8" x14ac:dyDescent="0.25">
      <c r="A77" t="s">
        <v>808</v>
      </c>
      <c r="C77" t="s">
        <v>265</v>
      </c>
      <c r="D77" t="s">
        <v>266</v>
      </c>
      <c r="E77" t="s">
        <v>809</v>
      </c>
      <c r="F77" t="s">
        <v>176</v>
      </c>
      <c r="G77" t="s">
        <v>177</v>
      </c>
      <c r="H77" t="s">
        <v>810</v>
      </c>
    </row>
    <row r="78" spans="1:8" x14ac:dyDescent="0.25">
      <c r="A78" t="s">
        <v>811</v>
      </c>
      <c r="C78" t="s">
        <v>271</v>
      </c>
      <c r="D78" t="s">
        <v>272</v>
      </c>
      <c r="E78" t="s">
        <v>812</v>
      </c>
      <c r="F78" t="s">
        <v>112</v>
      </c>
      <c r="G78" t="s">
        <v>813</v>
      </c>
      <c r="H78" t="s">
        <v>814</v>
      </c>
    </row>
    <row r="79" spans="1:8" x14ac:dyDescent="0.25">
      <c r="A79" t="s">
        <v>815</v>
      </c>
      <c r="C79" t="s">
        <v>275</v>
      </c>
      <c r="D79" t="s">
        <v>276</v>
      </c>
      <c r="E79" t="s">
        <v>816</v>
      </c>
      <c r="F79" t="s">
        <v>164</v>
      </c>
      <c r="G79" t="s">
        <v>817</v>
      </c>
      <c r="H79" t="s">
        <v>818</v>
      </c>
    </row>
    <row r="80" spans="1:8" x14ac:dyDescent="0.25">
      <c r="A80" t="s">
        <v>819</v>
      </c>
      <c r="C80" t="s">
        <v>277</v>
      </c>
      <c r="D80" t="s">
        <v>278</v>
      </c>
      <c r="E80" t="s">
        <v>820</v>
      </c>
      <c r="F80" t="s">
        <v>821</v>
      </c>
      <c r="G80" t="s">
        <v>822</v>
      </c>
      <c r="H80" t="s">
        <v>823</v>
      </c>
    </row>
    <row r="81" spans="1:8" x14ac:dyDescent="0.25">
      <c r="A81" t="s">
        <v>824</v>
      </c>
      <c r="C81" t="s">
        <v>280</v>
      </c>
      <c r="D81" t="s">
        <v>281</v>
      </c>
      <c r="E81" t="s">
        <v>825</v>
      </c>
      <c r="F81" t="s">
        <v>291</v>
      </c>
      <c r="G81" t="s">
        <v>826</v>
      </c>
      <c r="H81" t="s">
        <v>827</v>
      </c>
    </row>
    <row r="82" spans="1:8" x14ac:dyDescent="0.25">
      <c r="A82" t="s">
        <v>828</v>
      </c>
      <c r="C82" t="s">
        <v>284</v>
      </c>
      <c r="D82" t="s">
        <v>285</v>
      </c>
      <c r="E82" t="s">
        <v>829</v>
      </c>
      <c r="F82" t="s">
        <v>129</v>
      </c>
      <c r="G82" t="s">
        <v>130</v>
      </c>
      <c r="H82" t="s">
        <v>830</v>
      </c>
    </row>
    <row r="83" spans="1:8" x14ac:dyDescent="0.25">
      <c r="A83" t="s">
        <v>831</v>
      </c>
      <c r="C83" t="s">
        <v>286</v>
      </c>
      <c r="D83" t="s">
        <v>287</v>
      </c>
      <c r="E83" t="s">
        <v>832</v>
      </c>
      <c r="F83" t="s">
        <v>57</v>
      </c>
      <c r="G83" t="s">
        <v>58</v>
      </c>
      <c r="H83" t="s">
        <v>833</v>
      </c>
    </row>
    <row r="84" spans="1:8" x14ac:dyDescent="0.25">
      <c r="A84" t="s">
        <v>834</v>
      </c>
      <c r="C84" t="s">
        <v>289</v>
      </c>
      <c r="D84" t="s">
        <v>290</v>
      </c>
      <c r="E84" t="s">
        <v>835</v>
      </c>
      <c r="F84" t="s">
        <v>409</v>
      </c>
      <c r="G84" t="s">
        <v>836</v>
      </c>
      <c r="H84" t="s">
        <v>837</v>
      </c>
    </row>
    <row r="85" spans="1:8" x14ac:dyDescent="0.25">
      <c r="A85" t="s">
        <v>838</v>
      </c>
      <c r="C85" t="s">
        <v>293</v>
      </c>
      <c r="D85" t="s">
        <v>294</v>
      </c>
      <c r="E85" t="s">
        <v>839</v>
      </c>
      <c r="F85" t="s">
        <v>840</v>
      </c>
      <c r="G85" t="s">
        <v>841</v>
      </c>
      <c r="H85" t="s">
        <v>842</v>
      </c>
    </row>
    <row r="86" spans="1:8" x14ac:dyDescent="0.25">
      <c r="A86" t="s">
        <v>843</v>
      </c>
      <c r="C86" t="s">
        <v>296</v>
      </c>
      <c r="D86" t="s">
        <v>297</v>
      </c>
      <c r="E86" t="s">
        <v>844</v>
      </c>
      <c r="F86" t="s">
        <v>845</v>
      </c>
      <c r="G86" t="s">
        <v>846</v>
      </c>
      <c r="H86" t="s">
        <v>847</v>
      </c>
    </row>
    <row r="87" spans="1:8" x14ac:dyDescent="0.25">
      <c r="A87" t="s">
        <v>848</v>
      </c>
      <c r="C87" t="s">
        <v>304</v>
      </c>
      <c r="D87" t="s">
        <v>305</v>
      </c>
      <c r="E87" t="s">
        <v>849</v>
      </c>
      <c r="F87" t="s">
        <v>381</v>
      </c>
      <c r="G87" t="s">
        <v>850</v>
      </c>
      <c r="H87" t="s">
        <v>851</v>
      </c>
    </row>
    <row r="88" spans="1:8" x14ac:dyDescent="0.25">
      <c r="A88" t="s">
        <v>852</v>
      </c>
      <c r="C88" t="s">
        <v>308</v>
      </c>
      <c r="D88" t="s">
        <v>309</v>
      </c>
      <c r="E88" t="s">
        <v>853</v>
      </c>
      <c r="F88" t="s">
        <v>854</v>
      </c>
      <c r="G88" t="s">
        <v>855</v>
      </c>
      <c r="H88" t="s">
        <v>856</v>
      </c>
    </row>
    <row r="89" spans="1:8" x14ac:dyDescent="0.25">
      <c r="A89" t="s">
        <v>857</v>
      </c>
      <c r="C89" t="s">
        <v>310</v>
      </c>
      <c r="D89" t="s">
        <v>311</v>
      </c>
      <c r="E89" t="s">
        <v>858</v>
      </c>
      <c r="F89" t="s">
        <v>298</v>
      </c>
      <c r="G89" t="s">
        <v>859</v>
      </c>
      <c r="H89" t="s">
        <v>860</v>
      </c>
    </row>
    <row r="90" spans="1:8" x14ac:dyDescent="0.25">
      <c r="A90" t="s">
        <v>861</v>
      </c>
      <c r="C90" t="s">
        <v>312</v>
      </c>
      <c r="D90" t="s">
        <v>313</v>
      </c>
      <c r="E90" t="s">
        <v>862</v>
      </c>
      <c r="F90" t="s">
        <v>863</v>
      </c>
      <c r="G90" t="s">
        <v>864</v>
      </c>
      <c r="H90" t="s">
        <v>865</v>
      </c>
    </row>
    <row r="91" spans="1:8" x14ac:dyDescent="0.25">
      <c r="A91" t="s">
        <v>866</v>
      </c>
      <c r="C91" t="s">
        <v>314</v>
      </c>
      <c r="D91" t="s">
        <v>315</v>
      </c>
      <c r="E91" t="s">
        <v>867</v>
      </c>
      <c r="F91" t="s">
        <v>868</v>
      </c>
      <c r="G91" t="s">
        <v>869</v>
      </c>
      <c r="H91" t="s">
        <v>870</v>
      </c>
    </row>
    <row r="92" spans="1:8" x14ac:dyDescent="0.25">
      <c r="A92" t="s">
        <v>871</v>
      </c>
      <c r="C92" t="s">
        <v>317</v>
      </c>
      <c r="D92" t="s">
        <v>318</v>
      </c>
      <c r="E92" t="s">
        <v>872</v>
      </c>
      <c r="F92" t="s">
        <v>301</v>
      </c>
      <c r="G92" t="s">
        <v>302</v>
      </c>
      <c r="H92" t="s">
        <v>420</v>
      </c>
    </row>
    <row r="93" spans="1:8" x14ac:dyDescent="0.25">
      <c r="A93" t="s">
        <v>873</v>
      </c>
      <c r="C93" t="s">
        <v>321</v>
      </c>
      <c r="D93" t="s">
        <v>322</v>
      </c>
      <c r="E93" t="s">
        <v>874</v>
      </c>
      <c r="F93" t="s">
        <v>282</v>
      </c>
      <c r="G93" t="s">
        <v>283</v>
      </c>
      <c r="H93" t="s">
        <v>875</v>
      </c>
    </row>
    <row r="94" spans="1:8" x14ac:dyDescent="0.25">
      <c r="A94" t="s">
        <v>876</v>
      </c>
      <c r="C94" t="s">
        <v>323</v>
      </c>
      <c r="D94" t="s">
        <v>324</v>
      </c>
      <c r="E94" t="s">
        <v>877</v>
      </c>
      <c r="F94" t="s">
        <v>376</v>
      </c>
      <c r="G94" t="s">
        <v>878</v>
      </c>
      <c r="H94" t="s">
        <v>879</v>
      </c>
    </row>
    <row r="95" spans="1:8" x14ac:dyDescent="0.25">
      <c r="A95" t="s">
        <v>880</v>
      </c>
      <c r="C95" t="s">
        <v>325</v>
      </c>
      <c r="D95" t="s">
        <v>326</v>
      </c>
      <c r="E95" t="s">
        <v>881</v>
      </c>
      <c r="F95" t="s">
        <v>882</v>
      </c>
      <c r="G95" t="s">
        <v>883</v>
      </c>
      <c r="H95" t="s">
        <v>884</v>
      </c>
    </row>
    <row r="96" spans="1:8" x14ac:dyDescent="0.25">
      <c r="A96" t="s">
        <v>885</v>
      </c>
      <c r="C96" t="s">
        <v>327</v>
      </c>
      <c r="D96" t="s">
        <v>328</v>
      </c>
      <c r="E96" t="s">
        <v>886</v>
      </c>
      <c r="F96" t="s">
        <v>887</v>
      </c>
      <c r="G96" t="s">
        <v>888</v>
      </c>
      <c r="H96" t="s">
        <v>889</v>
      </c>
    </row>
    <row r="97" spans="1:8" x14ac:dyDescent="0.25">
      <c r="A97" t="s">
        <v>890</v>
      </c>
      <c r="C97" t="s">
        <v>329</v>
      </c>
      <c r="D97" t="s">
        <v>330</v>
      </c>
      <c r="E97" t="s">
        <v>891</v>
      </c>
      <c r="F97" t="s">
        <v>892</v>
      </c>
      <c r="G97" t="s">
        <v>893</v>
      </c>
      <c r="H97" t="s">
        <v>894</v>
      </c>
    </row>
    <row r="98" spans="1:8" x14ac:dyDescent="0.25">
      <c r="A98" t="s">
        <v>895</v>
      </c>
      <c r="C98" t="s">
        <v>332</v>
      </c>
      <c r="D98" t="s">
        <v>333</v>
      </c>
      <c r="E98" t="s">
        <v>896</v>
      </c>
      <c r="F98" t="s">
        <v>141</v>
      </c>
      <c r="G98" t="s">
        <v>897</v>
      </c>
      <c r="H98" t="s">
        <v>898</v>
      </c>
    </row>
    <row r="99" spans="1:8" x14ac:dyDescent="0.25">
      <c r="A99" t="s">
        <v>899</v>
      </c>
      <c r="C99" t="s">
        <v>336</v>
      </c>
      <c r="D99" t="s">
        <v>337</v>
      </c>
      <c r="E99" t="s">
        <v>900</v>
      </c>
      <c r="F99" t="s">
        <v>901</v>
      </c>
      <c r="G99" t="s">
        <v>902</v>
      </c>
      <c r="H99" t="s">
        <v>903</v>
      </c>
    </row>
    <row r="100" spans="1:8" x14ac:dyDescent="0.25">
      <c r="A100" t="s">
        <v>904</v>
      </c>
      <c r="C100" t="s">
        <v>339</v>
      </c>
      <c r="D100" t="s">
        <v>340</v>
      </c>
      <c r="E100" t="s">
        <v>905</v>
      </c>
      <c r="F100" t="s">
        <v>357</v>
      </c>
      <c r="G100" t="s">
        <v>358</v>
      </c>
      <c r="H100" t="s">
        <v>906</v>
      </c>
    </row>
    <row r="101" spans="3:8" x14ac:dyDescent="0.25">
      <c r="C101" t="s">
        <v>341</v>
      </c>
      <c r="D101" t="s">
        <v>342</v>
      </c>
      <c r="E101" t="s">
        <v>907</v>
      </c>
      <c r="F101" t="s">
        <v>447</v>
      </c>
      <c r="G101" t="s">
        <v>908</v>
      </c>
      <c r="H101" t="s">
        <v>909</v>
      </c>
    </row>
    <row r="102" spans="3:8" x14ac:dyDescent="0.25">
      <c r="C102" t="s">
        <v>343</v>
      </c>
      <c r="D102" t="s">
        <v>344</v>
      </c>
      <c r="E102" t="s">
        <v>910</v>
      </c>
      <c r="F102" t="s">
        <v>911</v>
      </c>
      <c r="G102" t="s">
        <v>912</v>
      </c>
      <c r="H102" t="s">
        <v>913</v>
      </c>
    </row>
    <row r="103" spans="3:8" x14ac:dyDescent="0.25">
      <c r="C103" t="s">
        <v>345</v>
      </c>
      <c r="D103" t="s">
        <v>346</v>
      </c>
      <c r="E103" t="s">
        <v>914</v>
      </c>
      <c r="F103" t="s">
        <v>442</v>
      </c>
      <c r="G103" t="s">
        <v>915</v>
      </c>
      <c r="H103" t="s">
        <v>916</v>
      </c>
    </row>
    <row r="104" spans="3:8" x14ac:dyDescent="0.25">
      <c r="C104" t="s">
        <v>347</v>
      </c>
      <c r="D104" t="s">
        <v>348</v>
      </c>
      <c r="E104" t="s">
        <v>917</v>
      </c>
      <c r="F104" t="s">
        <v>918</v>
      </c>
      <c r="G104" t="s">
        <v>392</v>
      </c>
      <c r="H104" t="s">
        <v>919</v>
      </c>
    </row>
    <row r="105" spans="3:8" x14ac:dyDescent="0.25">
      <c r="C105" t="s">
        <v>350</v>
      </c>
      <c r="D105" t="s">
        <v>351</v>
      </c>
      <c r="E105" t="s">
        <v>920</v>
      </c>
      <c r="F105" t="s">
        <v>921</v>
      </c>
      <c r="G105" t="s">
        <v>922</v>
      </c>
      <c r="H105" t="s">
        <v>923</v>
      </c>
    </row>
    <row r="106" spans="3:8" x14ac:dyDescent="0.25">
      <c r="C106" t="s">
        <v>355</v>
      </c>
      <c r="D106" t="s">
        <v>356</v>
      </c>
      <c r="E106" t="s">
        <v>924</v>
      </c>
      <c r="F106" t="s">
        <v>925</v>
      </c>
      <c r="G106" t="s">
        <v>926</v>
      </c>
      <c r="H106" t="s">
        <v>927</v>
      </c>
    </row>
    <row r="107" spans="3:8" x14ac:dyDescent="0.25">
      <c r="C107" t="s">
        <v>362</v>
      </c>
      <c r="D107" t="s">
        <v>363</v>
      </c>
      <c r="E107" t="s">
        <v>928</v>
      </c>
      <c r="F107" t="s">
        <v>150</v>
      </c>
      <c r="G107" t="s">
        <v>929</v>
      </c>
      <c r="H107" t="s">
        <v>930</v>
      </c>
    </row>
    <row r="108" spans="3:8" x14ac:dyDescent="0.25">
      <c r="C108" t="s">
        <v>364</v>
      </c>
      <c r="D108" t="s">
        <v>365</v>
      </c>
      <c r="E108" t="s">
        <v>931</v>
      </c>
      <c r="F108" t="s">
        <v>157</v>
      </c>
      <c r="G108" t="s">
        <v>932</v>
      </c>
      <c r="H108" t="s">
        <v>933</v>
      </c>
    </row>
    <row r="109" spans="3:8" x14ac:dyDescent="0.25">
      <c r="C109" t="s">
        <v>367</v>
      </c>
      <c r="D109" t="s">
        <v>368</v>
      </c>
      <c r="E109" t="s">
        <v>934</v>
      </c>
      <c r="F109" t="s">
        <v>258</v>
      </c>
      <c r="G109" t="s">
        <v>935</v>
      </c>
      <c r="H109" t="s">
        <v>936</v>
      </c>
    </row>
    <row r="110" spans="3:8" x14ac:dyDescent="0.25">
      <c r="C110" t="s">
        <v>371</v>
      </c>
      <c r="D110" t="s">
        <v>372</v>
      </c>
      <c r="E110" t="s">
        <v>937</v>
      </c>
      <c r="F110" t="s">
        <v>306</v>
      </c>
      <c r="G110" t="s">
        <v>938</v>
      </c>
      <c r="H110" t="s">
        <v>939</v>
      </c>
    </row>
    <row r="111" spans="3:8" x14ac:dyDescent="0.25">
      <c r="C111" t="s">
        <v>373</v>
      </c>
      <c r="D111" t="s">
        <v>374</v>
      </c>
      <c r="E111" t="s">
        <v>940</v>
      </c>
      <c r="F111" t="s">
        <v>75</v>
      </c>
      <c r="G111" t="s">
        <v>941</v>
      </c>
      <c r="H111" t="s">
        <v>942</v>
      </c>
    </row>
    <row r="112" spans="3:8" x14ac:dyDescent="0.25">
      <c r="C112" t="s">
        <v>379</v>
      </c>
      <c r="D112" t="s">
        <v>380</v>
      </c>
      <c r="E112" t="s">
        <v>943</v>
      </c>
      <c r="F112" t="s">
        <v>944</v>
      </c>
      <c r="G112" t="s">
        <v>945</v>
      </c>
      <c r="H112" t="s">
        <v>946</v>
      </c>
    </row>
    <row r="113" spans="3:8" x14ac:dyDescent="0.25">
      <c r="C113" t="s">
        <v>396</v>
      </c>
      <c r="D113" t="s">
        <v>397</v>
      </c>
      <c r="E113" t="s">
        <v>947</v>
      </c>
      <c r="F113" t="s">
        <v>387</v>
      </c>
      <c r="G113" t="s">
        <v>948</v>
      </c>
      <c r="H113" t="s">
        <v>949</v>
      </c>
    </row>
    <row r="114" spans="3:8" x14ac:dyDescent="0.25">
      <c r="C114" t="s">
        <v>398</v>
      </c>
      <c r="D114" t="s">
        <v>399</v>
      </c>
      <c r="E114" t="s">
        <v>950</v>
      </c>
      <c r="F114" t="s">
        <v>86</v>
      </c>
      <c r="G114" t="s">
        <v>951</v>
      </c>
      <c r="H114" t="s">
        <v>952</v>
      </c>
    </row>
    <row r="115" spans="3:8" x14ac:dyDescent="0.25">
      <c r="C115" t="s">
        <v>404</v>
      </c>
      <c r="D115" t="s">
        <v>405</v>
      </c>
      <c r="E115" t="s">
        <v>953</v>
      </c>
      <c r="F115" t="s">
        <v>384</v>
      </c>
      <c r="G115" t="s">
        <v>954</v>
      </c>
      <c r="H115" t="s">
        <v>955</v>
      </c>
    </row>
    <row r="116" spans="3:8" x14ac:dyDescent="0.25">
      <c r="C116" t="s">
        <v>411</v>
      </c>
      <c r="D116" t="s">
        <v>412</v>
      </c>
      <c r="E116" t="s">
        <v>956</v>
      </c>
      <c r="F116" t="s">
        <v>957</v>
      </c>
      <c r="G116" t="s">
        <v>958</v>
      </c>
      <c r="H116" t="s">
        <v>959</v>
      </c>
    </row>
    <row r="117" spans="3:8" x14ac:dyDescent="0.25">
      <c r="C117" t="s">
        <v>413</v>
      </c>
      <c r="D117" t="s">
        <v>414</v>
      </c>
      <c r="E117" t="s">
        <v>960</v>
      </c>
      <c r="F117" t="s">
        <v>961</v>
      </c>
      <c r="G117" t="s">
        <v>962</v>
      </c>
      <c r="H117" t="s">
        <v>963</v>
      </c>
    </row>
    <row r="118" spans="3:8" x14ac:dyDescent="0.25">
      <c r="C118" t="s">
        <v>415</v>
      </c>
      <c r="D118" t="s">
        <v>416</v>
      </c>
      <c r="E118" t="s">
        <v>964</v>
      </c>
      <c r="F118" t="s">
        <v>93</v>
      </c>
      <c r="G118" t="s">
        <v>466</v>
      </c>
      <c r="H118" t="s">
        <v>965</v>
      </c>
    </row>
    <row r="119" spans="3:8" x14ac:dyDescent="0.25">
      <c r="C119" t="s">
        <v>418</v>
      </c>
      <c r="D119" t="s">
        <v>419</v>
      </c>
      <c r="E119" t="s">
        <v>966</v>
      </c>
      <c r="F119" t="s">
        <v>967</v>
      </c>
      <c r="G119" t="s">
        <v>968</v>
      </c>
      <c r="H119" t="s">
        <v>969</v>
      </c>
    </row>
    <row r="120" spans="3:8" x14ac:dyDescent="0.25">
      <c r="C120" t="s">
        <v>424</v>
      </c>
      <c r="D120" t="s">
        <v>425</v>
      </c>
      <c r="E120" t="s">
        <v>970</v>
      </c>
      <c r="F120" t="s">
        <v>971</v>
      </c>
      <c r="G120" t="s">
        <v>972</v>
      </c>
      <c r="H120" t="s">
        <v>973</v>
      </c>
    </row>
    <row r="121" spans="3:8" x14ac:dyDescent="0.25">
      <c r="C121" t="s">
        <v>426</v>
      </c>
      <c r="D121" t="s">
        <v>427</v>
      </c>
      <c r="E121" t="s">
        <v>974</v>
      </c>
      <c r="F121" t="s">
        <v>975</v>
      </c>
      <c r="G121" t="s">
        <v>976</v>
      </c>
      <c r="H121" t="s">
        <v>977</v>
      </c>
    </row>
    <row r="122" spans="3:8" x14ac:dyDescent="0.25">
      <c r="C122" t="s">
        <v>430</v>
      </c>
      <c r="D122" t="s">
        <v>431</v>
      </c>
      <c r="E122" t="s">
        <v>978</v>
      </c>
      <c r="F122" t="s">
        <v>979</v>
      </c>
      <c r="G122" t="s">
        <v>980</v>
      </c>
      <c r="H122" t="s">
        <v>981</v>
      </c>
    </row>
    <row r="123" spans="3:8" x14ac:dyDescent="0.25">
      <c r="C123" t="s">
        <v>435</v>
      </c>
      <c r="D123" t="s">
        <v>436</v>
      </c>
      <c r="E123" t="s">
        <v>982</v>
      </c>
      <c r="F123" t="s">
        <v>983</v>
      </c>
      <c r="G123" t="s">
        <v>984</v>
      </c>
      <c r="H123" t="s">
        <v>985</v>
      </c>
    </row>
    <row r="124" spans="3:8" x14ac:dyDescent="0.25">
      <c r="C124" t="s">
        <v>437</v>
      </c>
      <c r="D124" t="s">
        <v>438</v>
      </c>
      <c r="E124" t="s">
        <v>986</v>
      </c>
      <c r="F124" t="s">
        <v>987</v>
      </c>
      <c r="G124" t="s">
        <v>988</v>
      </c>
      <c r="H124" t="s">
        <v>989</v>
      </c>
    </row>
    <row r="125" spans="3:8" x14ac:dyDescent="0.25">
      <c r="C125" t="s">
        <v>440</v>
      </c>
      <c r="D125" t="s">
        <v>441</v>
      </c>
      <c r="E125" t="s">
        <v>990</v>
      </c>
      <c r="F125" t="s">
        <v>991</v>
      </c>
      <c r="G125" t="s">
        <v>456</v>
      </c>
      <c r="H125" t="s">
        <v>992</v>
      </c>
    </row>
    <row r="126" spans="3:8" x14ac:dyDescent="0.25">
      <c r="C126" t="s">
        <v>445</v>
      </c>
      <c r="D126" t="s">
        <v>446</v>
      </c>
      <c r="E126" t="s">
        <v>993</v>
      </c>
      <c r="F126" t="s">
        <v>994</v>
      </c>
      <c r="G126" t="s">
        <v>995</v>
      </c>
      <c r="H126" t="s">
        <v>996</v>
      </c>
    </row>
    <row r="127" spans="3:8" x14ac:dyDescent="0.25">
      <c r="C127" t="s">
        <v>450</v>
      </c>
      <c r="D127" t="s">
        <v>451</v>
      </c>
      <c r="E127" t="s">
        <v>997</v>
      </c>
      <c r="F127" t="s">
        <v>998</v>
      </c>
      <c r="G127" t="s">
        <v>793</v>
      </c>
      <c r="H127" t="s">
        <v>999</v>
      </c>
    </row>
    <row r="128" spans="3:8" x14ac:dyDescent="0.25">
      <c r="C128" t="s">
        <v>457</v>
      </c>
      <c r="D128" t="s">
        <v>458</v>
      </c>
      <c r="E128" t="s">
        <v>1000</v>
      </c>
      <c r="F128" t="s">
        <v>1001</v>
      </c>
      <c r="G128" t="s">
        <v>1002</v>
      </c>
      <c r="H128" t="s">
        <v>1003</v>
      </c>
    </row>
    <row r="129" spans="3:8" x14ac:dyDescent="0.25">
      <c r="C129" t="s">
        <v>1004</v>
      </c>
      <c r="D129" t="s">
        <v>1005</v>
      </c>
      <c r="E129" t="s">
        <v>1006</v>
      </c>
      <c r="F129" t="s">
        <v>1007</v>
      </c>
      <c r="G129" t="s">
        <v>1008</v>
      </c>
      <c r="H129" t="s">
        <v>1009</v>
      </c>
    </row>
    <row r="130" spans="3:8" x14ac:dyDescent="0.25">
      <c r="C130" t="s">
        <v>1010</v>
      </c>
      <c r="D130" t="s">
        <v>1011</v>
      </c>
      <c r="E130" t="s">
        <v>1012</v>
      </c>
      <c r="F130" t="s">
        <v>1013</v>
      </c>
      <c r="G130" t="s">
        <v>1014</v>
      </c>
      <c r="H130" t="s">
        <v>1015</v>
      </c>
    </row>
    <row r="131" spans="3:8" x14ac:dyDescent="0.25">
      <c r="C131" t="s">
        <v>1016</v>
      </c>
      <c r="D131" t="s">
        <v>1017</v>
      </c>
      <c r="E131" t="s">
        <v>1018</v>
      </c>
      <c r="F131" t="s">
        <v>1019</v>
      </c>
      <c r="G131" t="s">
        <v>1020</v>
      </c>
      <c r="H131" t="s">
        <v>1021</v>
      </c>
    </row>
    <row r="132" spans="3:8" x14ac:dyDescent="0.25">
      <c r="C132" t="s">
        <v>1022</v>
      </c>
      <c r="D132" t="s">
        <v>1023</v>
      </c>
      <c r="E132" t="s">
        <v>1024</v>
      </c>
      <c r="F132" t="s">
        <v>1025</v>
      </c>
      <c r="G132" t="s">
        <v>1026</v>
      </c>
      <c r="H132" t="s">
        <v>1027</v>
      </c>
    </row>
    <row r="133" spans="3:8" x14ac:dyDescent="0.25">
      <c r="C133" t="s">
        <v>1028</v>
      </c>
      <c r="D133" t="s">
        <v>1029</v>
      </c>
      <c r="E133" t="s">
        <v>1030</v>
      </c>
      <c r="F133" t="s">
        <v>1031</v>
      </c>
      <c r="G133" t="s">
        <v>1032</v>
      </c>
      <c r="H133" t="s">
        <v>1033</v>
      </c>
    </row>
    <row r="134" spans="3:8" x14ac:dyDescent="0.25">
      <c r="C134" t="s">
        <v>1034</v>
      </c>
      <c r="D134" t="s">
        <v>1035</v>
      </c>
      <c r="E134" t="s">
        <v>1036</v>
      </c>
      <c r="F134" t="s">
        <v>1037</v>
      </c>
      <c r="G134" t="s">
        <v>1038</v>
      </c>
      <c r="H134" t="s">
        <v>1039</v>
      </c>
    </row>
    <row r="135" spans="3:8" x14ac:dyDescent="0.25">
      <c r="C135" t="s">
        <v>1040</v>
      </c>
      <c r="D135" t="s">
        <v>1041</v>
      </c>
      <c r="E135" t="s">
        <v>1042</v>
      </c>
      <c r="F135" t="s">
        <v>1043</v>
      </c>
      <c r="G135" t="s">
        <v>1044</v>
      </c>
      <c r="H135" t="s">
        <v>1045</v>
      </c>
    </row>
    <row r="136" spans="3:8" x14ac:dyDescent="0.25">
      <c r="C136" t="s">
        <v>1046</v>
      </c>
      <c r="D136" t="s">
        <v>1047</v>
      </c>
      <c r="E136" t="s">
        <v>1048</v>
      </c>
      <c r="F136" t="s">
        <v>1049</v>
      </c>
      <c r="G136" t="s">
        <v>1050</v>
      </c>
      <c r="H136" t="s">
        <v>1051</v>
      </c>
    </row>
    <row r="137" spans="3:8" x14ac:dyDescent="0.25">
      <c r="C137" t="s">
        <v>1052</v>
      </c>
      <c r="D137" t="s">
        <v>1053</v>
      </c>
      <c r="E137" t="s">
        <v>1054</v>
      </c>
      <c r="F137" t="s">
        <v>1055</v>
      </c>
      <c r="G137" t="s">
        <v>1056</v>
      </c>
      <c r="H137" t="s">
        <v>1057</v>
      </c>
    </row>
    <row r="138" spans="3:8" x14ac:dyDescent="0.25">
      <c r="C138" t="s">
        <v>1058</v>
      </c>
      <c r="D138" t="s">
        <v>1059</v>
      </c>
      <c r="E138" t="s">
        <v>1060</v>
      </c>
      <c r="F138" t="s">
        <v>452</v>
      </c>
      <c r="G138" t="s">
        <v>1061</v>
      </c>
      <c r="H138" t="s">
        <v>1062</v>
      </c>
    </row>
    <row r="139" spans="6:8" x14ac:dyDescent="0.25">
      <c r="F139" t="s">
        <v>1063</v>
      </c>
      <c r="G139" t="s">
        <v>1064</v>
      </c>
      <c r="H139" t="s">
        <v>1065</v>
      </c>
    </row>
    <row r="140" spans="6:8" x14ac:dyDescent="0.25">
      <c r="F140" t="s">
        <v>1066</v>
      </c>
      <c r="G140" t="s">
        <v>1067</v>
      </c>
      <c r="H140" t="s">
        <v>1068</v>
      </c>
    </row>
    <row r="141" spans="6:8" x14ac:dyDescent="0.25">
      <c r="F141" t="s">
        <v>1069</v>
      </c>
      <c r="G141" t="s">
        <v>456</v>
      </c>
      <c r="H141" t="s">
        <v>1070</v>
      </c>
    </row>
    <row r="142" spans="6:8" x14ac:dyDescent="0.25">
      <c r="F142" t="s">
        <v>1071</v>
      </c>
      <c r="G142" t="s">
        <v>1072</v>
      </c>
      <c r="H142" t="s">
        <v>1073</v>
      </c>
    </row>
    <row r="143" spans="6:8" x14ac:dyDescent="0.25">
      <c r="F143" t="s">
        <v>462</v>
      </c>
      <c r="G143" t="s">
        <v>463</v>
      </c>
      <c r="H143" t="s">
        <v>1074</v>
      </c>
    </row>
    <row r="144" spans="6:8" x14ac:dyDescent="0.25">
      <c r="F144" t="s">
        <v>1075</v>
      </c>
      <c r="G144" t="s">
        <v>1076</v>
      </c>
      <c r="H144" t="s">
        <v>1077</v>
      </c>
    </row>
    <row r="145" spans="6:8" x14ac:dyDescent="0.25">
      <c r="F145" t="s">
        <v>1078</v>
      </c>
      <c r="G145" t="s">
        <v>1079</v>
      </c>
      <c r="H145" t="s">
        <v>1080</v>
      </c>
    </row>
    <row r="146" spans="6:8" x14ac:dyDescent="0.25">
      <c r="F146" t="s">
        <v>1081</v>
      </c>
      <c r="G146" t="s">
        <v>1082</v>
      </c>
      <c r="H146" t="s">
        <v>1083</v>
      </c>
    </row>
    <row r="147" spans="6:8" x14ac:dyDescent="0.25">
      <c r="F147" t="s">
        <v>1084</v>
      </c>
      <c r="G147" t="s">
        <v>1085</v>
      </c>
      <c r="H147" t="s">
        <v>1086</v>
      </c>
    </row>
    <row r="148" spans="6:8" x14ac:dyDescent="0.25">
      <c r="F148" t="s">
        <v>1087</v>
      </c>
      <c r="G148" t="s">
        <v>1088</v>
      </c>
      <c r="H148" t="s">
        <v>1089</v>
      </c>
    </row>
    <row r="149" spans="6:8" x14ac:dyDescent="0.25">
      <c r="F149" t="s">
        <v>1090</v>
      </c>
      <c r="G149" t="s">
        <v>1091</v>
      </c>
      <c r="H149" t="s">
        <v>1092</v>
      </c>
    </row>
    <row r="150" spans="6:8" x14ac:dyDescent="0.25">
      <c r="F150" t="s">
        <v>1093</v>
      </c>
      <c r="G150" t="s">
        <v>555</v>
      </c>
      <c r="H150" t="s">
        <v>1094</v>
      </c>
    </row>
    <row r="151" spans="6:8" x14ac:dyDescent="0.25">
      <c r="F151" t="s">
        <v>1095</v>
      </c>
      <c r="G151" t="s">
        <v>1096</v>
      </c>
      <c r="H151" t="s">
        <v>1097</v>
      </c>
    </row>
    <row r="152" spans="6:8" x14ac:dyDescent="0.25">
      <c r="F152" t="s">
        <v>1098</v>
      </c>
      <c r="G152" t="s">
        <v>1099</v>
      </c>
      <c r="H152" t="s">
        <v>1100</v>
      </c>
    </row>
    <row r="153" spans="6:8" x14ac:dyDescent="0.25">
      <c r="F153" t="s">
        <v>1101</v>
      </c>
      <c r="G153" t="s">
        <v>1102</v>
      </c>
      <c r="H153" t="s">
        <v>1103</v>
      </c>
    </row>
    <row r="154" spans="6:8" x14ac:dyDescent="0.25">
      <c r="F154" t="s">
        <v>1104</v>
      </c>
      <c r="G154" t="s">
        <v>1105</v>
      </c>
      <c r="H154" t="s">
        <v>1106</v>
      </c>
    </row>
    <row r="155" spans="6:8" x14ac:dyDescent="0.25">
      <c r="F155" t="s">
        <v>1107</v>
      </c>
      <c r="G155" t="s">
        <v>1108</v>
      </c>
      <c r="H155" t="s">
        <v>1109</v>
      </c>
    </row>
    <row r="156" spans="6:8" x14ac:dyDescent="0.25">
      <c r="F156" t="s">
        <v>1110</v>
      </c>
      <c r="G156" t="s">
        <v>1111</v>
      </c>
      <c r="H156" t="s">
        <v>1112</v>
      </c>
    </row>
    <row r="157" spans="6:8" x14ac:dyDescent="0.25">
      <c r="F157" t="s">
        <v>1113</v>
      </c>
      <c r="G157" t="s">
        <v>1114</v>
      </c>
      <c r="H157" t="s">
        <v>1115</v>
      </c>
    </row>
    <row r="158" spans="6:8" x14ac:dyDescent="0.25">
      <c r="F158" t="s">
        <v>1116</v>
      </c>
      <c r="G158" t="s">
        <v>1117</v>
      </c>
      <c r="H158" t="s">
        <v>1118</v>
      </c>
    </row>
    <row r="159" spans="6:8" x14ac:dyDescent="0.25">
      <c r="F159" t="s">
        <v>1119</v>
      </c>
      <c r="G159" t="s">
        <v>1120</v>
      </c>
      <c r="H159" t="s">
        <v>1121</v>
      </c>
    </row>
    <row r="160" spans="6:8" x14ac:dyDescent="0.25">
      <c r="F160" t="s">
        <v>1122</v>
      </c>
      <c r="G160" t="s">
        <v>1123</v>
      </c>
      <c r="H160" t="s">
        <v>1124</v>
      </c>
    </row>
    <row r="161" spans="6:8" x14ac:dyDescent="0.25">
      <c r="F161" t="s">
        <v>1125</v>
      </c>
      <c r="G161" t="s">
        <v>1126</v>
      </c>
      <c r="H161" t="s">
        <v>1127</v>
      </c>
    </row>
    <row r="162" spans="6:8" x14ac:dyDescent="0.25">
      <c r="F162" t="s">
        <v>1128</v>
      </c>
      <c r="G162" t="s">
        <v>1129</v>
      </c>
      <c r="H162" t="s">
        <v>1130</v>
      </c>
    </row>
    <row r="163" spans="6:8" x14ac:dyDescent="0.25">
      <c r="F163" t="s">
        <v>1131</v>
      </c>
      <c r="G163" t="s">
        <v>1132</v>
      </c>
      <c r="H163" t="s">
        <v>1133</v>
      </c>
    </row>
    <row r="164" spans="6:8" x14ac:dyDescent="0.25">
      <c r="F164" t="s">
        <v>1134</v>
      </c>
      <c r="G164" t="s">
        <v>1135</v>
      </c>
      <c r="H164" t="s">
        <v>1136</v>
      </c>
    </row>
    <row r="165" spans="6:8" x14ac:dyDescent="0.25">
      <c r="F165" t="s">
        <v>1137</v>
      </c>
      <c r="G165" t="s">
        <v>1138</v>
      </c>
      <c r="H165" t="s">
        <v>1139</v>
      </c>
    </row>
    <row r="166" spans="6:8" x14ac:dyDescent="0.25">
      <c r="F166" t="s">
        <v>1140</v>
      </c>
      <c r="G166" t="s">
        <v>1141</v>
      </c>
      <c r="H166" t="s">
        <v>1142</v>
      </c>
    </row>
    <row r="167" spans="6:8" x14ac:dyDescent="0.25">
      <c r="F167" t="s">
        <v>1143</v>
      </c>
      <c r="G167" t="s">
        <v>1144</v>
      </c>
      <c r="H167" t="s">
        <v>1145</v>
      </c>
    </row>
    <row r="168" spans="6:8" x14ac:dyDescent="0.25">
      <c r="F168" t="s">
        <v>1146</v>
      </c>
      <c r="G168" t="s">
        <v>1147</v>
      </c>
      <c r="H168" t="s">
        <v>1148</v>
      </c>
    </row>
    <row r="169" spans="6:8" x14ac:dyDescent="0.25">
      <c r="F169" t="s">
        <v>1149</v>
      </c>
      <c r="G169" t="s">
        <v>1150</v>
      </c>
      <c r="H169" t="s">
        <v>1151</v>
      </c>
    </row>
    <row r="170" spans="6:8" x14ac:dyDescent="0.25">
      <c r="F170" t="s">
        <v>1152</v>
      </c>
      <c r="G170" t="s">
        <v>1067</v>
      </c>
      <c r="H170" t="s">
        <v>1153</v>
      </c>
    </row>
    <row r="171" spans="6:8" x14ac:dyDescent="0.25">
      <c r="F171" t="s">
        <v>1154</v>
      </c>
      <c r="G171" t="s">
        <v>1155</v>
      </c>
      <c r="H171" t="s">
        <v>1156</v>
      </c>
    </row>
    <row r="172" spans="6:8" x14ac:dyDescent="0.25">
      <c r="F172" t="s">
        <v>1157</v>
      </c>
      <c r="G172" t="s">
        <v>1158</v>
      </c>
      <c r="H172" t="s">
        <v>1159</v>
      </c>
    </row>
    <row r="173" spans="6:8" x14ac:dyDescent="0.25">
      <c r="F173" t="s">
        <v>1160</v>
      </c>
      <c r="G173" t="s">
        <v>1161</v>
      </c>
      <c r="H173" t="s">
        <v>1162</v>
      </c>
    </row>
    <row r="174" spans="6:8" x14ac:dyDescent="0.25">
      <c r="F174" t="s">
        <v>1163</v>
      </c>
      <c r="G174" t="s">
        <v>1164</v>
      </c>
      <c r="H174" t="s">
        <v>1165</v>
      </c>
    </row>
    <row r="175" spans="6:8" x14ac:dyDescent="0.25">
      <c r="F175" t="s">
        <v>1166</v>
      </c>
      <c r="G175" t="s">
        <v>1167</v>
      </c>
      <c r="H175" t="s">
        <v>1168</v>
      </c>
    </row>
    <row r="176" spans="6:8" x14ac:dyDescent="0.25">
      <c r="F176" t="s">
        <v>1169</v>
      </c>
      <c r="G176" t="s">
        <v>1170</v>
      </c>
      <c r="H176" t="s">
        <v>1171</v>
      </c>
    </row>
    <row r="177" spans="6:8" x14ac:dyDescent="0.25">
      <c r="F177" t="s">
        <v>1172</v>
      </c>
      <c r="G177" t="s">
        <v>1173</v>
      </c>
      <c r="H177" t="s">
        <v>1174</v>
      </c>
    </row>
    <row r="178" spans="6:8" x14ac:dyDescent="0.25">
      <c r="F178" t="s">
        <v>1175</v>
      </c>
      <c r="G178" t="s">
        <v>1176</v>
      </c>
      <c r="H178" t="s">
        <v>1177</v>
      </c>
    </row>
    <row r="179" spans="6:8" x14ac:dyDescent="0.25">
      <c r="F179" t="s">
        <v>1178</v>
      </c>
      <c r="G179" t="s">
        <v>1179</v>
      </c>
      <c r="H179" t="s">
        <v>1180</v>
      </c>
    </row>
    <row r="180" spans="6:8" x14ac:dyDescent="0.25">
      <c r="F180" t="s">
        <v>1181</v>
      </c>
      <c r="G180" t="s">
        <v>1182</v>
      </c>
      <c r="H180" t="s">
        <v>1183</v>
      </c>
    </row>
    <row r="181" spans="6:8" x14ac:dyDescent="0.25">
      <c r="F181" t="s">
        <v>1184</v>
      </c>
      <c r="G181" t="s">
        <v>1185</v>
      </c>
      <c r="H181" t="s">
        <v>1186</v>
      </c>
    </row>
    <row r="182" spans="6:8" x14ac:dyDescent="0.25">
      <c r="F182" t="s">
        <v>1187</v>
      </c>
      <c r="G182" t="s">
        <v>1188</v>
      </c>
      <c r="H182" t="s">
        <v>1189</v>
      </c>
    </row>
    <row r="183" spans="6:8" x14ac:dyDescent="0.25">
      <c r="F183" t="s">
        <v>1190</v>
      </c>
      <c r="G183" t="s">
        <v>1191</v>
      </c>
      <c r="H183" t="s">
        <v>1192</v>
      </c>
    </row>
    <row r="184" spans="6:8" x14ac:dyDescent="0.25">
      <c r="F184" t="s">
        <v>1193</v>
      </c>
      <c r="G184" t="s">
        <v>1194</v>
      </c>
      <c r="H184" t="s">
        <v>1195</v>
      </c>
    </row>
    <row r="185" spans="6:8" x14ac:dyDescent="0.25">
      <c r="F185" t="s">
        <v>1196</v>
      </c>
      <c r="G185" t="s">
        <v>1197</v>
      </c>
      <c r="H185" t="s">
        <v>1198</v>
      </c>
    </row>
    <row r="186" spans="6:8" x14ac:dyDescent="0.25">
      <c r="F186" t="s">
        <v>1199</v>
      </c>
      <c r="G186" t="s">
        <v>1200</v>
      </c>
      <c r="H186" t="s">
        <v>1201</v>
      </c>
    </row>
    <row r="187" spans="6:8" x14ac:dyDescent="0.25">
      <c r="F187" t="s">
        <v>1202</v>
      </c>
      <c r="G187" t="s">
        <v>1203</v>
      </c>
      <c r="H187" t="s">
        <v>1204</v>
      </c>
    </row>
    <row r="188" spans="6:8" x14ac:dyDescent="0.25">
      <c r="F188" t="s">
        <v>1205</v>
      </c>
      <c r="G188" t="s">
        <v>1206</v>
      </c>
      <c r="H188" t="s">
        <v>1207</v>
      </c>
    </row>
    <row r="189" spans="6:8" x14ac:dyDescent="0.25">
      <c r="F189" t="s">
        <v>1208</v>
      </c>
      <c r="G189" t="s">
        <v>1209</v>
      </c>
      <c r="H189" t="s">
        <v>1210</v>
      </c>
    </row>
    <row r="190" spans="6:8" x14ac:dyDescent="0.25">
      <c r="F190" t="s">
        <v>1211</v>
      </c>
      <c r="G190" t="s">
        <v>1212</v>
      </c>
      <c r="H190" t="s">
        <v>1213</v>
      </c>
    </row>
    <row r="191" spans="6:8" x14ac:dyDescent="0.25">
      <c r="F191" t="s">
        <v>1214</v>
      </c>
      <c r="G191" t="s">
        <v>1215</v>
      </c>
      <c r="H191" t="s">
        <v>1216</v>
      </c>
    </row>
    <row r="192" spans="6:8" x14ac:dyDescent="0.25">
      <c r="F192" t="s">
        <v>1217</v>
      </c>
      <c r="G192" t="s">
        <v>1218</v>
      </c>
      <c r="H192" t="s">
        <v>1219</v>
      </c>
    </row>
    <row r="193" spans="6:8" x14ac:dyDescent="0.25">
      <c r="F193" t="s">
        <v>1220</v>
      </c>
      <c r="G193" t="s">
        <v>1221</v>
      </c>
      <c r="H193" t="s">
        <v>1222</v>
      </c>
    </row>
    <row r="194" spans="6:8" x14ac:dyDescent="0.25">
      <c r="F194" t="s">
        <v>1223</v>
      </c>
      <c r="G194" t="s">
        <v>1224</v>
      </c>
      <c r="H194" t="s">
        <v>1225</v>
      </c>
    </row>
    <row r="195" spans="6:8" x14ac:dyDescent="0.25">
      <c r="F195" t="s">
        <v>1226</v>
      </c>
      <c r="G195" t="s">
        <v>456</v>
      </c>
      <c r="H195" t="s">
        <v>1227</v>
      </c>
    </row>
    <row r="196" spans="6:8" x14ac:dyDescent="0.25">
      <c r="F196" t="s">
        <v>1228</v>
      </c>
      <c r="G196" t="s">
        <v>1229</v>
      </c>
      <c r="H196" t="s">
        <v>1230</v>
      </c>
    </row>
    <row r="197" spans="6:8" x14ac:dyDescent="0.25">
      <c r="F197" t="s">
        <v>1231</v>
      </c>
      <c r="G197" t="s">
        <v>1232</v>
      </c>
      <c r="H197" t="s">
        <v>1233</v>
      </c>
    </row>
    <row r="198" spans="6:8" x14ac:dyDescent="0.25">
      <c r="F198" t="s">
        <v>1234</v>
      </c>
      <c r="G198" t="s">
        <v>1235</v>
      </c>
      <c r="H198" t="s">
        <v>1236</v>
      </c>
    </row>
    <row r="199" spans="6:8" x14ac:dyDescent="0.25">
      <c r="F199" t="s">
        <v>1237</v>
      </c>
      <c r="G199" t="s">
        <v>1238</v>
      </c>
      <c r="H199" t="s">
        <v>1239</v>
      </c>
    </row>
    <row r="200" spans="6:8" x14ac:dyDescent="0.25">
      <c r="F200" t="s">
        <v>1240</v>
      </c>
      <c r="G200" t="s">
        <v>1241</v>
      </c>
      <c r="H200" t="s">
        <v>1242</v>
      </c>
    </row>
    <row r="201" spans="6:8" x14ac:dyDescent="0.25">
      <c r="F201" t="s">
        <v>1243</v>
      </c>
      <c r="G201" t="s">
        <v>1244</v>
      </c>
      <c r="H201" t="s">
        <v>1245</v>
      </c>
    </row>
    <row r="202" spans="6:8" x14ac:dyDescent="0.25">
      <c r="F202" t="s">
        <v>1246</v>
      </c>
      <c r="G202" t="s">
        <v>1247</v>
      </c>
      <c r="H202" t="s">
        <v>1248</v>
      </c>
    </row>
    <row r="203" spans="6:8" x14ac:dyDescent="0.25">
      <c r="F203" t="s">
        <v>1249</v>
      </c>
      <c r="G203" t="s">
        <v>1250</v>
      </c>
      <c r="H203" t="s">
        <v>1251</v>
      </c>
    </row>
    <row r="204" spans="6:8" x14ac:dyDescent="0.25">
      <c r="F204" t="s">
        <v>1252</v>
      </c>
      <c r="G204" t="s">
        <v>1253</v>
      </c>
      <c r="H204" t="s">
        <v>1254</v>
      </c>
    </row>
    <row r="205" spans="6:8" x14ac:dyDescent="0.25">
      <c r="F205" t="s">
        <v>1255</v>
      </c>
      <c r="G205" t="s">
        <v>1256</v>
      </c>
      <c r="H205" t="s">
        <v>1257</v>
      </c>
    </row>
    <row r="206" spans="6:8" x14ac:dyDescent="0.25">
      <c r="F206" t="s">
        <v>1258</v>
      </c>
      <c r="G206" t="s">
        <v>1259</v>
      </c>
      <c r="H206" t="s">
        <v>1260</v>
      </c>
    </row>
    <row r="207" spans="6:8" x14ac:dyDescent="0.25">
      <c r="F207" t="s">
        <v>1261</v>
      </c>
      <c r="G207" t="s">
        <v>1262</v>
      </c>
      <c r="H207" t="s">
        <v>1263</v>
      </c>
    </row>
    <row r="208" spans="6:8" x14ac:dyDescent="0.25">
      <c r="F208" t="s">
        <v>1264</v>
      </c>
      <c r="G208" t="s">
        <v>1265</v>
      </c>
      <c r="H208" t="s">
        <v>1266</v>
      </c>
    </row>
    <row r="209" spans="6:8" x14ac:dyDescent="0.25">
      <c r="F209" t="s">
        <v>1267</v>
      </c>
      <c r="G209" t="s">
        <v>1268</v>
      </c>
      <c r="H209" t="s">
        <v>1269</v>
      </c>
    </row>
    <row r="210" spans="6:8" x14ac:dyDescent="0.25">
      <c r="F210" t="s">
        <v>1270</v>
      </c>
      <c r="G210" t="s">
        <v>1271</v>
      </c>
      <c r="H210" t="s">
        <v>1272</v>
      </c>
    </row>
    <row r="211" spans="6:8" x14ac:dyDescent="0.25">
      <c r="F211" t="s">
        <v>1273</v>
      </c>
      <c r="G211" t="s">
        <v>1274</v>
      </c>
      <c r="H211" t="s">
        <v>1275</v>
      </c>
    </row>
    <row r="212" spans="6:8" x14ac:dyDescent="0.25">
      <c r="F212" t="s">
        <v>1276</v>
      </c>
      <c r="G212" t="s">
        <v>1277</v>
      </c>
      <c r="H212" t="s">
        <v>1278</v>
      </c>
    </row>
    <row r="213" spans="6:8" x14ac:dyDescent="0.25">
      <c r="F213" t="s">
        <v>1279</v>
      </c>
      <c r="G213" t="s">
        <v>1280</v>
      </c>
      <c r="H213" t="s">
        <v>1281</v>
      </c>
    </row>
    <row r="214" spans="6:8" x14ac:dyDescent="0.25">
      <c r="F214" t="s">
        <v>1282</v>
      </c>
      <c r="G214" t="s">
        <v>1283</v>
      </c>
      <c r="H214" t="s">
        <v>1284</v>
      </c>
    </row>
    <row r="215" spans="6:8" x14ac:dyDescent="0.25">
      <c r="F215" t="s">
        <v>1285</v>
      </c>
      <c r="G215" t="s">
        <v>1286</v>
      </c>
      <c r="H215" t="s">
        <v>1287</v>
      </c>
    </row>
    <row r="216" spans="6:8" x14ac:dyDescent="0.25">
      <c r="F216" t="s">
        <v>1288</v>
      </c>
      <c r="G216" t="s">
        <v>1289</v>
      </c>
      <c r="H216" t="s">
        <v>1290</v>
      </c>
    </row>
    <row r="217" spans="6:8" x14ac:dyDescent="0.25">
      <c r="F217" t="s">
        <v>1291</v>
      </c>
      <c r="G217" t="s">
        <v>1292</v>
      </c>
      <c r="H217" t="s">
        <v>1293</v>
      </c>
    </row>
    <row r="218" spans="6:8" x14ac:dyDescent="0.25">
      <c r="F218" t="s">
        <v>1294</v>
      </c>
      <c r="G218" t="s">
        <v>1295</v>
      </c>
      <c r="H218" t="s">
        <v>1296</v>
      </c>
    </row>
    <row r="219" spans="6:8" x14ac:dyDescent="0.25">
      <c r="F219" t="s">
        <v>1297</v>
      </c>
      <c r="G219" t="s">
        <v>1298</v>
      </c>
      <c r="H219" t="s">
        <v>1299</v>
      </c>
    </row>
    <row r="220" spans="6:8" x14ac:dyDescent="0.25">
      <c r="F220" t="s">
        <v>1300</v>
      </c>
      <c r="G220" t="s">
        <v>1301</v>
      </c>
      <c r="H220" t="s">
        <v>1302</v>
      </c>
    </row>
    <row r="221" spans="6:8" x14ac:dyDescent="0.25">
      <c r="F221" t="s">
        <v>1303</v>
      </c>
      <c r="G221" t="s">
        <v>1304</v>
      </c>
      <c r="H221" t="s">
        <v>1305</v>
      </c>
    </row>
    <row r="222" spans="6:8" x14ac:dyDescent="0.25">
      <c r="F222" t="s">
        <v>1306</v>
      </c>
      <c r="G222" t="s">
        <v>1307</v>
      </c>
      <c r="H222" t="s">
        <v>1308</v>
      </c>
    </row>
    <row r="223" spans="6:8" x14ac:dyDescent="0.25">
      <c r="F223" t="s">
        <v>1309</v>
      </c>
      <c r="G223" t="s">
        <v>1310</v>
      </c>
      <c r="H223" t="s">
        <v>1311</v>
      </c>
    </row>
    <row r="224" spans="6:8" x14ac:dyDescent="0.25">
      <c r="F224" t="s">
        <v>1312</v>
      </c>
      <c r="G224" t="s">
        <v>1313</v>
      </c>
      <c r="H224" t="s">
        <v>1314</v>
      </c>
    </row>
    <row r="225" spans="6:8" x14ac:dyDescent="0.25">
      <c r="F225" t="s">
        <v>1315</v>
      </c>
      <c r="G225" t="s">
        <v>1316</v>
      </c>
      <c r="H225" t="s">
        <v>1317</v>
      </c>
    </row>
    <row r="226" spans="6:8" x14ac:dyDescent="0.25">
      <c r="F226" t="s">
        <v>1318</v>
      </c>
      <c r="G226" t="s">
        <v>1319</v>
      </c>
      <c r="H226" t="s">
        <v>1320</v>
      </c>
    </row>
    <row r="227" spans="6:8" x14ac:dyDescent="0.25">
      <c r="F227" t="s">
        <v>1321</v>
      </c>
      <c r="G227" t="s">
        <v>1322</v>
      </c>
      <c r="H227" t="s">
        <v>1323</v>
      </c>
    </row>
    <row r="228" spans="6:8" x14ac:dyDescent="0.25">
      <c r="F228" t="s">
        <v>1324</v>
      </c>
      <c r="G228" t="s">
        <v>1325</v>
      </c>
      <c r="H228" t="s">
        <v>1326</v>
      </c>
    </row>
    <row r="229" spans="6:8" x14ac:dyDescent="0.25">
      <c r="F229" t="s">
        <v>1327</v>
      </c>
      <c r="G229" t="s">
        <v>1328</v>
      </c>
      <c r="H229" t="s">
        <v>1329</v>
      </c>
    </row>
    <row r="230" spans="6:8" x14ac:dyDescent="0.25">
      <c r="F230" t="s">
        <v>1330</v>
      </c>
      <c r="G230" t="s">
        <v>1331</v>
      </c>
      <c r="H230" t="s">
        <v>1332</v>
      </c>
    </row>
    <row r="231" spans="6:8" x14ac:dyDescent="0.25">
      <c r="F231" t="s">
        <v>1333</v>
      </c>
      <c r="G231" t="s">
        <v>1334</v>
      </c>
      <c r="H231" t="s">
        <v>1335</v>
      </c>
    </row>
    <row r="232" spans="6:8" x14ac:dyDescent="0.25">
      <c r="F232" t="s">
        <v>1336</v>
      </c>
      <c r="G232" t="s">
        <v>1337</v>
      </c>
      <c r="H232" t="s">
        <v>1338</v>
      </c>
    </row>
    <row r="233" spans="6:8" x14ac:dyDescent="0.25">
      <c r="F233" t="s">
        <v>1339</v>
      </c>
      <c r="G233" t="s">
        <v>1340</v>
      </c>
      <c r="H233" t="s">
        <v>1341</v>
      </c>
    </row>
    <row r="234" spans="6:8" x14ac:dyDescent="0.25">
      <c r="F234" t="s">
        <v>1342</v>
      </c>
      <c r="G234" t="s">
        <v>1343</v>
      </c>
      <c r="H234" t="s">
        <v>1344</v>
      </c>
    </row>
    <row r="235" spans="6:8" x14ac:dyDescent="0.25">
      <c r="F235" t="s">
        <v>1345</v>
      </c>
      <c r="G235" t="s">
        <v>1346</v>
      </c>
      <c r="H235" t="s">
        <v>1347</v>
      </c>
    </row>
    <row r="236" spans="6:8" x14ac:dyDescent="0.25">
      <c r="F236" t="s">
        <v>1348</v>
      </c>
      <c r="G236" t="s">
        <v>1349</v>
      </c>
      <c r="H236" t="s">
        <v>1350</v>
      </c>
    </row>
    <row r="237" spans="6:8" x14ac:dyDescent="0.25">
      <c r="F237" t="s">
        <v>1351</v>
      </c>
      <c r="G237" t="s">
        <v>1352</v>
      </c>
      <c r="H237" t="s">
        <v>1353</v>
      </c>
    </row>
    <row r="238" spans="6:8" x14ac:dyDescent="0.25">
      <c r="F238" t="s">
        <v>1354</v>
      </c>
      <c r="G238" t="s">
        <v>1355</v>
      </c>
      <c r="H238" t="s">
        <v>1356</v>
      </c>
    </row>
    <row r="239" spans="6:8" x14ac:dyDescent="0.25">
      <c r="F239" t="s">
        <v>1357</v>
      </c>
      <c r="G239" t="s">
        <v>1358</v>
      </c>
      <c r="H239" t="s">
        <v>1359</v>
      </c>
    </row>
    <row r="240" spans="6:8" x14ac:dyDescent="0.25">
      <c r="F240" t="s">
        <v>1360</v>
      </c>
      <c r="G240" t="s">
        <v>1361</v>
      </c>
      <c r="H240" t="s">
        <v>1362</v>
      </c>
    </row>
    <row r="241" spans="6:8" x14ac:dyDescent="0.25">
      <c r="F241" t="s">
        <v>1363</v>
      </c>
      <c r="G241" t="s">
        <v>1364</v>
      </c>
      <c r="H241" t="s">
        <v>1365</v>
      </c>
    </row>
    <row r="242" spans="6:8" x14ac:dyDescent="0.25">
      <c r="F242" t="s">
        <v>1366</v>
      </c>
      <c r="G242" t="s">
        <v>1367</v>
      </c>
      <c r="H242" t="s">
        <v>1368</v>
      </c>
    </row>
    <row r="243" spans="6:8" x14ac:dyDescent="0.25">
      <c r="F243" t="s">
        <v>1369</v>
      </c>
      <c r="G243" t="s">
        <v>1370</v>
      </c>
      <c r="H243" t="s">
        <v>1371</v>
      </c>
    </row>
    <row r="244" spans="6:8" x14ac:dyDescent="0.25">
      <c r="F244" t="s">
        <v>1372</v>
      </c>
      <c r="G244" t="s">
        <v>1373</v>
      </c>
      <c r="H244" t="s">
        <v>1374</v>
      </c>
    </row>
    <row r="245" spans="6:8" x14ac:dyDescent="0.25">
      <c r="F245" t="s">
        <v>1375</v>
      </c>
      <c r="G245" t="s">
        <v>1376</v>
      </c>
      <c r="H245" t="s">
        <v>1377</v>
      </c>
    </row>
    <row r="246" spans="6:8" x14ac:dyDescent="0.25">
      <c r="F246" t="s">
        <v>1378</v>
      </c>
      <c r="G246" t="s">
        <v>1379</v>
      </c>
      <c r="H246" t="s">
        <v>1380</v>
      </c>
    </row>
    <row r="247" spans="6:8" x14ac:dyDescent="0.25">
      <c r="F247" t="s">
        <v>1381</v>
      </c>
      <c r="G247" t="s">
        <v>1382</v>
      </c>
      <c r="H247" t="s">
        <v>1383</v>
      </c>
    </row>
    <row r="248" spans="6:8" x14ac:dyDescent="0.25">
      <c r="F248" t="s">
        <v>1384</v>
      </c>
      <c r="G248" t="s">
        <v>1385</v>
      </c>
      <c r="H248" t="s">
        <v>1386</v>
      </c>
    </row>
    <row r="249" spans="6:8" x14ac:dyDescent="0.25">
      <c r="F249" t="s">
        <v>1387</v>
      </c>
      <c r="G249" t="s">
        <v>1388</v>
      </c>
      <c r="H249" t="s">
        <v>1389</v>
      </c>
    </row>
    <row r="250" spans="6:8" x14ac:dyDescent="0.25">
      <c r="F250" t="s">
        <v>1390</v>
      </c>
      <c r="G250" t="s">
        <v>1391</v>
      </c>
      <c r="H250" t="s">
        <v>1392</v>
      </c>
    </row>
    <row r="251" spans="6:8" x14ac:dyDescent="0.25">
      <c r="F251" t="s">
        <v>1393</v>
      </c>
      <c r="G251" t="s">
        <v>1394</v>
      </c>
      <c r="H251" t="s">
        <v>1395</v>
      </c>
    </row>
    <row r="252" spans="6:8" x14ac:dyDescent="0.25">
      <c r="F252" t="s">
        <v>1396</v>
      </c>
      <c r="G252" t="s">
        <v>1397</v>
      </c>
      <c r="H252" t="s">
        <v>1398</v>
      </c>
    </row>
    <row r="253" spans="6:8" x14ac:dyDescent="0.25">
      <c r="F253" t="s">
        <v>1399</v>
      </c>
      <c r="G253" t="s">
        <v>1400</v>
      </c>
      <c r="H253" t="s">
        <v>1401</v>
      </c>
    </row>
    <row r="254" spans="6:8" x14ac:dyDescent="0.25">
      <c r="F254" t="s">
        <v>1402</v>
      </c>
      <c r="G254" t="s">
        <v>1403</v>
      </c>
      <c r="H254" t="s">
        <v>1404</v>
      </c>
    </row>
    <row r="255" spans="6:8" x14ac:dyDescent="0.25">
      <c r="F255" t="s">
        <v>1405</v>
      </c>
      <c r="G255" t="s">
        <v>456</v>
      </c>
      <c r="H255" t="s">
        <v>1406</v>
      </c>
    </row>
    <row r="256" spans="6:8" x14ac:dyDescent="0.25">
      <c r="F256" t="s">
        <v>1407</v>
      </c>
      <c r="G256" t="s">
        <v>1408</v>
      </c>
      <c r="H256" t="s">
        <v>1409</v>
      </c>
    </row>
    <row r="257" spans="6:8" x14ac:dyDescent="0.25">
      <c r="F257" t="s">
        <v>1410</v>
      </c>
      <c r="G257" t="s">
        <v>1411</v>
      </c>
      <c r="H257" t="s">
        <v>1412</v>
      </c>
    </row>
    <row r="258" spans="6:8" x14ac:dyDescent="0.25">
      <c r="F258" t="s">
        <v>1413</v>
      </c>
      <c r="G258" t="s">
        <v>555</v>
      </c>
      <c r="H258" t="s">
        <v>1414</v>
      </c>
    </row>
    <row r="259" spans="6:8" x14ac:dyDescent="0.25">
      <c r="F259" t="s">
        <v>1415</v>
      </c>
      <c r="G259" t="s">
        <v>1416</v>
      </c>
      <c r="H259" t="s">
        <v>1417</v>
      </c>
    </row>
    <row r="260" spans="6:8" x14ac:dyDescent="0.25">
      <c r="F260" t="s">
        <v>1418</v>
      </c>
      <c r="G260" t="s">
        <v>1419</v>
      </c>
      <c r="H260" t="s">
        <v>1420</v>
      </c>
    </row>
    <row r="261" spans="6:8" x14ac:dyDescent="0.25">
      <c r="F261" t="s">
        <v>1421</v>
      </c>
      <c r="G261" t="s">
        <v>1422</v>
      </c>
      <c r="H261" t="s">
        <v>1423</v>
      </c>
    </row>
    <row r="262" spans="6:8" x14ac:dyDescent="0.25">
      <c r="F262" t="s">
        <v>1424</v>
      </c>
      <c r="G262" t="s">
        <v>1425</v>
      </c>
      <c r="H262" t="s">
        <v>1426</v>
      </c>
    </row>
    <row r="263" spans="6:8" x14ac:dyDescent="0.25">
      <c r="F263" t="s">
        <v>1427</v>
      </c>
      <c r="G263" t="s">
        <v>1428</v>
      </c>
      <c r="H263" t="s">
        <v>1429</v>
      </c>
    </row>
    <row r="264" spans="6:8" x14ac:dyDescent="0.25">
      <c r="F264" t="s">
        <v>1430</v>
      </c>
      <c r="G264" t="s">
        <v>1431</v>
      </c>
      <c r="H264" t="s">
        <v>1432</v>
      </c>
    </row>
    <row r="265" spans="6:8" x14ac:dyDescent="0.25">
      <c r="F265" t="s">
        <v>1433</v>
      </c>
      <c r="G265" t="s">
        <v>456</v>
      </c>
      <c r="H265" t="s">
        <v>1434</v>
      </c>
    </row>
    <row r="266" spans="6:8" x14ac:dyDescent="0.25">
      <c r="F266" t="s">
        <v>1435</v>
      </c>
      <c r="G266" t="s">
        <v>1436</v>
      </c>
      <c r="H266" t="s">
        <v>1437</v>
      </c>
    </row>
    <row r="267" spans="6:8" x14ac:dyDescent="0.25">
      <c r="F267" t="s">
        <v>1438</v>
      </c>
      <c r="G267" t="s">
        <v>1439</v>
      </c>
      <c r="H267" t="s">
        <v>1440</v>
      </c>
    </row>
    <row r="268" spans="6:8" x14ac:dyDescent="0.25">
      <c r="F268" t="s">
        <v>1441</v>
      </c>
      <c r="G268" t="s">
        <v>1442</v>
      </c>
      <c r="H268" t="s">
        <v>1443</v>
      </c>
    </row>
    <row r="269" spans="6:8" x14ac:dyDescent="0.25">
      <c r="F269" t="s">
        <v>1444</v>
      </c>
      <c r="G269" t="s">
        <v>1445</v>
      </c>
      <c r="H269" t="s">
        <v>1446</v>
      </c>
    </row>
    <row r="270" spans="6:8" x14ac:dyDescent="0.25">
      <c r="F270" t="s">
        <v>1447</v>
      </c>
      <c r="G270" t="s">
        <v>1448</v>
      </c>
      <c r="H270" t="s">
        <v>1449</v>
      </c>
    </row>
    <row r="271" spans="6:8" x14ac:dyDescent="0.25">
      <c r="F271" t="s">
        <v>1450</v>
      </c>
      <c r="G271" t="s">
        <v>1451</v>
      </c>
      <c r="H271" t="s">
        <v>1452</v>
      </c>
    </row>
    <row r="272" spans="6:8" x14ac:dyDescent="0.25">
      <c r="F272" t="s">
        <v>1453</v>
      </c>
      <c r="G272" t="s">
        <v>1454</v>
      </c>
      <c r="H272" t="s">
        <v>1455</v>
      </c>
    </row>
    <row r="273" spans="6:8" x14ac:dyDescent="0.25">
      <c r="F273" t="s">
        <v>1456</v>
      </c>
      <c r="G273" t="s">
        <v>1457</v>
      </c>
      <c r="H273" t="s">
        <v>1458</v>
      </c>
    </row>
    <row r="274" spans="6:8" x14ac:dyDescent="0.25">
      <c r="F274" t="s">
        <v>1459</v>
      </c>
      <c r="G274" t="s">
        <v>1460</v>
      </c>
      <c r="H274" t="s">
        <v>1461</v>
      </c>
    </row>
    <row r="275" spans="6:8" x14ac:dyDescent="0.25">
      <c r="F275" t="s">
        <v>1462</v>
      </c>
      <c r="G275" t="s">
        <v>1463</v>
      </c>
      <c r="H275" t="s">
        <v>1464</v>
      </c>
    </row>
    <row r="276" spans="6:8" x14ac:dyDescent="0.25">
      <c r="F276" t="s">
        <v>1465</v>
      </c>
      <c r="G276" t="s">
        <v>1466</v>
      </c>
      <c r="H276" t="s">
        <v>1467</v>
      </c>
    </row>
    <row r="277" spans="6:8" x14ac:dyDescent="0.25">
      <c r="F277" t="s">
        <v>1468</v>
      </c>
      <c r="G277" t="s">
        <v>1469</v>
      </c>
      <c r="H277" t="s">
        <v>1470</v>
      </c>
    </row>
    <row r="278" spans="6:8" x14ac:dyDescent="0.25">
      <c r="F278" t="s">
        <v>1471</v>
      </c>
      <c r="G278" t="s">
        <v>1472</v>
      </c>
      <c r="H278" t="s">
        <v>1473</v>
      </c>
    </row>
    <row r="279" spans="6:8" x14ac:dyDescent="0.25">
      <c r="F279" t="s">
        <v>1474</v>
      </c>
      <c r="G279" t="s">
        <v>1475</v>
      </c>
      <c r="H279" t="s">
        <v>1476</v>
      </c>
    </row>
    <row r="280" spans="6:8" x14ac:dyDescent="0.25">
      <c r="F280" t="s">
        <v>1477</v>
      </c>
      <c r="G280" t="s">
        <v>1478</v>
      </c>
      <c r="H280" t="s">
        <v>1479</v>
      </c>
    </row>
    <row r="281" spans="6:8" x14ac:dyDescent="0.25">
      <c r="F281" t="s">
        <v>1480</v>
      </c>
      <c r="G281" t="s">
        <v>1481</v>
      </c>
      <c r="H281" t="s">
        <v>1482</v>
      </c>
    </row>
    <row r="282" spans="6:8" x14ac:dyDescent="0.25">
      <c r="F282" t="s">
        <v>1483</v>
      </c>
      <c r="G282" t="s">
        <v>1484</v>
      </c>
      <c r="H282" t="s">
        <v>1485</v>
      </c>
    </row>
    <row r="283" spans="6:8" x14ac:dyDescent="0.25">
      <c r="F283" t="s">
        <v>1486</v>
      </c>
      <c r="G283" t="s">
        <v>1487</v>
      </c>
      <c r="H283" t="s">
        <v>1488</v>
      </c>
    </row>
    <row r="284" spans="6:8" x14ac:dyDescent="0.25">
      <c r="F284" t="s">
        <v>1489</v>
      </c>
      <c r="G284" t="s">
        <v>1490</v>
      </c>
      <c r="H284" t="s">
        <v>1491</v>
      </c>
    </row>
    <row r="285" spans="6:8" x14ac:dyDescent="0.25">
      <c r="F285" t="s">
        <v>1492</v>
      </c>
      <c r="G285" t="s">
        <v>1493</v>
      </c>
      <c r="H285" t="s">
        <v>1494</v>
      </c>
    </row>
    <row r="286" spans="6:8" x14ac:dyDescent="0.25">
      <c r="F286" t="s">
        <v>1495</v>
      </c>
      <c r="G286" t="s">
        <v>1496</v>
      </c>
      <c r="H286" t="s">
        <v>1497</v>
      </c>
    </row>
    <row r="287" spans="6:8" x14ac:dyDescent="0.25">
      <c r="F287" t="s">
        <v>1498</v>
      </c>
      <c r="G287" t="s">
        <v>1499</v>
      </c>
      <c r="H287" t="s">
        <v>1500</v>
      </c>
    </row>
    <row r="288" spans="6:8" x14ac:dyDescent="0.25">
      <c r="F288" t="s">
        <v>1501</v>
      </c>
      <c r="G288" t="s">
        <v>1502</v>
      </c>
      <c r="H288" t="s">
        <v>1503</v>
      </c>
    </row>
    <row r="289" spans="6:8" x14ac:dyDescent="0.25">
      <c r="F289" t="s">
        <v>1504</v>
      </c>
      <c r="G289" t="s">
        <v>1505</v>
      </c>
      <c r="H289" t="s">
        <v>1506</v>
      </c>
    </row>
    <row r="290" spans="6:8" x14ac:dyDescent="0.25">
      <c r="F290" t="s">
        <v>1507</v>
      </c>
      <c r="G290" t="s">
        <v>1508</v>
      </c>
      <c r="H290" t="s">
        <v>1509</v>
      </c>
    </row>
    <row r="291" spans="6:8" x14ac:dyDescent="0.25">
      <c r="F291" t="s">
        <v>1510</v>
      </c>
      <c r="G291" t="s">
        <v>1511</v>
      </c>
      <c r="H291" t="s">
        <v>1512</v>
      </c>
    </row>
    <row r="292" spans="6:8" x14ac:dyDescent="0.25">
      <c r="F292" t="s">
        <v>1513</v>
      </c>
      <c r="G292" t="s">
        <v>1514</v>
      </c>
      <c r="H292" t="s">
        <v>1515</v>
      </c>
    </row>
    <row r="293" spans="6:8" x14ac:dyDescent="0.25">
      <c r="F293" t="s">
        <v>1516</v>
      </c>
      <c r="G293" t="s">
        <v>1517</v>
      </c>
      <c r="H293" t="s">
        <v>1518</v>
      </c>
    </row>
    <row r="294" spans="6:8" x14ac:dyDescent="0.25">
      <c r="F294" t="s">
        <v>1519</v>
      </c>
      <c r="G294" t="s">
        <v>1520</v>
      </c>
      <c r="H294" t="s">
        <v>1521</v>
      </c>
    </row>
    <row r="295" spans="6:8" x14ac:dyDescent="0.25">
      <c r="F295" t="s">
        <v>1522</v>
      </c>
      <c r="G295" t="s">
        <v>1523</v>
      </c>
      <c r="H295" t="s">
        <v>1524</v>
      </c>
    </row>
    <row r="296" spans="6:8" x14ac:dyDescent="0.25">
      <c r="F296" t="s">
        <v>1525</v>
      </c>
      <c r="G296" t="s">
        <v>1526</v>
      </c>
      <c r="H296" t="s">
        <v>1527</v>
      </c>
    </row>
    <row r="297" spans="6:8" x14ac:dyDescent="0.25">
      <c r="F297" t="s">
        <v>1528</v>
      </c>
      <c r="G297" t="s">
        <v>1529</v>
      </c>
      <c r="H297" t="s">
        <v>1530</v>
      </c>
    </row>
    <row r="298" spans="6:8" x14ac:dyDescent="0.25">
      <c r="F298" t="s">
        <v>1531</v>
      </c>
      <c r="G298" t="s">
        <v>1532</v>
      </c>
      <c r="H298" t="s">
        <v>1533</v>
      </c>
    </row>
    <row r="299" spans="6:8" x14ac:dyDescent="0.25">
      <c r="F299" t="s">
        <v>1534</v>
      </c>
      <c r="G299" t="s">
        <v>1535</v>
      </c>
      <c r="H299" t="s">
        <v>1536</v>
      </c>
    </row>
    <row r="300" spans="6:8" x14ac:dyDescent="0.25">
      <c r="F300" t="s">
        <v>1537</v>
      </c>
      <c r="G300" t="s">
        <v>1538</v>
      </c>
      <c r="H300" t="s">
        <v>1539</v>
      </c>
    </row>
    <row r="301" spans="6:8" x14ac:dyDescent="0.25">
      <c r="F301" t="s">
        <v>1540</v>
      </c>
      <c r="G301" t="s">
        <v>1541</v>
      </c>
      <c r="H301" t="s">
        <v>1542</v>
      </c>
    </row>
    <row r="302" spans="6:8" x14ac:dyDescent="0.25">
      <c r="F302" t="s">
        <v>1543</v>
      </c>
      <c r="G302" t="s">
        <v>1544</v>
      </c>
      <c r="H302" t="s">
        <v>1545</v>
      </c>
    </row>
    <row r="303" spans="6:8" x14ac:dyDescent="0.25">
      <c r="F303" t="s">
        <v>1546</v>
      </c>
      <c r="G303" t="s">
        <v>1547</v>
      </c>
      <c r="H303" t="s">
        <v>1548</v>
      </c>
    </row>
    <row r="304" spans="6:8" x14ac:dyDescent="0.25">
      <c r="F304" t="s">
        <v>1549</v>
      </c>
      <c r="G304" t="s">
        <v>1550</v>
      </c>
      <c r="H304" t="s">
        <v>1551</v>
      </c>
    </row>
    <row r="305" spans="6:8" x14ac:dyDescent="0.25">
      <c r="F305" t="s">
        <v>1552</v>
      </c>
      <c r="G305" t="s">
        <v>1553</v>
      </c>
      <c r="H305" t="s">
        <v>1554</v>
      </c>
    </row>
    <row r="306" spans="6:8" x14ac:dyDescent="0.25">
      <c r="F306" t="s">
        <v>1555</v>
      </c>
      <c r="G306" t="s">
        <v>1556</v>
      </c>
      <c r="H306" t="s">
        <v>1557</v>
      </c>
    </row>
    <row r="307" spans="6:8" x14ac:dyDescent="0.25">
      <c r="F307" t="s">
        <v>1558</v>
      </c>
      <c r="G307" t="s">
        <v>1559</v>
      </c>
      <c r="H307" t="s">
        <v>1560</v>
      </c>
    </row>
    <row r="308" spans="6:8" x14ac:dyDescent="0.25">
      <c r="F308" t="s">
        <v>1561</v>
      </c>
      <c r="G308" t="s">
        <v>1562</v>
      </c>
      <c r="H308" t="s">
        <v>1563</v>
      </c>
    </row>
    <row r="309" spans="6:8" x14ac:dyDescent="0.25">
      <c r="F309" t="s">
        <v>1564</v>
      </c>
      <c r="G309" t="s">
        <v>1565</v>
      </c>
      <c r="H309" t="s">
        <v>1566</v>
      </c>
    </row>
    <row r="310" spans="6:8" x14ac:dyDescent="0.25">
      <c r="F310" t="s">
        <v>1567</v>
      </c>
      <c r="G310" t="s">
        <v>1568</v>
      </c>
      <c r="H310" t="s">
        <v>1569</v>
      </c>
    </row>
    <row r="311" spans="6:8" x14ac:dyDescent="0.25">
      <c r="F311" t="s">
        <v>1570</v>
      </c>
      <c r="G311" t="s">
        <v>1571</v>
      </c>
      <c r="H311" t="s">
        <v>1572</v>
      </c>
    </row>
    <row r="312" spans="6:8" x14ac:dyDescent="0.25">
      <c r="F312" t="s">
        <v>1573</v>
      </c>
      <c r="G312" t="s">
        <v>1574</v>
      </c>
      <c r="H312" t="s">
        <v>1575</v>
      </c>
    </row>
    <row r="313" spans="6:8" x14ac:dyDescent="0.25">
      <c r="F313" t="s">
        <v>1576</v>
      </c>
      <c r="G313" t="s">
        <v>1577</v>
      </c>
      <c r="H313" t="s">
        <v>1578</v>
      </c>
    </row>
    <row r="314" spans="6:8" x14ac:dyDescent="0.25">
      <c r="F314" t="s">
        <v>1579</v>
      </c>
      <c r="G314" t="s">
        <v>1580</v>
      </c>
      <c r="H314" t="s">
        <v>1581</v>
      </c>
    </row>
    <row r="315" spans="6:8" x14ac:dyDescent="0.25">
      <c r="F315" t="s">
        <v>1582</v>
      </c>
      <c r="G315" t="s">
        <v>1583</v>
      </c>
      <c r="H315" t="s">
        <v>1584</v>
      </c>
    </row>
    <row r="316" spans="6:8" x14ac:dyDescent="0.25">
      <c r="F316" t="s">
        <v>1585</v>
      </c>
      <c r="G316" t="s">
        <v>1586</v>
      </c>
      <c r="H316" t="s">
        <v>1587</v>
      </c>
    </row>
    <row r="317" spans="6:8" x14ac:dyDescent="0.25">
      <c r="F317" t="s">
        <v>1588</v>
      </c>
      <c r="G317" t="s">
        <v>1589</v>
      </c>
      <c r="H317" t="s">
        <v>1590</v>
      </c>
    </row>
    <row r="318" spans="6:8" x14ac:dyDescent="0.25">
      <c r="F318" t="s">
        <v>1591</v>
      </c>
      <c r="G318" t="s">
        <v>1592</v>
      </c>
      <c r="H318" t="s">
        <v>1593</v>
      </c>
    </row>
    <row r="319" spans="6:8" x14ac:dyDescent="0.25">
      <c r="F319" t="s">
        <v>1594</v>
      </c>
      <c r="G319" t="s">
        <v>1595</v>
      </c>
      <c r="H319" t="s">
        <v>1596</v>
      </c>
    </row>
    <row r="320" spans="6:8" x14ac:dyDescent="0.25">
      <c r="F320" t="s">
        <v>1597</v>
      </c>
      <c r="G320" t="s">
        <v>1598</v>
      </c>
      <c r="H320" t="s">
        <v>1599</v>
      </c>
    </row>
    <row r="321" spans="6:8" x14ac:dyDescent="0.25">
      <c r="F321" t="s">
        <v>1600</v>
      </c>
      <c r="G321" t="s">
        <v>1601</v>
      </c>
      <c r="H321" t="s">
        <v>1602</v>
      </c>
    </row>
    <row r="322" spans="6:8" x14ac:dyDescent="0.25">
      <c r="F322" t="s">
        <v>1603</v>
      </c>
      <c r="G322" t="s">
        <v>1604</v>
      </c>
      <c r="H322" t="s">
        <v>1605</v>
      </c>
    </row>
    <row r="323" spans="6:8" x14ac:dyDescent="0.25">
      <c r="F323" t="s">
        <v>1606</v>
      </c>
      <c r="G323" t="s">
        <v>335</v>
      </c>
      <c r="H323" t="s">
        <v>1607</v>
      </c>
    </row>
    <row r="324" spans="6:8" x14ac:dyDescent="0.25">
      <c r="F324" t="s">
        <v>1608</v>
      </c>
      <c r="G324" t="s">
        <v>1609</v>
      </c>
      <c r="H324" t="s">
        <v>1610</v>
      </c>
    </row>
    <row r="325" spans="6:8" x14ac:dyDescent="0.25">
      <c r="F325" t="s">
        <v>1611</v>
      </c>
      <c r="G325" t="s">
        <v>1612</v>
      </c>
      <c r="H325" t="s">
        <v>1613</v>
      </c>
    </row>
    <row r="326" spans="6:8" x14ac:dyDescent="0.25">
      <c r="F326" t="s">
        <v>1614</v>
      </c>
      <c r="G326" t="s">
        <v>1615</v>
      </c>
      <c r="H326" t="s">
        <v>1616</v>
      </c>
    </row>
    <row r="327" spans="6:8" x14ac:dyDescent="0.25">
      <c r="F327" t="s">
        <v>1617</v>
      </c>
      <c r="G327" t="s">
        <v>1618</v>
      </c>
      <c r="H327" t="s">
        <v>1619</v>
      </c>
    </row>
    <row r="328" spans="6:8" x14ac:dyDescent="0.25">
      <c r="F328" t="s">
        <v>1620</v>
      </c>
      <c r="G328" t="s">
        <v>1621</v>
      </c>
      <c r="H328" t="s">
        <v>1622</v>
      </c>
    </row>
    <row r="329" spans="6:8" x14ac:dyDescent="0.25">
      <c r="F329" t="s">
        <v>1623</v>
      </c>
      <c r="G329" t="s">
        <v>1624</v>
      </c>
      <c r="H329" t="s">
        <v>1625</v>
      </c>
    </row>
    <row r="330" spans="6:8" x14ac:dyDescent="0.25">
      <c r="F330" t="s">
        <v>1626</v>
      </c>
      <c r="G330" t="s">
        <v>1627</v>
      </c>
      <c r="H330" t="s">
        <v>1628</v>
      </c>
    </row>
    <row r="331" spans="6:8" x14ac:dyDescent="0.25">
      <c r="F331" t="s">
        <v>1629</v>
      </c>
      <c r="G331" t="s">
        <v>1630</v>
      </c>
      <c r="H331" t="s">
        <v>1631</v>
      </c>
    </row>
    <row r="332" spans="6:8" x14ac:dyDescent="0.25">
      <c r="F332" t="s">
        <v>1632</v>
      </c>
      <c r="G332" t="s">
        <v>1633</v>
      </c>
      <c r="H332" t="s">
        <v>1634</v>
      </c>
    </row>
    <row r="333" spans="6:8" x14ac:dyDescent="0.25">
      <c r="F333" t="s">
        <v>1635</v>
      </c>
      <c r="G333" t="s">
        <v>1636</v>
      </c>
      <c r="H333" t="s">
        <v>1637</v>
      </c>
    </row>
    <row r="334" spans="6:8" x14ac:dyDescent="0.25">
      <c r="F334" t="s">
        <v>1638</v>
      </c>
      <c r="G334" t="s">
        <v>1639</v>
      </c>
      <c r="H334" t="s">
        <v>1640</v>
      </c>
    </row>
    <row r="335" spans="6:8" x14ac:dyDescent="0.25">
      <c r="F335" t="s">
        <v>1641</v>
      </c>
      <c r="G335" t="s">
        <v>1642</v>
      </c>
      <c r="H335" t="s">
        <v>1643</v>
      </c>
    </row>
    <row r="336" spans="6:8" x14ac:dyDescent="0.25">
      <c r="F336" t="s">
        <v>1644</v>
      </c>
      <c r="G336" t="s">
        <v>1645</v>
      </c>
      <c r="H336" t="s">
        <v>1646</v>
      </c>
    </row>
    <row r="337" spans="6:8" x14ac:dyDescent="0.25">
      <c r="F337" t="s">
        <v>1647</v>
      </c>
      <c r="G337" t="s">
        <v>1648</v>
      </c>
      <c r="H337" t="s">
        <v>1649</v>
      </c>
    </row>
    <row r="338" spans="6:8" x14ac:dyDescent="0.25">
      <c r="F338" t="s">
        <v>1650</v>
      </c>
      <c r="G338" t="s">
        <v>1651</v>
      </c>
      <c r="H338" t="s">
        <v>1652</v>
      </c>
    </row>
    <row r="339" spans="6:8" x14ac:dyDescent="0.25">
      <c r="F339" t="s">
        <v>1653</v>
      </c>
      <c r="G339" t="s">
        <v>1654</v>
      </c>
      <c r="H339" t="s">
        <v>1655</v>
      </c>
    </row>
    <row r="340" spans="6:8" x14ac:dyDescent="0.25">
      <c r="F340" t="s">
        <v>1656</v>
      </c>
      <c r="G340" t="s">
        <v>1657</v>
      </c>
      <c r="H340" t="s">
        <v>1658</v>
      </c>
    </row>
    <row r="341" spans="6:8" x14ac:dyDescent="0.25">
      <c r="F341" t="s">
        <v>1659</v>
      </c>
      <c r="G341" t="s">
        <v>1660</v>
      </c>
      <c r="H341" t="s">
        <v>1661</v>
      </c>
    </row>
    <row r="342" spans="6:8" x14ac:dyDescent="0.25">
      <c r="F342" t="s">
        <v>1662</v>
      </c>
      <c r="G342" t="s">
        <v>1663</v>
      </c>
      <c r="H342" t="s">
        <v>1664</v>
      </c>
    </row>
    <row r="343" spans="6:8" x14ac:dyDescent="0.25">
      <c r="F343" t="s">
        <v>1665</v>
      </c>
      <c r="G343" t="s">
        <v>1666</v>
      </c>
      <c r="H343" t="s">
        <v>1667</v>
      </c>
    </row>
    <row r="344" spans="6:8" x14ac:dyDescent="0.25">
      <c r="F344" t="s">
        <v>1668</v>
      </c>
      <c r="G344" t="s">
        <v>1669</v>
      </c>
      <c r="H344" t="s">
        <v>1670</v>
      </c>
    </row>
    <row r="345" spans="6:8" x14ac:dyDescent="0.25">
      <c r="F345" t="s">
        <v>1671</v>
      </c>
      <c r="G345" t="s">
        <v>1672</v>
      </c>
      <c r="H345" t="s">
        <v>1673</v>
      </c>
    </row>
    <row r="346" spans="6:8" x14ac:dyDescent="0.25">
      <c r="F346" t="s">
        <v>1674</v>
      </c>
      <c r="G346" t="s">
        <v>1675</v>
      </c>
      <c r="H346" t="s">
        <v>1676</v>
      </c>
    </row>
    <row r="347" spans="6:8" x14ac:dyDescent="0.25">
      <c r="F347" t="s">
        <v>1677</v>
      </c>
      <c r="G347" t="s">
        <v>1678</v>
      </c>
      <c r="H347" t="s">
        <v>1679</v>
      </c>
    </row>
    <row r="348" spans="6:8" x14ac:dyDescent="0.25">
      <c r="F348" t="s">
        <v>1680</v>
      </c>
      <c r="G348" t="s">
        <v>1681</v>
      </c>
      <c r="H348" t="s">
        <v>1682</v>
      </c>
    </row>
    <row r="349" spans="6:8" x14ac:dyDescent="0.25">
      <c r="F349" t="s">
        <v>1683</v>
      </c>
      <c r="G349" t="s">
        <v>1684</v>
      </c>
      <c r="H349" t="s">
        <v>1685</v>
      </c>
    </row>
    <row r="350" spans="6:8" x14ac:dyDescent="0.25">
      <c r="F350" t="s">
        <v>1686</v>
      </c>
      <c r="G350" t="s">
        <v>407</v>
      </c>
      <c r="H350" t="s">
        <v>1687</v>
      </c>
    </row>
    <row r="351" spans="6:8" x14ac:dyDescent="0.25">
      <c r="F351" t="s">
        <v>1688</v>
      </c>
      <c r="G351" t="s">
        <v>1689</v>
      </c>
      <c r="H351" t="s">
        <v>1690</v>
      </c>
    </row>
    <row r="352" spans="6:8" x14ac:dyDescent="0.25">
      <c r="F352" t="s">
        <v>1691</v>
      </c>
      <c r="G352" t="s">
        <v>1692</v>
      </c>
      <c r="H352" t="s">
        <v>1693</v>
      </c>
    </row>
    <row r="353" spans="6:8" x14ac:dyDescent="0.25">
      <c r="F353" t="s">
        <v>1694</v>
      </c>
      <c r="G353" t="s">
        <v>1695</v>
      </c>
      <c r="H353" t="s">
        <v>1696</v>
      </c>
    </row>
    <row r="354" spans="6:8" x14ac:dyDescent="0.25">
      <c r="F354" t="s">
        <v>1697</v>
      </c>
      <c r="G354" t="s">
        <v>1698</v>
      </c>
      <c r="H354" t="s">
        <v>1699</v>
      </c>
    </row>
    <row r="355" spans="6:8" x14ac:dyDescent="0.25">
      <c r="F355" t="s">
        <v>1700</v>
      </c>
      <c r="G355" t="s">
        <v>1701</v>
      </c>
      <c r="H355" t="s">
        <v>1702</v>
      </c>
    </row>
    <row r="356" spans="6:8" x14ac:dyDescent="0.25">
      <c r="F356" t="s">
        <v>1703</v>
      </c>
      <c r="G356" t="s">
        <v>1704</v>
      </c>
      <c r="H356" t="s">
        <v>1705</v>
      </c>
    </row>
    <row r="357" spans="6:8" x14ac:dyDescent="0.25">
      <c r="F357" t="s">
        <v>1706</v>
      </c>
      <c r="G357" t="s">
        <v>1707</v>
      </c>
      <c r="H357" t="s">
        <v>1708</v>
      </c>
    </row>
    <row r="358" spans="6:8" x14ac:dyDescent="0.25">
      <c r="F358" t="s">
        <v>1709</v>
      </c>
      <c r="G358" t="s">
        <v>1710</v>
      </c>
      <c r="H358" t="s">
        <v>1711</v>
      </c>
    </row>
    <row r="359" spans="6:8" x14ac:dyDescent="0.25">
      <c r="F359" t="s">
        <v>1712</v>
      </c>
      <c r="G359" t="s">
        <v>1713</v>
      </c>
      <c r="H359" t="s">
        <v>1714</v>
      </c>
    </row>
    <row r="360" spans="6:8" x14ac:dyDescent="0.25">
      <c r="F360" t="s">
        <v>1715</v>
      </c>
      <c r="G360" t="s">
        <v>1716</v>
      </c>
      <c r="H360" t="s">
        <v>1717</v>
      </c>
    </row>
    <row r="361" spans="6:8" x14ac:dyDescent="0.25">
      <c r="F361" t="s">
        <v>1718</v>
      </c>
      <c r="G361" t="s">
        <v>1719</v>
      </c>
      <c r="H361" t="s">
        <v>1720</v>
      </c>
    </row>
    <row r="362" spans="6:8" x14ac:dyDescent="0.25">
      <c r="F362" t="s">
        <v>1721</v>
      </c>
      <c r="G362" t="s">
        <v>1722</v>
      </c>
      <c r="H362" t="s">
        <v>1723</v>
      </c>
    </row>
    <row r="363" spans="6:8" x14ac:dyDescent="0.25">
      <c r="F363" t="s">
        <v>1724</v>
      </c>
      <c r="G363" t="s">
        <v>1725</v>
      </c>
      <c r="H363" t="s">
        <v>1726</v>
      </c>
    </row>
    <row r="364" spans="6:8" x14ac:dyDescent="0.25">
      <c r="F364" t="s">
        <v>1727</v>
      </c>
      <c r="G364" t="s">
        <v>1428</v>
      </c>
      <c r="H364" t="s">
        <v>1728</v>
      </c>
    </row>
    <row r="365" spans="6:8" x14ac:dyDescent="0.25">
      <c r="F365" t="s">
        <v>1729</v>
      </c>
      <c r="G365" t="s">
        <v>1730</v>
      </c>
      <c r="H365" t="s">
        <v>1731</v>
      </c>
    </row>
    <row r="366" spans="6:8" x14ac:dyDescent="0.25">
      <c r="F366" t="s">
        <v>1732</v>
      </c>
      <c r="G366" t="s">
        <v>1733</v>
      </c>
      <c r="H366" t="s">
        <v>1734</v>
      </c>
    </row>
    <row r="367" spans="6:8" x14ac:dyDescent="0.25">
      <c r="F367" t="s">
        <v>1735</v>
      </c>
      <c r="G367" t="s">
        <v>1736</v>
      </c>
      <c r="H367" t="s">
        <v>1737</v>
      </c>
    </row>
    <row r="368" spans="6:8" x14ac:dyDescent="0.25">
      <c r="F368" t="s">
        <v>1738</v>
      </c>
      <c r="G368" t="s">
        <v>1739</v>
      </c>
      <c r="H368" t="s">
        <v>1740</v>
      </c>
    </row>
    <row r="369" spans="6:8" x14ac:dyDescent="0.25">
      <c r="F369" t="s">
        <v>1741</v>
      </c>
      <c r="G369" t="s">
        <v>1742</v>
      </c>
      <c r="H369" t="s">
        <v>1743</v>
      </c>
    </row>
    <row r="370" spans="6:8" x14ac:dyDescent="0.25">
      <c r="F370" t="s">
        <v>1744</v>
      </c>
      <c r="G370" t="s">
        <v>1745</v>
      </c>
      <c r="H370" t="s">
        <v>1746</v>
      </c>
    </row>
    <row r="371" spans="6:8" x14ac:dyDescent="0.25">
      <c r="F371" t="s">
        <v>1747</v>
      </c>
      <c r="G371" t="s">
        <v>1748</v>
      </c>
      <c r="H371" t="s">
        <v>1749</v>
      </c>
    </row>
    <row r="372" spans="6:8" x14ac:dyDescent="0.25">
      <c r="F372" t="s">
        <v>1750</v>
      </c>
      <c r="G372" t="s">
        <v>1751</v>
      </c>
      <c r="H372" t="s">
        <v>1752</v>
      </c>
    </row>
    <row r="373" spans="6:8" x14ac:dyDescent="0.25">
      <c r="F373" t="s">
        <v>1753</v>
      </c>
      <c r="G373" t="s">
        <v>1754</v>
      </c>
      <c r="H373" t="s">
        <v>1755</v>
      </c>
    </row>
    <row r="374" spans="6:8" x14ac:dyDescent="0.25">
      <c r="F374" t="s">
        <v>1756</v>
      </c>
      <c r="G374" t="s">
        <v>1757</v>
      </c>
      <c r="H374" t="s">
        <v>1758</v>
      </c>
    </row>
    <row r="375" spans="6:8" x14ac:dyDescent="0.25">
      <c r="F375" t="s">
        <v>1759</v>
      </c>
      <c r="G375" t="s">
        <v>1760</v>
      </c>
      <c r="H375" t="s">
        <v>1761</v>
      </c>
    </row>
    <row r="376" spans="6:8" x14ac:dyDescent="0.25">
      <c r="F376" t="s">
        <v>1762</v>
      </c>
      <c r="G376" t="s">
        <v>1763</v>
      </c>
      <c r="H376" t="s">
        <v>1764</v>
      </c>
    </row>
    <row r="377" spans="6:8" x14ac:dyDescent="0.25">
      <c r="F377" t="s">
        <v>1765</v>
      </c>
      <c r="G377" t="s">
        <v>1247</v>
      </c>
      <c r="H377" t="s">
        <v>1766</v>
      </c>
    </row>
    <row r="378" spans="6:8" x14ac:dyDescent="0.25">
      <c r="F378" t="s">
        <v>1767</v>
      </c>
      <c r="G378" t="s">
        <v>1768</v>
      </c>
      <c r="H378" t="s">
        <v>1769</v>
      </c>
    </row>
    <row r="379" spans="6:8" x14ac:dyDescent="0.25">
      <c r="F379" t="s">
        <v>1770</v>
      </c>
      <c r="G379" t="s">
        <v>1771</v>
      </c>
      <c r="H379" t="s">
        <v>1772</v>
      </c>
    </row>
    <row r="380" spans="6:8" x14ac:dyDescent="0.25">
      <c r="F380" t="s">
        <v>1773</v>
      </c>
      <c r="G380" t="s">
        <v>1774</v>
      </c>
      <c r="H380" t="s">
        <v>1775</v>
      </c>
    </row>
    <row r="381" spans="6:8" x14ac:dyDescent="0.25">
      <c r="F381" t="s">
        <v>1776</v>
      </c>
      <c r="G381" t="s">
        <v>1777</v>
      </c>
      <c r="H381" t="s">
        <v>1778</v>
      </c>
    </row>
    <row r="382" spans="6:8" x14ac:dyDescent="0.25">
      <c r="F382" t="s">
        <v>1779</v>
      </c>
      <c r="G382" t="s">
        <v>1780</v>
      </c>
      <c r="H382" t="s">
        <v>1781</v>
      </c>
    </row>
    <row r="383" spans="6:8" x14ac:dyDescent="0.25">
      <c r="F383" t="s">
        <v>1782</v>
      </c>
      <c r="G383" t="s">
        <v>1783</v>
      </c>
      <c r="H383" t="s">
        <v>1784</v>
      </c>
    </row>
    <row r="384" spans="6:8" x14ac:dyDescent="0.25">
      <c r="F384" t="s">
        <v>1785</v>
      </c>
      <c r="G384" t="s">
        <v>1786</v>
      </c>
      <c r="H384" t="s">
        <v>1787</v>
      </c>
    </row>
    <row r="385" spans="6:8" x14ac:dyDescent="0.25">
      <c r="F385" t="s">
        <v>1788</v>
      </c>
      <c r="G385" t="s">
        <v>1313</v>
      </c>
      <c r="H385" t="s">
        <v>1789</v>
      </c>
    </row>
    <row r="386" spans="6:8" x14ac:dyDescent="0.25">
      <c r="F386" t="s">
        <v>1790</v>
      </c>
      <c r="G386" t="s">
        <v>1791</v>
      </c>
      <c r="H386" t="s">
        <v>1792</v>
      </c>
    </row>
    <row r="387" spans="6:8" x14ac:dyDescent="0.25">
      <c r="F387" t="s">
        <v>1793</v>
      </c>
      <c r="G387" t="s">
        <v>1794</v>
      </c>
      <c r="H387" t="s">
        <v>1795</v>
      </c>
    </row>
    <row r="388" spans="6:8" x14ac:dyDescent="0.25">
      <c r="F388" t="s">
        <v>1796</v>
      </c>
      <c r="G388" t="s">
        <v>1797</v>
      </c>
      <c r="H388" t="s">
        <v>1798</v>
      </c>
    </row>
    <row r="389" spans="6:8" x14ac:dyDescent="0.25">
      <c r="F389" t="s">
        <v>1799</v>
      </c>
      <c r="G389" t="s">
        <v>1800</v>
      </c>
      <c r="H389" t="s">
        <v>1801</v>
      </c>
    </row>
    <row r="390" spans="6:8" x14ac:dyDescent="0.25">
      <c r="F390" t="s">
        <v>1802</v>
      </c>
      <c r="G390" t="s">
        <v>1803</v>
      </c>
      <c r="H390" t="s">
        <v>1804</v>
      </c>
    </row>
    <row r="391" spans="6:8" x14ac:dyDescent="0.25">
      <c r="F391" t="s">
        <v>1805</v>
      </c>
      <c r="G391" t="s">
        <v>1806</v>
      </c>
      <c r="H391" t="s">
        <v>1807</v>
      </c>
    </row>
    <row r="392" spans="6:8" x14ac:dyDescent="0.25">
      <c r="F392" t="s">
        <v>1808</v>
      </c>
      <c r="G392" t="s">
        <v>1809</v>
      </c>
      <c r="H392" t="s">
        <v>1810</v>
      </c>
    </row>
    <row r="393" spans="6:8" x14ac:dyDescent="0.25">
      <c r="F393" t="s">
        <v>1811</v>
      </c>
      <c r="G393" t="s">
        <v>1812</v>
      </c>
      <c r="H393" t="s">
        <v>1813</v>
      </c>
    </row>
    <row r="394" spans="6:8" x14ac:dyDescent="0.25">
      <c r="F394" t="s">
        <v>1814</v>
      </c>
      <c r="G394" t="s">
        <v>1815</v>
      </c>
      <c r="H394" t="s">
        <v>1816</v>
      </c>
    </row>
    <row r="395" spans="6:8" x14ac:dyDescent="0.25">
      <c r="F395" t="s">
        <v>1817</v>
      </c>
      <c r="G395" t="s">
        <v>456</v>
      </c>
      <c r="H395" t="s">
        <v>1818</v>
      </c>
    </row>
    <row r="396" spans="6:8" x14ac:dyDescent="0.25">
      <c r="F396" t="s">
        <v>1819</v>
      </c>
      <c r="G396" t="s">
        <v>1820</v>
      </c>
      <c r="H396" t="s">
        <v>1821</v>
      </c>
    </row>
    <row r="397" spans="6:8" x14ac:dyDescent="0.25">
      <c r="F397" t="s">
        <v>1822</v>
      </c>
      <c r="G397" t="s">
        <v>1823</v>
      </c>
      <c r="H397" t="s">
        <v>1824</v>
      </c>
    </row>
    <row r="398" spans="6:8" x14ac:dyDescent="0.25">
      <c r="F398" t="s">
        <v>1825</v>
      </c>
      <c r="G398" t="s">
        <v>1826</v>
      </c>
      <c r="H398" t="s">
        <v>1827</v>
      </c>
    </row>
    <row r="399" spans="6:8" x14ac:dyDescent="0.25">
      <c r="F399" t="s">
        <v>1828</v>
      </c>
      <c r="G399" t="s">
        <v>1829</v>
      </c>
      <c r="H399" t="s">
        <v>1830</v>
      </c>
    </row>
    <row r="400" spans="6:8" x14ac:dyDescent="0.25">
      <c r="F400" t="s">
        <v>1831</v>
      </c>
      <c r="G400" t="s">
        <v>1832</v>
      </c>
      <c r="H400" t="s">
        <v>1833</v>
      </c>
    </row>
    <row r="401" spans="6:8" x14ac:dyDescent="0.25">
      <c r="F401" t="s">
        <v>1834</v>
      </c>
      <c r="G401" t="s">
        <v>1835</v>
      </c>
      <c r="H401" t="s">
        <v>1836</v>
      </c>
    </row>
    <row r="402" spans="6:8" x14ac:dyDescent="0.25">
      <c r="F402" t="s">
        <v>1837</v>
      </c>
      <c r="G402" t="s">
        <v>1838</v>
      </c>
      <c r="H402" t="s">
        <v>1839</v>
      </c>
    </row>
    <row r="403" spans="6:8" x14ac:dyDescent="0.25">
      <c r="F403" t="s">
        <v>1840</v>
      </c>
      <c r="G403" t="s">
        <v>1841</v>
      </c>
      <c r="H403" t="s">
        <v>1842</v>
      </c>
    </row>
    <row r="404" spans="6:8" x14ac:dyDescent="0.25">
      <c r="F404" t="s">
        <v>1843</v>
      </c>
      <c r="G404" t="s">
        <v>1844</v>
      </c>
      <c r="H404" t="s">
        <v>1845</v>
      </c>
    </row>
    <row r="405" spans="6:8" x14ac:dyDescent="0.25">
      <c r="F405" t="s">
        <v>1846</v>
      </c>
      <c r="G405" t="s">
        <v>1847</v>
      </c>
      <c r="H405" t="s">
        <v>1848</v>
      </c>
    </row>
    <row r="406" spans="6:8" x14ac:dyDescent="0.25">
      <c r="F406" t="s">
        <v>1849</v>
      </c>
      <c r="G406" t="s">
        <v>1850</v>
      </c>
      <c r="H406" t="s">
        <v>1851</v>
      </c>
    </row>
    <row r="407" spans="6:8" x14ac:dyDescent="0.25">
      <c r="F407" t="s">
        <v>1852</v>
      </c>
      <c r="G407" t="s">
        <v>1853</v>
      </c>
      <c r="H407" t="s">
        <v>1854</v>
      </c>
    </row>
    <row r="408" spans="6:8" x14ac:dyDescent="0.25">
      <c r="F408" t="s">
        <v>1855</v>
      </c>
      <c r="G408" t="s">
        <v>1856</v>
      </c>
      <c r="H408" t="s">
        <v>1857</v>
      </c>
    </row>
    <row r="409" spans="6:8" x14ac:dyDescent="0.25">
      <c r="F409" t="s">
        <v>1858</v>
      </c>
      <c r="G409" t="s">
        <v>1859</v>
      </c>
      <c r="H409" t="s">
        <v>1860</v>
      </c>
    </row>
    <row r="410" spans="6:8" x14ac:dyDescent="0.25">
      <c r="F410" t="s">
        <v>1861</v>
      </c>
      <c r="G410" t="s">
        <v>1862</v>
      </c>
      <c r="H410" t="s">
        <v>1863</v>
      </c>
    </row>
    <row r="411" spans="6:8" x14ac:dyDescent="0.25">
      <c r="F411" t="s">
        <v>1864</v>
      </c>
      <c r="G411" t="s">
        <v>1865</v>
      </c>
      <c r="H411" t="s">
        <v>1866</v>
      </c>
    </row>
    <row r="412" spans="6:8" x14ac:dyDescent="0.25">
      <c r="F412" t="s">
        <v>1867</v>
      </c>
      <c r="G412" t="s">
        <v>1493</v>
      </c>
      <c r="H412" t="s">
        <v>1868</v>
      </c>
    </row>
    <row r="413" spans="6:8" x14ac:dyDescent="0.25">
      <c r="F413" t="s">
        <v>1869</v>
      </c>
      <c r="G413" t="s">
        <v>1870</v>
      </c>
      <c r="H413" t="s">
        <v>1871</v>
      </c>
    </row>
    <row r="414" spans="6:8" x14ac:dyDescent="0.25">
      <c r="F414" t="s">
        <v>1872</v>
      </c>
      <c r="G414" t="s">
        <v>1873</v>
      </c>
      <c r="H414" t="s">
        <v>1874</v>
      </c>
    </row>
    <row r="415" spans="6:8" x14ac:dyDescent="0.25">
      <c r="F415" t="s">
        <v>1875</v>
      </c>
      <c r="G415" t="s">
        <v>1876</v>
      </c>
      <c r="H415" t="s">
        <v>1877</v>
      </c>
    </row>
    <row r="416" spans="6:8" x14ac:dyDescent="0.25">
      <c r="F416" t="s">
        <v>1878</v>
      </c>
      <c r="G416" t="s">
        <v>1879</v>
      </c>
      <c r="H416" t="s">
        <v>1880</v>
      </c>
    </row>
    <row r="417" spans="6:8" x14ac:dyDescent="0.25">
      <c r="F417" t="s">
        <v>1881</v>
      </c>
      <c r="G417" t="s">
        <v>1882</v>
      </c>
      <c r="H417" t="s">
        <v>1883</v>
      </c>
    </row>
    <row r="418" spans="6:8" x14ac:dyDescent="0.25">
      <c r="F418" t="s">
        <v>1884</v>
      </c>
      <c r="G418" t="s">
        <v>1885</v>
      </c>
      <c r="H418" t="s">
        <v>1886</v>
      </c>
    </row>
    <row r="419" spans="6:8" x14ac:dyDescent="0.25">
      <c r="F419" t="s">
        <v>1887</v>
      </c>
      <c r="G419" t="s">
        <v>1888</v>
      </c>
      <c r="H419" t="s">
        <v>1889</v>
      </c>
    </row>
    <row r="420" spans="6:8" x14ac:dyDescent="0.25">
      <c r="F420" t="s">
        <v>1890</v>
      </c>
      <c r="G420" t="s">
        <v>1891</v>
      </c>
      <c r="H420" t="s">
        <v>1892</v>
      </c>
    </row>
    <row r="421" spans="6:8" x14ac:dyDescent="0.25">
      <c r="F421" t="s">
        <v>1893</v>
      </c>
      <c r="G421" t="s">
        <v>1894</v>
      </c>
      <c r="H421" t="s">
        <v>1895</v>
      </c>
    </row>
    <row r="422" spans="6:8" x14ac:dyDescent="0.25">
      <c r="F422" t="s">
        <v>1896</v>
      </c>
      <c r="G422" t="s">
        <v>1897</v>
      </c>
      <c r="H422" t="s">
        <v>1898</v>
      </c>
    </row>
    <row r="423" spans="6:8" x14ac:dyDescent="0.25">
      <c r="F423" t="s">
        <v>1899</v>
      </c>
      <c r="G423" t="s">
        <v>1900</v>
      </c>
      <c r="H423" t="s">
        <v>1901</v>
      </c>
    </row>
    <row r="424" spans="6:8" x14ac:dyDescent="0.25">
      <c r="F424" t="s">
        <v>1902</v>
      </c>
      <c r="G424" t="s">
        <v>1903</v>
      </c>
      <c r="H424" t="s">
        <v>1904</v>
      </c>
    </row>
    <row r="425" spans="6:8" x14ac:dyDescent="0.25">
      <c r="F425" t="s">
        <v>1905</v>
      </c>
      <c r="G425" t="s">
        <v>1906</v>
      </c>
      <c r="H425" t="s">
        <v>1907</v>
      </c>
    </row>
    <row r="426" spans="6:8" x14ac:dyDescent="0.25">
      <c r="F426" t="s">
        <v>1908</v>
      </c>
      <c r="G426" t="s">
        <v>1909</v>
      </c>
      <c r="H426" t="s">
        <v>1910</v>
      </c>
    </row>
    <row r="427" spans="6:8" x14ac:dyDescent="0.25">
      <c r="F427" t="s">
        <v>1911</v>
      </c>
      <c r="G427" t="s">
        <v>1912</v>
      </c>
      <c r="H427" t="s">
        <v>1913</v>
      </c>
    </row>
    <row r="428" spans="6:8" x14ac:dyDescent="0.25">
      <c r="F428" t="s">
        <v>1914</v>
      </c>
      <c r="G428" t="s">
        <v>1915</v>
      </c>
      <c r="H428" t="s">
        <v>1916</v>
      </c>
    </row>
    <row r="429" spans="6:8" x14ac:dyDescent="0.25">
      <c r="F429" t="s">
        <v>1917</v>
      </c>
      <c r="G429" t="s">
        <v>1918</v>
      </c>
      <c r="H429" t="s">
        <v>1919</v>
      </c>
    </row>
    <row r="430" spans="6:8" x14ac:dyDescent="0.25">
      <c r="F430" t="s">
        <v>1920</v>
      </c>
      <c r="G430" t="s">
        <v>1921</v>
      </c>
      <c r="H430" t="s">
        <v>1922</v>
      </c>
    </row>
    <row r="431" spans="6:8" x14ac:dyDescent="0.25">
      <c r="F431" t="s">
        <v>1923</v>
      </c>
      <c r="G431" t="s">
        <v>1924</v>
      </c>
      <c r="H431" t="s">
        <v>1925</v>
      </c>
    </row>
    <row r="432" spans="6:8" x14ac:dyDescent="0.25">
      <c r="F432" t="s">
        <v>1926</v>
      </c>
      <c r="G432" t="s">
        <v>1927</v>
      </c>
      <c r="H432" t="s">
        <v>1928</v>
      </c>
    </row>
    <row r="433" spans="6:8" x14ac:dyDescent="0.25">
      <c r="F433" t="s">
        <v>1929</v>
      </c>
      <c r="G433" t="s">
        <v>1930</v>
      </c>
      <c r="H433" t="s">
        <v>1931</v>
      </c>
    </row>
    <row r="434" spans="6:8" x14ac:dyDescent="0.25">
      <c r="F434" t="s">
        <v>1932</v>
      </c>
      <c r="G434" t="s">
        <v>1933</v>
      </c>
      <c r="H434" t="s">
        <v>1934</v>
      </c>
    </row>
    <row r="435" spans="6:8" x14ac:dyDescent="0.25">
      <c r="F435" t="s">
        <v>1935</v>
      </c>
      <c r="G435" t="s">
        <v>1936</v>
      </c>
      <c r="H435" t="s">
        <v>1937</v>
      </c>
    </row>
    <row r="436" spans="6:8" x14ac:dyDescent="0.25">
      <c r="F436" t="s">
        <v>1938</v>
      </c>
      <c r="G436" t="s">
        <v>1939</v>
      </c>
      <c r="H436" t="s">
        <v>1940</v>
      </c>
    </row>
    <row r="437" spans="6:8" x14ac:dyDescent="0.25">
      <c r="F437" t="s">
        <v>1941</v>
      </c>
      <c r="G437" t="s">
        <v>1942</v>
      </c>
      <c r="H437" t="s">
        <v>1943</v>
      </c>
    </row>
    <row r="438" spans="6:8" x14ac:dyDescent="0.25">
      <c r="F438" t="s">
        <v>1944</v>
      </c>
      <c r="G438" t="s">
        <v>1945</v>
      </c>
      <c r="H438" t="s">
        <v>1946</v>
      </c>
    </row>
    <row r="439" spans="6:8" x14ac:dyDescent="0.25">
      <c r="F439" t="s">
        <v>1947</v>
      </c>
      <c r="G439" t="s">
        <v>1948</v>
      </c>
      <c r="H439" t="s">
        <v>1949</v>
      </c>
    </row>
    <row r="440" spans="6:8" x14ac:dyDescent="0.25">
      <c r="F440" t="s">
        <v>1950</v>
      </c>
      <c r="G440" t="s">
        <v>1951</v>
      </c>
      <c r="H440" t="s">
        <v>1952</v>
      </c>
    </row>
    <row r="441" spans="6:8" x14ac:dyDescent="0.25">
      <c r="F441" t="s">
        <v>1953</v>
      </c>
      <c r="G441" t="s">
        <v>1954</v>
      </c>
      <c r="H441" t="s">
        <v>1955</v>
      </c>
    </row>
    <row r="442" spans="6:8" x14ac:dyDescent="0.25">
      <c r="F442" t="s">
        <v>1956</v>
      </c>
      <c r="G442" t="s">
        <v>1957</v>
      </c>
      <c r="H442" t="s">
        <v>1958</v>
      </c>
    </row>
    <row r="443" spans="6:8" x14ac:dyDescent="0.25">
      <c r="F443" t="s">
        <v>1959</v>
      </c>
      <c r="G443" t="s">
        <v>1960</v>
      </c>
      <c r="H443" t="s">
        <v>1961</v>
      </c>
    </row>
    <row r="444" spans="6:8" x14ac:dyDescent="0.25">
      <c r="F444" t="s">
        <v>1962</v>
      </c>
      <c r="G444" t="s">
        <v>1963</v>
      </c>
      <c r="H444" t="s">
        <v>1964</v>
      </c>
    </row>
    <row r="445" spans="6:8" x14ac:dyDescent="0.25">
      <c r="F445" t="s">
        <v>1965</v>
      </c>
      <c r="G445" t="s">
        <v>1966</v>
      </c>
      <c r="H445" t="s">
        <v>1967</v>
      </c>
    </row>
    <row r="446" spans="6:8" x14ac:dyDescent="0.25">
      <c r="F446" t="s">
        <v>1968</v>
      </c>
      <c r="G446" t="s">
        <v>1969</v>
      </c>
      <c r="H446" t="s">
        <v>1970</v>
      </c>
    </row>
    <row r="447" spans="6:8" x14ac:dyDescent="0.25">
      <c r="F447" t="s">
        <v>1971</v>
      </c>
      <c r="G447" t="s">
        <v>358</v>
      </c>
      <c r="H447" t="s">
        <v>1972</v>
      </c>
    </row>
    <row r="448" spans="6:8" x14ac:dyDescent="0.25">
      <c r="F448" t="s">
        <v>1973</v>
      </c>
      <c r="G448" t="s">
        <v>1974</v>
      </c>
      <c r="H448" t="s">
        <v>1975</v>
      </c>
    </row>
    <row r="449" spans="6:8" x14ac:dyDescent="0.25">
      <c r="F449" t="s">
        <v>1976</v>
      </c>
      <c r="G449" t="s">
        <v>1977</v>
      </c>
      <c r="H449" t="s">
        <v>1978</v>
      </c>
    </row>
    <row r="450" spans="6:8" x14ac:dyDescent="0.25">
      <c r="F450" t="s">
        <v>1979</v>
      </c>
      <c r="G450" t="s">
        <v>1980</v>
      </c>
      <c r="H450" t="s">
        <v>1981</v>
      </c>
    </row>
    <row r="451" spans="6:8" x14ac:dyDescent="0.25">
      <c r="F451" t="s">
        <v>1982</v>
      </c>
      <c r="G451" t="s">
        <v>1983</v>
      </c>
      <c r="H451" t="s">
        <v>1984</v>
      </c>
    </row>
    <row r="452" spans="6:8" x14ac:dyDescent="0.25">
      <c r="F452" t="s">
        <v>1985</v>
      </c>
      <c r="G452" t="s">
        <v>1986</v>
      </c>
      <c r="H452" t="s">
        <v>1987</v>
      </c>
    </row>
    <row r="453" spans="6:8" x14ac:dyDescent="0.25">
      <c r="F453" t="s">
        <v>1988</v>
      </c>
      <c r="G453" t="s">
        <v>1989</v>
      </c>
      <c r="H453" t="s">
        <v>1990</v>
      </c>
    </row>
    <row r="454" spans="6:8" x14ac:dyDescent="0.25">
      <c r="F454" t="s">
        <v>1991</v>
      </c>
      <c r="G454" t="s">
        <v>1992</v>
      </c>
      <c r="H454" t="s">
        <v>1993</v>
      </c>
    </row>
    <row r="455" spans="6:8" x14ac:dyDescent="0.25">
      <c r="F455" t="s">
        <v>1994</v>
      </c>
      <c r="G455" t="s">
        <v>1995</v>
      </c>
      <c r="H455" t="s">
        <v>1996</v>
      </c>
    </row>
    <row r="456" spans="6:8" x14ac:dyDescent="0.25">
      <c r="F456" t="s">
        <v>1997</v>
      </c>
      <c r="G456" t="s">
        <v>1998</v>
      </c>
      <c r="H456" t="s">
        <v>1999</v>
      </c>
    </row>
    <row r="457" spans="6:8" x14ac:dyDescent="0.25">
      <c r="F457" t="s">
        <v>2000</v>
      </c>
      <c r="G457" t="s">
        <v>2001</v>
      </c>
      <c r="H457" t="s">
        <v>2002</v>
      </c>
    </row>
    <row r="458" spans="6:8" x14ac:dyDescent="0.25">
      <c r="F458" t="s">
        <v>2003</v>
      </c>
      <c r="G458" t="s">
        <v>2004</v>
      </c>
      <c r="H458" t="s">
        <v>2005</v>
      </c>
    </row>
    <row r="459" spans="6:8" x14ac:dyDescent="0.25">
      <c r="F459" t="s">
        <v>2006</v>
      </c>
      <c r="G459" t="s">
        <v>2007</v>
      </c>
      <c r="H459" t="s">
        <v>2008</v>
      </c>
    </row>
    <row r="460" spans="6:8" x14ac:dyDescent="0.25">
      <c r="F460" t="s">
        <v>2009</v>
      </c>
      <c r="G460" t="s">
        <v>2010</v>
      </c>
      <c r="H460" t="s">
        <v>2011</v>
      </c>
    </row>
    <row r="461" spans="6:8" x14ac:dyDescent="0.25">
      <c r="F461" t="s">
        <v>2012</v>
      </c>
      <c r="G461" t="s">
        <v>2013</v>
      </c>
      <c r="H461" t="s">
        <v>2014</v>
      </c>
    </row>
    <row r="462" spans="6:8" x14ac:dyDescent="0.25">
      <c r="F462" t="s">
        <v>2015</v>
      </c>
      <c r="G462" t="s">
        <v>2016</v>
      </c>
      <c r="H462" t="s">
        <v>2017</v>
      </c>
    </row>
    <row r="463" spans="6:8" x14ac:dyDescent="0.25">
      <c r="F463" t="s">
        <v>2018</v>
      </c>
      <c r="G463" t="s">
        <v>2019</v>
      </c>
      <c r="H463" t="s">
        <v>2020</v>
      </c>
    </row>
    <row r="464" spans="6:8" x14ac:dyDescent="0.25">
      <c r="F464" t="s">
        <v>2021</v>
      </c>
      <c r="G464" t="s">
        <v>2022</v>
      </c>
      <c r="H464" t="s">
        <v>2023</v>
      </c>
    </row>
    <row r="465" spans="6:8" x14ac:dyDescent="0.25">
      <c r="F465" t="s">
        <v>2024</v>
      </c>
      <c r="G465" t="s">
        <v>174</v>
      </c>
      <c r="H465" t="s">
        <v>2025</v>
      </c>
    </row>
    <row r="466" spans="6:8" x14ac:dyDescent="0.25">
      <c r="F466" t="s">
        <v>2026</v>
      </c>
      <c r="G466" t="s">
        <v>2027</v>
      </c>
      <c r="H466" t="s">
        <v>2028</v>
      </c>
    </row>
    <row r="467" spans="6:8" x14ac:dyDescent="0.25">
      <c r="F467" t="s">
        <v>2029</v>
      </c>
      <c r="G467" t="s">
        <v>2030</v>
      </c>
      <c r="H467" t="s">
        <v>2031</v>
      </c>
    </row>
    <row r="468" spans="6:8" x14ac:dyDescent="0.25">
      <c r="F468" t="s">
        <v>2032</v>
      </c>
      <c r="G468" t="s">
        <v>510</v>
      </c>
      <c r="H468" t="s">
        <v>2033</v>
      </c>
    </row>
    <row r="469" spans="6:8" x14ac:dyDescent="0.25">
      <c r="F469" t="s">
        <v>2034</v>
      </c>
      <c r="G469" t="s">
        <v>2035</v>
      </c>
      <c r="H469" t="s">
        <v>2036</v>
      </c>
    </row>
    <row r="470" spans="6:8" x14ac:dyDescent="0.25">
      <c r="F470" t="s">
        <v>2037</v>
      </c>
      <c r="G470" t="s">
        <v>1469</v>
      </c>
      <c r="H470" t="s">
        <v>2038</v>
      </c>
    </row>
    <row r="471" spans="6:8" x14ac:dyDescent="0.25">
      <c r="F471" t="s">
        <v>2039</v>
      </c>
      <c r="G471" t="s">
        <v>2040</v>
      </c>
      <c r="H471" t="s">
        <v>2041</v>
      </c>
    </row>
    <row r="472" spans="6:8" x14ac:dyDescent="0.25">
      <c r="F472" t="s">
        <v>2042</v>
      </c>
      <c r="G472" t="s">
        <v>2043</v>
      </c>
      <c r="H472" t="s">
        <v>2044</v>
      </c>
    </row>
    <row r="473" spans="6:8" x14ac:dyDescent="0.25">
      <c r="F473" t="s">
        <v>2045</v>
      </c>
      <c r="G473" t="s">
        <v>2046</v>
      </c>
      <c r="H473" t="s">
        <v>2047</v>
      </c>
    </row>
    <row r="474" spans="6:8" x14ac:dyDescent="0.25">
      <c r="F474" t="s">
        <v>2048</v>
      </c>
      <c r="G474" t="s">
        <v>2049</v>
      </c>
      <c r="H474" t="s">
        <v>2050</v>
      </c>
    </row>
    <row r="475" spans="6:8" x14ac:dyDescent="0.25">
      <c r="F475" t="s">
        <v>2051</v>
      </c>
      <c r="G475" t="s">
        <v>2052</v>
      </c>
      <c r="H475" t="s">
        <v>2053</v>
      </c>
    </row>
    <row r="476" spans="6:8" x14ac:dyDescent="0.25">
      <c r="F476" t="s">
        <v>2054</v>
      </c>
      <c r="G476" t="s">
        <v>2055</v>
      </c>
      <c r="H476" t="s">
        <v>2056</v>
      </c>
    </row>
    <row r="477" spans="6:8" x14ac:dyDescent="0.25">
      <c r="F477" t="s">
        <v>2057</v>
      </c>
      <c r="G477" t="s">
        <v>2058</v>
      </c>
      <c r="H477" t="s">
        <v>2059</v>
      </c>
    </row>
    <row r="478" spans="6:8" x14ac:dyDescent="0.25">
      <c r="F478" t="s">
        <v>2060</v>
      </c>
      <c r="G478" t="s">
        <v>2061</v>
      </c>
      <c r="H478" t="s">
        <v>2062</v>
      </c>
    </row>
    <row r="479" spans="6:8" x14ac:dyDescent="0.25">
      <c r="F479" t="s">
        <v>2063</v>
      </c>
      <c r="G479" t="s">
        <v>2064</v>
      </c>
      <c r="H479" t="s">
        <v>2065</v>
      </c>
    </row>
    <row r="480" spans="6:8" x14ac:dyDescent="0.25">
      <c r="F480" t="s">
        <v>2066</v>
      </c>
      <c r="G480" t="s">
        <v>2067</v>
      </c>
      <c r="H480" t="s">
        <v>2068</v>
      </c>
    </row>
    <row r="481" spans="6:8" x14ac:dyDescent="0.25">
      <c r="F481" t="s">
        <v>2069</v>
      </c>
      <c r="G481" t="s">
        <v>2070</v>
      </c>
      <c r="H481" t="s">
        <v>2071</v>
      </c>
    </row>
    <row r="482" spans="6:8" x14ac:dyDescent="0.25">
      <c r="F482" t="s">
        <v>2072</v>
      </c>
      <c r="G482" t="s">
        <v>2073</v>
      </c>
      <c r="H482" t="s">
        <v>2074</v>
      </c>
    </row>
    <row r="483" spans="6:8" x14ac:dyDescent="0.25">
      <c r="F483" t="s">
        <v>2075</v>
      </c>
      <c r="G483" t="s">
        <v>2076</v>
      </c>
      <c r="H483" t="s">
        <v>2077</v>
      </c>
    </row>
    <row r="484" spans="6:8" x14ac:dyDescent="0.25">
      <c r="F484" t="s">
        <v>2078</v>
      </c>
      <c r="G484" t="s">
        <v>2079</v>
      </c>
      <c r="H484" t="s">
        <v>2080</v>
      </c>
    </row>
    <row r="485" spans="6:8" x14ac:dyDescent="0.25">
      <c r="F485" t="s">
        <v>2081</v>
      </c>
      <c r="G485" t="s">
        <v>2082</v>
      </c>
      <c r="H485" t="s">
        <v>2083</v>
      </c>
    </row>
    <row r="486" spans="6:8" x14ac:dyDescent="0.25">
      <c r="F486" t="s">
        <v>2084</v>
      </c>
      <c r="G486" t="s">
        <v>2085</v>
      </c>
      <c r="H486" t="s">
        <v>2086</v>
      </c>
    </row>
    <row r="487" spans="6:8" x14ac:dyDescent="0.25">
      <c r="F487" t="s">
        <v>2087</v>
      </c>
      <c r="G487" t="s">
        <v>2088</v>
      </c>
      <c r="H487" t="s">
        <v>2089</v>
      </c>
    </row>
    <row r="488" spans="6:8" x14ac:dyDescent="0.25">
      <c r="F488" t="s">
        <v>2090</v>
      </c>
      <c r="G488" t="s">
        <v>1454</v>
      </c>
      <c r="H488" t="s">
        <v>2091</v>
      </c>
    </row>
    <row r="489" spans="6:8" x14ac:dyDescent="0.25">
      <c r="F489" t="s">
        <v>2092</v>
      </c>
      <c r="G489" t="s">
        <v>2093</v>
      </c>
      <c r="H489" t="s">
        <v>2094</v>
      </c>
    </row>
    <row r="490" spans="6:8" x14ac:dyDescent="0.25">
      <c r="F490" t="s">
        <v>2095</v>
      </c>
      <c r="G490" t="s">
        <v>2096</v>
      </c>
      <c r="H490" t="s">
        <v>2097</v>
      </c>
    </row>
    <row r="491" spans="6:8" x14ac:dyDescent="0.25">
      <c r="F491" t="s">
        <v>2098</v>
      </c>
      <c r="G491" t="s">
        <v>2099</v>
      </c>
      <c r="H491" t="s">
        <v>2100</v>
      </c>
    </row>
    <row r="492" spans="6:8" x14ac:dyDescent="0.25">
      <c r="F492" t="s">
        <v>2101</v>
      </c>
      <c r="G492" t="s">
        <v>2102</v>
      </c>
      <c r="H492" t="s">
        <v>2103</v>
      </c>
    </row>
    <row r="493" spans="6:8" x14ac:dyDescent="0.25">
      <c r="F493" t="s">
        <v>2104</v>
      </c>
      <c r="G493" t="s">
        <v>2105</v>
      </c>
      <c r="H493" t="s">
        <v>2106</v>
      </c>
    </row>
    <row r="494" spans="6:8" x14ac:dyDescent="0.25">
      <c r="F494" t="s">
        <v>2107</v>
      </c>
      <c r="G494" t="s">
        <v>2108</v>
      </c>
      <c r="H494" t="s">
        <v>2109</v>
      </c>
    </row>
    <row r="495" spans="6:8" x14ac:dyDescent="0.25">
      <c r="F495" t="s">
        <v>2110</v>
      </c>
      <c r="G495" t="s">
        <v>2111</v>
      </c>
      <c r="H495" t="s">
        <v>2112</v>
      </c>
    </row>
    <row r="496" spans="6:8" x14ac:dyDescent="0.25">
      <c r="F496" t="s">
        <v>2113</v>
      </c>
      <c r="G496" t="s">
        <v>2114</v>
      </c>
      <c r="H496" t="s">
        <v>2115</v>
      </c>
    </row>
    <row r="497" spans="6:8" x14ac:dyDescent="0.25">
      <c r="F497" t="s">
        <v>2116</v>
      </c>
      <c r="G497" t="s">
        <v>2117</v>
      </c>
      <c r="H497" t="s">
        <v>2118</v>
      </c>
    </row>
    <row r="498" spans="6:8" x14ac:dyDescent="0.25">
      <c r="F498" t="s">
        <v>2119</v>
      </c>
      <c r="G498" t="s">
        <v>2120</v>
      </c>
      <c r="H498" t="s">
        <v>2121</v>
      </c>
    </row>
    <row r="499" spans="6:8" x14ac:dyDescent="0.25">
      <c r="F499" t="s">
        <v>2122</v>
      </c>
      <c r="G499" t="s">
        <v>2123</v>
      </c>
      <c r="H499" t="s">
        <v>2124</v>
      </c>
    </row>
    <row r="500" spans="6:8" x14ac:dyDescent="0.25">
      <c r="F500" t="s">
        <v>2125</v>
      </c>
      <c r="G500" t="s">
        <v>2126</v>
      </c>
      <c r="H500" t="s">
        <v>2127</v>
      </c>
    </row>
    <row r="501" spans="6:8" x14ac:dyDescent="0.25">
      <c r="F501" t="s">
        <v>2128</v>
      </c>
      <c r="G501" t="s">
        <v>2129</v>
      </c>
      <c r="H501" t="s">
        <v>2130</v>
      </c>
    </row>
    <row r="502" spans="6:8" x14ac:dyDescent="0.25">
      <c r="F502" t="s">
        <v>2131</v>
      </c>
      <c r="G502" t="s">
        <v>2132</v>
      </c>
      <c r="H502" t="s">
        <v>2133</v>
      </c>
    </row>
    <row r="503" spans="6:8" x14ac:dyDescent="0.25">
      <c r="F503" t="s">
        <v>2134</v>
      </c>
      <c r="G503" t="s">
        <v>2135</v>
      </c>
      <c r="H503" t="s">
        <v>2136</v>
      </c>
    </row>
    <row r="504" spans="6:8" x14ac:dyDescent="0.25">
      <c r="F504" t="s">
        <v>2137</v>
      </c>
      <c r="G504" t="s">
        <v>2138</v>
      </c>
      <c r="H504" t="s">
        <v>2139</v>
      </c>
    </row>
    <row r="505" spans="6:8" x14ac:dyDescent="0.25">
      <c r="F505" t="s">
        <v>2140</v>
      </c>
      <c r="G505" t="s">
        <v>2141</v>
      </c>
      <c r="H505" t="s">
        <v>2142</v>
      </c>
    </row>
    <row r="506" spans="6:8" x14ac:dyDescent="0.25">
      <c r="F506" t="s">
        <v>2143</v>
      </c>
      <c r="G506" t="s">
        <v>2144</v>
      </c>
      <c r="H506" t="s">
        <v>2145</v>
      </c>
    </row>
    <row r="507" spans="6:8" x14ac:dyDescent="0.25">
      <c r="F507" t="s">
        <v>2146</v>
      </c>
      <c r="G507" t="s">
        <v>2147</v>
      </c>
      <c r="H507" t="s">
        <v>2148</v>
      </c>
    </row>
    <row r="508" spans="6:8" x14ac:dyDescent="0.25">
      <c r="F508" t="s">
        <v>2149</v>
      </c>
      <c r="G508" t="s">
        <v>2150</v>
      </c>
      <c r="H508" t="s">
        <v>2151</v>
      </c>
    </row>
    <row r="509" spans="6:8" x14ac:dyDescent="0.25">
      <c r="F509" t="s">
        <v>2152</v>
      </c>
      <c r="G509" t="s">
        <v>2153</v>
      </c>
      <c r="H509" t="s">
        <v>2154</v>
      </c>
    </row>
    <row r="510" spans="6:8" x14ac:dyDescent="0.25">
      <c r="F510" t="s">
        <v>2155</v>
      </c>
      <c r="G510" t="s">
        <v>2156</v>
      </c>
      <c r="H510" t="s">
        <v>2157</v>
      </c>
    </row>
    <row r="511" spans="6:8" x14ac:dyDescent="0.25">
      <c r="F511" t="s">
        <v>2158</v>
      </c>
      <c r="G511" t="s">
        <v>754</v>
      </c>
      <c r="H511" t="s">
        <v>2159</v>
      </c>
    </row>
    <row r="512" spans="6:8" x14ac:dyDescent="0.25">
      <c r="F512" t="s">
        <v>394</v>
      </c>
      <c r="G512" t="s">
        <v>2160</v>
      </c>
      <c r="H512" t="s">
        <v>2161</v>
      </c>
    </row>
    <row r="513" spans="6:8" x14ac:dyDescent="0.25">
      <c r="F513" t="s">
        <v>2162</v>
      </c>
      <c r="G513" t="s">
        <v>2163</v>
      </c>
      <c r="H513" t="s">
        <v>2164</v>
      </c>
    </row>
    <row r="514" spans="6:8" x14ac:dyDescent="0.25">
      <c r="F514" t="s">
        <v>2165</v>
      </c>
      <c r="G514" t="s">
        <v>2166</v>
      </c>
      <c r="H514" t="s">
        <v>2167</v>
      </c>
    </row>
    <row r="515" spans="6:8" x14ac:dyDescent="0.25">
      <c r="F515" t="s">
        <v>2168</v>
      </c>
      <c r="G515" t="s">
        <v>2169</v>
      </c>
      <c r="H515" t="s">
        <v>2170</v>
      </c>
    </row>
    <row r="516" spans="6:8" x14ac:dyDescent="0.25">
      <c r="F516" t="s">
        <v>2171</v>
      </c>
      <c r="G516" t="s">
        <v>2172</v>
      </c>
      <c r="H516" t="s">
        <v>2173</v>
      </c>
    </row>
    <row r="517" spans="6:8" x14ac:dyDescent="0.25">
      <c r="F517" t="s">
        <v>2174</v>
      </c>
      <c r="G517" t="s">
        <v>2175</v>
      </c>
      <c r="H517" t="s">
        <v>2176</v>
      </c>
    </row>
    <row r="518" spans="6:8" x14ac:dyDescent="0.25">
      <c r="F518" t="s">
        <v>2177</v>
      </c>
      <c r="G518" t="s">
        <v>2178</v>
      </c>
      <c r="H518" t="s">
        <v>2179</v>
      </c>
    </row>
    <row r="519" spans="6:8" x14ac:dyDescent="0.25">
      <c r="F519" t="s">
        <v>2180</v>
      </c>
      <c r="G519" t="s">
        <v>2181</v>
      </c>
      <c r="H519" t="s">
        <v>2182</v>
      </c>
    </row>
    <row r="520" spans="6:8" x14ac:dyDescent="0.25">
      <c r="F520" t="s">
        <v>2183</v>
      </c>
      <c r="G520" t="s">
        <v>1876</v>
      </c>
      <c r="H520" t="s">
        <v>2184</v>
      </c>
    </row>
    <row r="521" spans="6:8" x14ac:dyDescent="0.25">
      <c r="F521" t="s">
        <v>2185</v>
      </c>
      <c r="G521" t="s">
        <v>510</v>
      </c>
      <c r="H521" t="s">
        <v>2186</v>
      </c>
    </row>
    <row r="522" spans="6:8" x14ac:dyDescent="0.25">
      <c r="F522" t="s">
        <v>2187</v>
      </c>
      <c r="G522" t="s">
        <v>2188</v>
      </c>
      <c r="H522" t="s">
        <v>2189</v>
      </c>
    </row>
    <row r="523" spans="6:8" x14ac:dyDescent="0.25">
      <c r="F523" t="s">
        <v>2190</v>
      </c>
      <c r="G523" t="s">
        <v>2191</v>
      </c>
      <c r="H523" t="s">
        <v>2192</v>
      </c>
    </row>
    <row r="524" spans="6:8" x14ac:dyDescent="0.25">
      <c r="F524" t="s">
        <v>2193</v>
      </c>
      <c r="G524" t="s">
        <v>2194</v>
      </c>
      <c r="H524" t="s">
        <v>2195</v>
      </c>
    </row>
    <row r="525" spans="6:8" x14ac:dyDescent="0.25">
      <c r="F525" t="s">
        <v>2196</v>
      </c>
      <c r="G525" t="s">
        <v>2197</v>
      </c>
      <c r="H525" t="s">
        <v>2198</v>
      </c>
    </row>
    <row r="526" spans="6:8" x14ac:dyDescent="0.25">
      <c r="F526" t="s">
        <v>2199</v>
      </c>
      <c r="G526" t="s">
        <v>2200</v>
      </c>
      <c r="H526" t="s">
        <v>2201</v>
      </c>
    </row>
    <row r="527" spans="6:8" x14ac:dyDescent="0.25">
      <c r="F527" t="s">
        <v>2202</v>
      </c>
      <c r="G527" t="s">
        <v>2203</v>
      </c>
      <c r="H527" t="s">
        <v>2204</v>
      </c>
    </row>
    <row r="528" spans="6:8" x14ac:dyDescent="0.25">
      <c r="F528" t="s">
        <v>2205</v>
      </c>
      <c r="G528" t="s">
        <v>2206</v>
      </c>
      <c r="H528" t="s">
        <v>2207</v>
      </c>
    </row>
    <row r="529" spans="6:8" x14ac:dyDescent="0.25">
      <c r="F529" t="s">
        <v>2208</v>
      </c>
      <c r="G529" t="s">
        <v>2209</v>
      </c>
      <c r="H529" t="s">
        <v>2210</v>
      </c>
    </row>
    <row r="530" spans="6:8" x14ac:dyDescent="0.25">
      <c r="F530" t="s">
        <v>2211</v>
      </c>
      <c r="G530" t="s">
        <v>2212</v>
      </c>
      <c r="H530" t="s">
        <v>2213</v>
      </c>
    </row>
    <row r="531" spans="6:8" x14ac:dyDescent="0.25">
      <c r="F531" t="s">
        <v>2214</v>
      </c>
      <c r="G531" t="s">
        <v>2215</v>
      </c>
      <c r="H531" t="s">
        <v>2216</v>
      </c>
    </row>
    <row r="532" spans="6:8" x14ac:dyDescent="0.25">
      <c r="F532" t="s">
        <v>2217</v>
      </c>
      <c r="G532" t="s">
        <v>2218</v>
      </c>
      <c r="H532" t="s">
        <v>2219</v>
      </c>
    </row>
    <row r="533" spans="6:8" x14ac:dyDescent="0.25">
      <c r="F533" t="s">
        <v>2220</v>
      </c>
      <c r="G533" t="s">
        <v>2221</v>
      </c>
      <c r="H533" t="s">
        <v>2222</v>
      </c>
    </row>
    <row r="534" spans="6:8" x14ac:dyDescent="0.25">
      <c r="F534" t="s">
        <v>2223</v>
      </c>
      <c r="G534" t="s">
        <v>962</v>
      </c>
      <c r="H534" t="s">
        <v>2224</v>
      </c>
    </row>
    <row r="535" spans="6:8" x14ac:dyDescent="0.25">
      <c r="F535" t="s">
        <v>2225</v>
      </c>
      <c r="G535" t="s">
        <v>2226</v>
      </c>
      <c r="H535" t="s">
        <v>2227</v>
      </c>
    </row>
    <row r="536" spans="6:8" x14ac:dyDescent="0.25">
      <c r="F536" t="s">
        <v>2228</v>
      </c>
      <c r="G536" t="s">
        <v>2229</v>
      </c>
      <c r="H536" t="s">
        <v>2230</v>
      </c>
    </row>
    <row r="537" spans="6:8" x14ac:dyDescent="0.25">
      <c r="F537" t="s">
        <v>2231</v>
      </c>
      <c r="G537" t="s">
        <v>2232</v>
      </c>
      <c r="H537" t="s">
        <v>2233</v>
      </c>
    </row>
    <row r="538" spans="6:8" x14ac:dyDescent="0.25">
      <c r="F538" t="s">
        <v>2234</v>
      </c>
      <c r="G538" t="s">
        <v>2235</v>
      </c>
      <c r="H538" t="s">
        <v>2236</v>
      </c>
    </row>
    <row r="539" spans="6:8" x14ac:dyDescent="0.25">
      <c r="F539" t="s">
        <v>2237</v>
      </c>
      <c r="G539" t="s">
        <v>2238</v>
      </c>
      <c r="H539" t="s">
        <v>2239</v>
      </c>
    </row>
    <row r="540" spans="6:8" x14ac:dyDescent="0.25">
      <c r="F540" t="s">
        <v>2240</v>
      </c>
      <c r="G540" t="s">
        <v>647</v>
      </c>
      <c r="H540" t="s">
        <v>2241</v>
      </c>
    </row>
    <row r="541" spans="6:8" x14ac:dyDescent="0.25">
      <c r="F541" t="s">
        <v>2242</v>
      </c>
      <c r="G541" t="s">
        <v>1992</v>
      </c>
      <c r="H541" t="s">
        <v>2243</v>
      </c>
    </row>
    <row r="542" spans="6:8" x14ac:dyDescent="0.25">
      <c r="F542" t="s">
        <v>2244</v>
      </c>
      <c r="G542" t="s">
        <v>392</v>
      </c>
      <c r="H542" t="s">
        <v>2245</v>
      </c>
    </row>
    <row r="543" spans="6:8" x14ac:dyDescent="0.25">
      <c r="F543" t="s">
        <v>2246</v>
      </c>
      <c r="G543" t="s">
        <v>2247</v>
      </c>
      <c r="H543" t="s">
        <v>2248</v>
      </c>
    </row>
    <row r="544" spans="6:8" x14ac:dyDescent="0.25">
      <c r="F544" t="s">
        <v>2249</v>
      </c>
      <c r="G544" t="s">
        <v>2250</v>
      </c>
      <c r="H544" t="s">
        <v>2251</v>
      </c>
    </row>
    <row r="545" spans="6:8" x14ac:dyDescent="0.25">
      <c r="F545" t="s">
        <v>2252</v>
      </c>
      <c r="G545" t="s">
        <v>2253</v>
      </c>
      <c r="H545" t="s">
        <v>2254</v>
      </c>
    </row>
    <row r="546" spans="6:8" x14ac:dyDescent="0.25">
      <c r="F546" t="s">
        <v>2255</v>
      </c>
      <c r="G546" t="s">
        <v>2256</v>
      </c>
      <c r="H546" t="s">
        <v>2257</v>
      </c>
    </row>
    <row r="547" spans="6:8" x14ac:dyDescent="0.25">
      <c r="F547" t="s">
        <v>391</v>
      </c>
      <c r="G547" t="s">
        <v>392</v>
      </c>
      <c r="H547" t="s">
        <v>2258</v>
      </c>
    </row>
    <row r="548" spans="6:8" x14ac:dyDescent="0.25">
      <c r="F548" t="s">
        <v>2259</v>
      </c>
      <c r="G548" t="s">
        <v>2260</v>
      </c>
      <c r="H548" t="s">
        <v>2261</v>
      </c>
    </row>
    <row r="549" spans="6:8" x14ac:dyDescent="0.25">
      <c r="F549" t="s">
        <v>2262</v>
      </c>
      <c r="G549" t="s">
        <v>2263</v>
      </c>
      <c r="H549" t="s">
        <v>2264</v>
      </c>
    </row>
    <row r="550" spans="6:8" x14ac:dyDescent="0.25">
      <c r="F550" t="s">
        <v>2265</v>
      </c>
      <c r="G550" t="s">
        <v>2266</v>
      </c>
      <c r="H550" t="s">
        <v>2267</v>
      </c>
    </row>
    <row r="551" spans="6:8" x14ac:dyDescent="0.25">
      <c r="F551" t="s">
        <v>2268</v>
      </c>
      <c r="G551" t="s">
        <v>2013</v>
      </c>
      <c r="H551" t="s">
        <v>2269</v>
      </c>
    </row>
    <row r="552" spans="6:8" x14ac:dyDescent="0.25">
      <c r="F552" t="s">
        <v>2270</v>
      </c>
      <c r="G552" t="s">
        <v>478</v>
      </c>
      <c r="H552" t="s">
        <v>2271</v>
      </c>
    </row>
    <row r="553" spans="6:8" x14ac:dyDescent="0.25">
      <c r="F553" t="s">
        <v>2272</v>
      </c>
      <c r="G553" t="s">
        <v>2273</v>
      </c>
      <c r="H553" t="s">
        <v>2274</v>
      </c>
    </row>
    <row r="554" spans="6:8" x14ac:dyDescent="0.25">
      <c r="F554" t="s">
        <v>2275</v>
      </c>
      <c r="G554" t="s">
        <v>2276</v>
      </c>
      <c r="H554" t="s">
        <v>2277</v>
      </c>
    </row>
    <row r="555" spans="6:8" x14ac:dyDescent="0.25">
      <c r="F555" t="s">
        <v>2278</v>
      </c>
      <c r="G555" t="s">
        <v>2279</v>
      </c>
      <c r="H555" t="s">
        <v>2280</v>
      </c>
    </row>
    <row r="556" spans="6:8" x14ac:dyDescent="0.25">
      <c r="F556" t="s">
        <v>2281</v>
      </c>
      <c r="G556" t="s">
        <v>2282</v>
      </c>
      <c r="H556" t="s">
        <v>2283</v>
      </c>
    </row>
    <row r="557" spans="6:8" x14ac:dyDescent="0.25">
      <c r="F557" t="s">
        <v>2284</v>
      </c>
      <c r="G557" t="s">
        <v>2285</v>
      </c>
      <c r="H557" t="s">
        <v>2286</v>
      </c>
    </row>
    <row r="558" spans="6:8" x14ac:dyDescent="0.25">
      <c r="F558" t="s">
        <v>2287</v>
      </c>
      <c r="G558" t="s">
        <v>2288</v>
      </c>
      <c r="H558" t="s">
        <v>2289</v>
      </c>
    </row>
    <row r="559" spans="6:8" x14ac:dyDescent="0.25">
      <c r="F559" t="s">
        <v>2290</v>
      </c>
      <c r="G559" t="s">
        <v>2291</v>
      </c>
      <c r="H559" t="s">
        <v>2292</v>
      </c>
    </row>
    <row r="560" spans="6:8" x14ac:dyDescent="0.25">
      <c r="F560" t="s">
        <v>249</v>
      </c>
      <c r="G560" t="s">
        <v>2293</v>
      </c>
      <c r="H560" t="s">
        <v>2294</v>
      </c>
    </row>
    <row r="561" spans="6:8" x14ac:dyDescent="0.25">
      <c r="F561" t="s">
        <v>2295</v>
      </c>
      <c r="G561" t="s">
        <v>2296</v>
      </c>
      <c r="H561" t="s">
        <v>2297</v>
      </c>
    </row>
    <row r="562" spans="6:8" x14ac:dyDescent="0.25">
      <c r="F562" t="s">
        <v>2298</v>
      </c>
      <c r="G562" t="s">
        <v>2299</v>
      </c>
      <c r="H562" t="s">
        <v>2300</v>
      </c>
    </row>
    <row r="563" spans="6:8" x14ac:dyDescent="0.25">
      <c r="F563" t="s">
        <v>2301</v>
      </c>
      <c r="G563" t="s">
        <v>2302</v>
      </c>
      <c r="H563" t="s">
        <v>2303</v>
      </c>
    </row>
    <row r="564" spans="6:8" x14ac:dyDescent="0.25">
      <c r="F564" t="s">
        <v>422</v>
      </c>
      <c r="G564" t="s">
        <v>2304</v>
      </c>
      <c r="H564" t="s">
        <v>423</v>
      </c>
    </row>
    <row r="565" spans="6:8" x14ac:dyDescent="0.25">
      <c r="F565" t="s">
        <v>2305</v>
      </c>
      <c r="G565" t="s">
        <v>2306</v>
      </c>
      <c r="H565" t="s">
        <v>2307</v>
      </c>
    </row>
    <row r="566" spans="6:8" x14ac:dyDescent="0.25">
      <c r="F566" t="s">
        <v>2308</v>
      </c>
      <c r="G566" t="s">
        <v>2309</v>
      </c>
      <c r="H566" t="s">
        <v>2310</v>
      </c>
    </row>
    <row r="567" spans="6:8" x14ac:dyDescent="0.25">
      <c r="F567" t="s">
        <v>2311</v>
      </c>
      <c r="G567" t="s">
        <v>2312</v>
      </c>
      <c r="H567" t="s">
        <v>2313</v>
      </c>
    </row>
    <row r="568" spans="6:8" x14ac:dyDescent="0.25">
      <c r="F568" t="s">
        <v>2314</v>
      </c>
      <c r="G568" t="s">
        <v>2315</v>
      </c>
      <c r="H568" t="s">
        <v>2316</v>
      </c>
    </row>
    <row r="569" spans="6:8" x14ac:dyDescent="0.25">
      <c r="F569" t="s">
        <v>2317</v>
      </c>
      <c r="G569" t="s">
        <v>2318</v>
      </c>
      <c r="H569" t="s">
        <v>2319</v>
      </c>
    </row>
    <row r="570" spans="6:8" x14ac:dyDescent="0.25">
      <c r="F570" t="s">
        <v>2320</v>
      </c>
      <c r="G570" t="s">
        <v>2321</v>
      </c>
      <c r="H570" t="s">
        <v>2322</v>
      </c>
    </row>
    <row r="571" spans="6:8" x14ac:dyDescent="0.25">
      <c r="F571" t="s">
        <v>2323</v>
      </c>
      <c r="G571" t="s">
        <v>2324</v>
      </c>
      <c r="H571" t="s">
        <v>2325</v>
      </c>
    </row>
    <row r="572" spans="6:8" x14ac:dyDescent="0.25">
      <c r="F572" t="s">
        <v>2326</v>
      </c>
      <c r="G572" t="s">
        <v>2327</v>
      </c>
      <c r="H572" t="s">
        <v>2328</v>
      </c>
    </row>
    <row r="573" spans="6:8" x14ac:dyDescent="0.25">
      <c r="F573" t="s">
        <v>2329</v>
      </c>
      <c r="G573" t="s">
        <v>2330</v>
      </c>
      <c r="H573" t="s">
        <v>2331</v>
      </c>
    </row>
    <row r="574" spans="6:8" x14ac:dyDescent="0.25">
      <c r="F574" t="s">
        <v>2332</v>
      </c>
      <c r="G574" t="s">
        <v>2333</v>
      </c>
      <c r="H574" t="s">
        <v>2334</v>
      </c>
    </row>
    <row r="575" spans="6:8" x14ac:dyDescent="0.25">
      <c r="F575" t="s">
        <v>2335</v>
      </c>
      <c r="G575" t="s">
        <v>2336</v>
      </c>
      <c r="H575" t="s">
        <v>2337</v>
      </c>
    </row>
    <row r="576" spans="6:8" x14ac:dyDescent="0.25">
      <c r="F576" t="s">
        <v>2338</v>
      </c>
      <c r="G576" t="s">
        <v>2339</v>
      </c>
      <c r="H576" t="s">
        <v>2340</v>
      </c>
    </row>
    <row r="577" spans="6:8" x14ac:dyDescent="0.25">
      <c r="F577" t="s">
        <v>2341</v>
      </c>
      <c r="G577" t="s">
        <v>2342</v>
      </c>
      <c r="H577" t="s">
        <v>2343</v>
      </c>
    </row>
    <row r="578" spans="6:8" x14ac:dyDescent="0.25">
      <c r="F578" t="s">
        <v>2344</v>
      </c>
      <c r="G578" t="s">
        <v>2345</v>
      </c>
      <c r="H578" t="s">
        <v>2346</v>
      </c>
    </row>
    <row r="579" spans="6:8" x14ac:dyDescent="0.25">
      <c r="F579" t="s">
        <v>2347</v>
      </c>
      <c r="G579" t="s">
        <v>2348</v>
      </c>
      <c r="H579" t="s">
        <v>2349</v>
      </c>
    </row>
    <row r="580" spans="6:8" x14ac:dyDescent="0.25">
      <c r="F580" t="s">
        <v>2350</v>
      </c>
      <c r="G580" t="s">
        <v>2351</v>
      </c>
      <c r="H580" t="s">
        <v>2352</v>
      </c>
    </row>
    <row r="581" spans="6:8" x14ac:dyDescent="0.25">
      <c r="F581" t="s">
        <v>2353</v>
      </c>
      <c r="G581" t="s">
        <v>2354</v>
      </c>
      <c r="H581" t="s">
        <v>2355</v>
      </c>
    </row>
    <row r="582" spans="6:8" x14ac:dyDescent="0.25">
      <c r="F582" t="s">
        <v>2356</v>
      </c>
      <c r="G582" t="s">
        <v>2357</v>
      </c>
      <c r="H582" t="s">
        <v>2358</v>
      </c>
    </row>
    <row r="583" spans="6:8" x14ac:dyDescent="0.25">
      <c r="F583" t="s">
        <v>2359</v>
      </c>
      <c r="G583" t="s">
        <v>2360</v>
      </c>
      <c r="H583" t="s">
        <v>2361</v>
      </c>
    </row>
    <row r="584" spans="6:8" x14ac:dyDescent="0.25">
      <c r="F584" t="s">
        <v>2362</v>
      </c>
      <c r="G584" t="s">
        <v>2363</v>
      </c>
      <c r="H584" t="s">
        <v>2364</v>
      </c>
    </row>
    <row r="585" spans="6:8" x14ac:dyDescent="0.25">
      <c r="F585" t="s">
        <v>2365</v>
      </c>
      <c r="G585" t="s">
        <v>2366</v>
      </c>
      <c r="H585" t="s">
        <v>2367</v>
      </c>
    </row>
    <row r="586" spans="6:8" x14ac:dyDescent="0.25">
      <c r="F586" t="s">
        <v>2368</v>
      </c>
      <c r="G586" t="s">
        <v>2369</v>
      </c>
      <c r="H586" t="s">
        <v>2370</v>
      </c>
    </row>
    <row r="587" spans="6:8" x14ac:dyDescent="0.25">
      <c r="F587" t="s">
        <v>2371</v>
      </c>
      <c r="G587" t="s">
        <v>2372</v>
      </c>
      <c r="H587" t="s">
        <v>2373</v>
      </c>
    </row>
    <row r="588" spans="6:8" x14ac:dyDescent="0.25">
      <c r="F588" t="s">
        <v>2374</v>
      </c>
      <c r="G588" t="s">
        <v>2375</v>
      </c>
      <c r="H588" t="s">
        <v>2376</v>
      </c>
    </row>
    <row r="589" spans="6:8" x14ac:dyDescent="0.25">
      <c r="F589" t="s">
        <v>2377</v>
      </c>
      <c r="G589" t="s">
        <v>2378</v>
      </c>
      <c r="H589" t="s">
        <v>2379</v>
      </c>
    </row>
    <row r="590" spans="6:8" x14ac:dyDescent="0.25">
      <c r="F590" t="s">
        <v>2380</v>
      </c>
      <c r="G590" t="s">
        <v>2381</v>
      </c>
      <c r="H590" t="s">
        <v>2382</v>
      </c>
    </row>
    <row r="591" spans="6:8" x14ac:dyDescent="0.25">
      <c r="F591" t="s">
        <v>2383</v>
      </c>
      <c r="G591" t="s">
        <v>2384</v>
      </c>
      <c r="H591" t="s">
        <v>2385</v>
      </c>
    </row>
    <row r="592" spans="6:8" x14ac:dyDescent="0.25">
      <c r="F592" t="s">
        <v>2386</v>
      </c>
      <c r="G592" t="s">
        <v>2387</v>
      </c>
      <c r="H592" t="s">
        <v>2388</v>
      </c>
    </row>
    <row r="593" spans="6:8" x14ac:dyDescent="0.25">
      <c r="F593" t="s">
        <v>2389</v>
      </c>
      <c r="G593" t="s">
        <v>2390</v>
      </c>
      <c r="H593" t="s">
        <v>2391</v>
      </c>
    </row>
    <row r="594" spans="6:8" x14ac:dyDescent="0.25">
      <c r="F594" t="s">
        <v>2392</v>
      </c>
      <c r="G594" t="s">
        <v>2393</v>
      </c>
      <c r="H594" t="s">
        <v>2394</v>
      </c>
    </row>
    <row r="595" spans="6:8" x14ac:dyDescent="0.25">
      <c r="F595" t="s">
        <v>2395</v>
      </c>
      <c r="G595" t="s">
        <v>2396</v>
      </c>
      <c r="H595" t="s">
        <v>2397</v>
      </c>
    </row>
    <row r="596" spans="6:8" x14ac:dyDescent="0.25">
      <c r="F596" t="s">
        <v>2398</v>
      </c>
      <c r="G596" t="s">
        <v>2399</v>
      </c>
      <c r="H596" t="s">
        <v>2400</v>
      </c>
    </row>
    <row r="597" spans="6:8" x14ac:dyDescent="0.25">
      <c r="F597" t="s">
        <v>2401</v>
      </c>
      <c r="G597" t="s">
        <v>2402</v>
      </c>
      <c r="H597" t="s">
        <v>2403</v>
      </c>
    </row>
    <row r="598" spans="6:8" x14ac:dyDescent="0.25">
      <c r="F598" t="s">
        <v>2404</v>
      </c>
      <c r="G598" t="s">
        <v>2405</v>
      </c>
      <c r="H598" t="s">
        <v>2406</v>
      </c>
    </row>
    <row r="599" spans="6:8" x14ac:dyDescent="0.25">
      <c r="F599" t="s">
        <v>2407</v>
      </c>
      <c r="G599" t="s">
        <v>2408</v>
      </c>
      <c r="H599" t="s">
        <v>2409</v>
      </c>
    </row>
    <row r="600" spans="6:8" x14ac:dyDescent="0.25">
      <c r="F600" t="s">
        <v>2410</v>
      </c>
      <c r="G600" t="s">
        <v>2411</v>
      </c>
      <c r="H600" t="s">
        <v>2412</v>
      </c>
    </row>
    <row r="601" spans="6:8" x14ac:dyDescent="0.25">
      <c r="F601" t="s">
        <v>2413</v>
      </c>
      <c r="G601" t="s">
        <v>2414</v>
      </c>
      <c r="H601" t="s">
        <v>2415</v>
      </c>
    </row>
    <row r="602" spans="6:8" x14ac:dyDescent="0.25">
      <c r="F602" t="s">
        <v>2416</v>
      </c>
      <c r="G602" t="s">
        <v>2417</v>
      </c>
      <c r="H602" t="s">
        <v>2418</v>
      </c>
    </row>
    <row r="603" spans="6:8" x14ac:dyDescent="0.25">
      <c r="F603" t="s">
        <v>2419</v>
      </c>
      <c r="G603" t="s">
        <v>2420</v>
      </c>
      <c r="H603" t="s">
        <v>2421</v>
      </c>
    </row>
    <row r="604" spans="6:8" x14ac:dyDescent="0.25">
      <c r="F604" t="s">
        <v>2422</v>
      </c>
      <c r="G604" t="s">
        <v>2423</v>
      </c>
      <c r="H604" t="s">
        <v>2424</v>
      </c>
    </row>
    <row r="605" spans="6:8" x14ac:dyDescent="0.25">
      <c r="F605" t="s">
        <v>2425</v>
      </c>
      <c r="G605" t="s">
        <v>2426</v>
      </c>
      <c r="H605" t="s">
        <v>2427</v>
      </c>
    </row>
    <row r="606" spans="6:8" x14ac:dyDescent="0.25">
      <c r="F606" t="s">
        <v>2428</v>
      </c>
      <c r="G606" t="s">
        <v>2429</v>
      </c>
      <c r="H606" t="s">
        <v>2430</v>
      </c>
    </row>
    <row r="607" spans="6:8" x14ac:dyDescent="0.25">
      <c r="F607" t="s">
        <v>2431</v>
      </c>
      <c r="G607" t="s">
        <v>1722</v>
      </c>
      <c r="H607" t="s">
        <v>2432</v>
      </c>
    </row>
    <row r="608" spans="6:8" x14ac:dyDescent="0.25">
      <c r="F608" t="s">
        <v>2433</v>
      </c>
      <c r="G608" t="s">
        <v>2434</v>
      </c>
      <c r="H608" t="s">
        <v>2435</v>
      </c>
    </row>
    <row r="609" spans="6:8" x14ac:dyDescent="0.25">
      <c r="F609" t="s">
        <v>2436</v>
      </c>
      <c r="G609" t="s">
        <v>2437</v>
      </c>
      <c r="H609" t="s">
        <v>2438</v>
      </c>
    </row>
    <row r="610" spans="6:8" x14ac:dyDescent="0.25">
      <c r="F610" t="s">
        <v>2439</v>
      </c>
      <c r="G610" t="s">
        <v>2440</v>
      </c>
      <c r="H610" t="s">
        <v>2441</v>
      </c>
    </row>
    <row r="611" spans="6:8" x14ac:dyDescent="0.25">
      <c r="F611" t="s">
        <v>2442</v>
      </c>
      <c r="G611" t="s">
        <v>2443</v>
      </c>
      <c r="H611" t="s">
        <v>2444</v>
      </c>
    </row>
    <row r="612" spans="6:8" x14ac:dyDescent="0.25">
      <c r="F612" t="s">
        <v>2445</v>
      </c>
      <c r="G612" t="s">
        <v>2446</v>
      </c>
      <c r="H612" t="s">
        <v>2447</v>
      </c>
    </row>
    <row r="613" spans="6:8" x14ac:dyDescent="0.25">
      <c r="F613" t="s">
        <v>2448</v>
      </c>
      <c r="G613" t="s">
        <v>2449</v>
      </c>
      <c r="H613" t="s">
        <v>2450</v>
      </c>
    </row>
    <row r="614" spans="6:8" x14ac:dyDescent="0.25">
      <c r="F614" t="s">
        <v>2451</v>
      </c>
      <c r="G614" t="s">
        <v>2452</v>
      </c>
      <c r="H614" t="s">
        <v>2453</v>
      </c>
    </row>
    <row r="615" spans="6:8" x14ac:dyDescent="0.25">
      <c r="F615" t="s">
        <v>2454</v>
      </c>
      <c r="G615" t="s">
        <v>2455</v>
      </c>
      <c r="H615" t="s">
        <v>2456</v>
      </c>
    </row>
    <row r="616" spans="6:8" x14ac:dyDescent="0.25">
      <c r="F616" t="s">
        <v>2457</v>
      </c>
      <c r="G616" t="s">
        <v>2458</v>
      </c>
      <c r="H616" t="s">
        <v>2459</v>
      </c>
    </row>
    <row r="617" spans="6:8" x14ac:dyDescent="0.25">
      <c r="F617" t="s">
        <v>2460</v>
      </c>
      <c r="G617" t="s">
        <v>2461</v>
      </c>
      <c r="H617" t="s">
        <v>2462</v>
      </c>
    </row>
    <row r="618" spans="6:8" x14ac:dyDescent="0.25">
      <c r="F618" t="s">
        <v>2463</v>
      </c>
      <c r="G618" t="s">
        <v>2464</v>
      </c>
      <c r="H618" t="s">
        <v>2465</v>
      </c>
    </row>
    <row r="619" spans="6:8" x14ac:dyDescent="0.25">
      <c r="F619" t="s">
        <v>2466</v>
      </c>
      <c r="G619" t="s">
        <v>2467</v>
      </c>
      <c r="H619" t="s">
        <v>2468</v>
      </c>
    </row>
    <row r="620" spans="6:8" x14ac:dyDescent="0.25">
      <c r="F620" t="s">
        <v>2469</v>
      </c>
      <c r="G620" t="s">
        <v>2470</v>
      </c>
      <c r="H620" t="s">
        <v>2471</v>
      </c>
    </row>
    <row r="621" spans="6:8" x14ac:dyDescent="0.25">
      <c r="F621" t="s">
        <v>2472</v>
      </c>
      <c r="G621" t="s">
        <v>2473</v>
      </c>
      <c r="H621" t="s">
        <v>2474</v>
      </c>
    </row>
    <row r="622" spans="6:8" x14ac:dyDescent="0.25">
      <c r="F622" t="s">
        <v>2475</v>
      </c>
      <c r="G622" t="s">
        <v>2476</v>
      </c>
      <c r="H622" t="s">
        <v>2477</v>
      </c>
    </row>
    <row r="623" spans="6:8" x14ac:dyDescent="0.25">
      <c r="F623" t="s">
        <v>2478</v>
      </c>
      <c r="G623" t="s">
        <v>2479</v>
      </c>
      <c r="H623" t="s">
        <v>2480</v>
      </c>
    </row>
    <row r="624" spans="6:8" x14ac:dyDescent="0.25">
      <c r="F624" t="s">
        <v>2481</v>
      </c>
      <c r="G624" t="s">
        <v>2482</v>
      </c>
      <c r="H624" t="s">
        <v>2483</v>
      </c>
    </row>
    <row r="625" spans="6:8" x14ac:dyDescent="0.25">
      <c r="F625" t="s">
        <v>2484</v>
      </c>
      <c r="G625" t="s">
        <v>2485</v>
      </c>
      <c r="H625" t="s">
        <v>2486</v>
      </c>
    </row>
    <row r="626" spans="6:8" x14ac:dyDescent="0.25">
      <c r="F626" t="s">
        <v>2487</v>
      </c>
      <c r="G626" t="s">
        <v>2488</v>
      </c>
      <c r="H626" t="s">
        <v>2489</v>
      </c>
    </row>
    <row r="627" spans="6:8" x14ac:dyDescent="0.25">
      <c r="F627" t="s">
        <v>2490</v>
      </c>
      <c r="G627" t="s">
        <v>2491</v>
      </c>
      <c r="H627" t="s">
        <v>2492</v>
      </c>
    </row>
    <row r="628" spans="6:8" x14ac:dyDescent="0.25">
      <c r="F628" t="s">
        <v>2493</v>
      </c>
      <c r="G628" t="s">
        <v>1912</v>
      </c>
      <c r="H628" t="s">
        <v>2494</v>
      </c>
    </row>
    <row r="629" spans="6:8" x14ac:dyDescent="0.25">
      <c r="F629" t="s">
        <v>2495</v>
      </c>
      <c r="G629" t="s">
        <v>2496</v>
      </c>
      <c r="H629" t="s">
        <v>2497</v>
      </c>
    </row>
    <row r="630" spans="6:8" x14ac:dyDescent="0.25">
      <c r="F630" t="s">
        <v>2498</v>
      </c>
      <c r="G630" t="s">
        <v>2499</v>
      </c>
      <c r="H630" t="s">
        <v>2500</v>
      </c>
    </row>
    <row r="631" spans="6:8" x14ac:dyDescent="0.25">
      <c r="F631" t="s">
        <v>2501</v>
      </c>
      <c r="G631" t="s">
        <v>2502</v>
      </c>
      <c r="H631" t="s">
        <v>2503</v>
      </c>
    </row>
    <row r="632" spans="6:8" x14ac:dyDescent="0.25">
      <c r="F632" t="s">
        <v>2504</v>
      </c>
      <c r="G632" t="s">
        <v>2505</v>
      </c>
      <c r="H632" t="s">
        <v>2506</v>
      </c>
    </row>
    <row r="633" spans="6:8" x14ac:dyDescent="0.25">
      <c r="F633" t="s">
        <v>2507</v>
      </c>
      <c r="G633" t="s">
        <v>2508</v>
      </c>
      <c r="H633" t="s">
        <v>2509</v>
      </c>
    </row>
    <row r="634" spans="6:8" x14ac:dyDescent="0.25">
      <c r="F634" t="s">
        <v>2510</v>
      </c>
      <c r="G634" t="s">
        <v>2511</v>
      </c>
      <c r="H634" t="s">
        <v>2512</v>
      </c>
    </row>
    <row r="635" spans="6:8" x14ac:dyDescent="0.25">
      <c r="F635" t="s">
        <v>2513</v>
      </c>
      <c r="G635" t="s">
        <v>2514</v>
      </c>
      <c r="H635" t="s">
        <v>2515</v>
      </c>
    </row>
    <row r="636" spans="6:8" x14ac:dyDescent="0.25">
      <c r="F636" t="s">
        <v>2516</v>
      </c>
      <c r="G636" t="s">
        <v>2517</v>
      </c>
      <c r="H636" t="s">
        <v>2518</v>
      </c>
    </row>
    <row r="637" spans="6:8" x14ac:dyDescent="0.25">
      <c r="F637" t="s">
        <v>2519</v>
      </c>
      <c r="G637" t="s">
        <v>2520</v>
      </c>
      <c r="H637" t="s">
        <v>2521</v>
      </c>
    </row>
    <row r="638" spans="6:8" x14ac:dyDescent="0.25">
      <c r="F638" t="s">
        <v>2522</v>
      </c>
      <c r="G638" t="s">
        <v>1882</v>
      </c>
      <c r="H638" t="s">
        <v>2523</v>
      </c>
    </row>
    <row r="639" spans="6:8" x14ac:dyDescent="0.25">
      <c r="F639" t="s">
        <v>2524</v>
      </c>
      <c r="G639" t="s">
        <v>2525</v>
      </c>
      <c r="H639" t="s">
        <v>2526</v>
      </c>
    </row>
    <row r="640" spans="6:8" x14ac:dyDescent="0.25">
      <c r="F640" t="s">
        <v>2527</v>
      </c>
      <c r="G640" t="s">
        <v>2528</v>
      </c>
      <c r="H640" t="s">
        <v>2529</v>
      </c>
    </row>
    <row r="641" spans="6:8" x14ac:dyDescent="0.25">
      <c r="F641" t="s">
        <v>2530</v>
      </c>
      <c r="G641" t="s">
        <v>2531</v>
      </c>
      <c r="H641" t="s">
        <v>2532</v>
      </c>
    </row>
    <row r="642" spans="6:8" x14ac:dyDescent="0.25">
      <c r="F642" t="s">
        <v>2533</v>
      </c>
      <c r="G642" t="s">
        <v>2534</v>
      </c>
      <c r="H642" t="s">
        <v>2535</v>
      </c>
    </row>
    <row r="643" spans="6:8" x14ac:dyDescent="0.25">
      <c r="F643" t="s">
        <v>2536</v>
      </c>
      <c r="G643" t="s">
        <v>2537</v>
      </c>
      <c r="H643" t="s">
        <v>2538</v>
      </c>
    </row>
    <row r="644" spans="6:8" x14ac:dyDescent="0.25">
      <c r="F644" t="s">
        <v>2539</v>
      </c>
      <c r="G644" t="s">
        <v>2540</v>
      </c>
      <c r="H644" t="s">
        <v>2541</v>
      </c>
    </row>
    <row r="645" spans="6:8" x14ac:dyDescent="0.25">
      <c r="F645" t="s">
        <v>2542</v>
      </c>
      <c r="G645" t="s">
        <v>2543</v>
      </c>
      <c r="H645" t="s">
        <v>2544</v>
      </c>
    </row>
    <row r="646" spans="6:8" x14ac:dyDescent="0.25">
      <c r="F646" t="s">
        <v>2545</v>
      </c>
      <c r="G646" t="s">
        <v>2546</v>
      </c>
      <c r="H646" t="s">
        <v>2547</v>
      </c>
    </row>
    <row r="647" spans="6:8" x14ac:dyDescent="0.25">
      <c r="F647" t="s">
        <v>2548</v>
      </c>
      <c r="G647" t="s">
        <v>2549</v>
      </c>
      <c r="H647" t="s">
        <v>2550</v>
      </c>
    </row>
    <row r="648" spans="6:8" x14ac:dyDescent="0.25">
      <c r="F648" t="s">
        <v>2551</v>
      </c>
      <c r="G648" t="s">
        <v>2552</v>
      </c>
      <c r="H648" t="s">
        <v>2553</v>
      </c>
    </row>
    <row r="649" spans="6:8" x14ac:dyDescent="0.25">
      <c r="F649" t="s">
        <v>2554</v>
      </c>
      <c r="G649" t="s">
        <v>2172</v>
      </c>
      <c r="H649" t="s">
        <v>2555</v>
      </c>
    </row>
    <row r="650" spans="6:8" x14ac:dyDescent="0.25">
      <c r="F650" t="s">
        <v>2556</v>
      </c>
      <c r="G650" t="s">
        <v>2557</v>
      </c>
      <c r="H650" t="s">
        <v>2558</v>
      </c>
    </row>
    <row r="651" spans="6:8" x14ac:dyDescent="0.25">
      <c r="F651" t="s">
        <v>2559</v>
      </c>
      <c r="G651" t="s">
        <v>2560</v>
      </c>
      <c r="H651" t="s">
        <v>2561</v>
      </c>
    </row>
    <row r="652" spans="6:8" x14ac:dyDescent="0.25">
      <c r="F652" t="s">
        <v>2562</v>
      </c>
      <c r="G652" t="s">
        <v>2563</v>
      </c>
      <c r="H652" t="s">
        <v>2564</v>
      </c>
    </row>
    <row r="653" spans="6:8" x14ac:dyDescent="0.25">
      <c r="F653" t="s">
        <v>2565</v>
      </c>
      <c r="G653" t="s">
        <v>2566</v>
      </c>
      <c r="H653" t="s">
        <v>2567</v>
      </c>
    </row>
    <row r="654" spans="6:8" x14ac:dyDescent="0.25">
      <c r="F654" t="s">
        <v>2568</v>
      </c>
      <c r="G654" t="s">
        <v>2569</v>
      </c>
      <c r="H654" t="s">
        <v>2570</v>
      </c>
    </row>
    <row r="655" spans="6:8" x14ac:dyDescent="0.25">
      <c r="F655" t="s">
        <v>2571</v>
      </c>
      <c r="G655" t="s">
        <v>2572</v>
      </c>
      <c r="H655" t="s">
        <v>2573</v>
      </c>
    </row>
    <row r="656" spans="6:8" x14ac:dyDescent="0.25">
      <c r="F656" t="s">
        <v>2574</v>
      </c>
      <c r="G656" t="s">
        <v>2575</v>
      </c>
      <c r="H656" t="s">
        <v>2576</v>
      </c>
    </row>
    <row r="657" spans="6:8" x14ac:dyDescent="0.25">
      <c r="F657" t="s">
        <v>2577</v>
      </c>
      <c r="G657" t="s">
        <v>520</v>
      </c>
      <c r="H657" t="s">
        <v>2578</v>
      </c>
    </row>
    <row r="658" spans="6:8" x14ac:dyDescent="0.25">
      <c r="F658" t="s">
        <v>2579</v>
      </c>
      <c r="G658" t="s">
        <v>2580</v>
      </c>
      <c r="H658" t="s">
        <v>2581</v>
      </c>
    </row>
    <row r="659" spans="6:8" x14ac:dyDescent="0.25">
      <c r="F659" t="s">
        <v>2582</v>
      </c>
      <c r="G659" t="s">
        <v>2583</v>
      </c>
      <c r="H659" t="s">
        <v>2584</v>
      </c>
    </row>
    <row r="660" spans="6:8" x14ac:dyDescent="0.25">
      <c r="F660" t="s">
        <v>2585</v>
      </c>
      <c r="G660" t="s">
        <v>2586</v>
      </c>
      <c r="H660" t="s">
        <v>2587</v>
      </c>
    </row>
    <row r="661" spans="6:8" x14ac:dyDescent="0.25">
      <c r="F661" t="s">
        <v>2588</v>
      </c>
      <c r="G661" t="s">
        <v>2589</v>
      </c>
      <c r="H661" t="s">
        <v>2590</v>
      </c>
    </row>
    <row r="662" spans="6:8" x14ac:dyDescent="0.25">
      <c r="F662" t="s">
        <v>2591</v>
      </c>
      <c r="G662" t="s">
        <v>2592</v>
      </c>
      <c r="H662" t="s">
        <v>2593</v>
      </c>
    </row>
    <row r="663" spans="6:8" x14ac:dyDescent="0.25">
      <c r="F663" t="s">
        <v>2594</v>
      </c>
      <c r="G663" t="s">
        <v>2595</v>
      </c>
      <c r="H663" t="s">
        <v>2596</v>
      </c>
    </row>
    <row r="664" spans="6:8" x14ac:dyDescent="0.25">
      <c r="F664" t="s">
        <v>2597</v>
      </c>
      <c r="G664" t="s">
        <v>2598</v>
      </c>
      <c r="H664" t="s">
        <v>2599</v>
      </c>
    </row>
    <row r="665" spans="6:8" x14ac:dyDescent="0.25">
      <c r="F665" t="s">
        <v>2600</v>
      </c>
      <c r="G665" t="s">
        <v>2601</v>
      </c>
      <c r="H665" t="s">
        <v>2602</v>
      </c>
    </row>
    <row r="666" spans="6:8" x14ac:dyDescent="0.25">
      <c r="F666" t="s">
        <v>2603</v>
      </c>
      <c r="G666" t="s">
        <v>2604</v>
      </c>
      <c r="H666" t="s">
        <v>2605</v>
      </c>
    </row>
    <row r="667" spans="6:8" x14ac:dyDescent="0.25">
      <c r="F667" t="s">
        <v>2606</v>
      </c>
      <c r="G667" t="s">
        <v>2181</v>
      </c>
      <c r="H667" t="s">
        <v>2607</v>
      </c>
    </row>
    <row r="668" spans="6:8" x14ac:dyDescent="0.25">
      <c r="F668" t="s">
        <v>2608</v>
      </c>
      <c r="G668" t="s">
        <v>2609</v>
      </c>
      <c r="H668" t="s">
        <v>2610</v>
      </c>
    </row>
    <row r="669" spans="6:8" x14ac:dyDescent="0.25">
      <c r="F669" t="s">
        <v>2611</v>
      </c>
      <c r="G669" t="s">
        <v>2612</v>
      </c>
      <c r="H669" t="s">
        <v>2613</v>
      </c>
    </row>
    <row r="670" spans="6:8" x14ac:dyDescent="0.25">
      <c r="F670" t="s">
        <v>2614</v>
      </c>
      <c r="G670" t="s">
        <v>2615</v>
      </c>
      <c r="H670" t="s">
        <v>2616</v>
      </c>
    </row>
    <row r="671" spans="6:8" x14ac:dyDescent="0.25">
      <c r="F671" t="s">
        <v>2617</v>
      </c>
      <c r="G671" t="s">
        <v>2575</v>
      </c>
      <c r="H671" t="s">
        <v>2618</v>
      </c>
    </row>
    <row r="672" spans="6:8" x14ac:dyDescent="0.25">
      <c r="F672" t="s">
        <v>2619</v>
      </c>
      <c r="G672" t="s">
        <v>2620</v>
      </c>
      <c r="H672" t="s">
        <v>2621</v>
      </c>
    </row>
    <row r="673" spans="6:8" x14ac:dyDescent="0.25">
      <c r="F673" t="s">
        <v>2622</v>
      </c>
      <c r="G673" t="s">
        <v>2623</v>
      </c>
      <c r="H673" t="s">
        <v>2624</v>
      </c>
    </row>
    <row r="674" spans="6:8" x14ac:dyDescent="0.25">
      <c r="F674" t="s">
        <v>2625</v>
      </c>
      <c r="G674" t="s">
        <v>2626</v>
      </c>
      <c r="H674" t="s">
        <v>2627</v>
      </c>
    </row>
    <row r="675" spans="6:8" x14ac:dyDescent="0.25">
      <c r="F675" t="s">
        <v>2628</v>
      </c>
      <c r="G675" t="s">
        <v>2629</v>
      </c>
      <c r="H675" t="s">
        <v>2630</v>
      </c>
    </row>
    <row r="676" spans="6:8" x14ac:dyDescent="0.25">
      <c r="F676" t="s">
        <v>2631</v>
      </c>
      <c r="G676" t="s">
        <v>2632</v>
      </c>
      <c r="H676" t="s">
        <v>2633</v>
      </c>
    </row>
    <row r="677" spans="6:8" x14ac:dyDescent="0.25">
      <c r="F677" t="s">
        <v>2634</v>
      </c>
      <c r="G677" t="s">
        <v>2635</v>
      </c>
      <c r="H677" t="s">
        <v>2636</v>
      </c>
    </row>
    <row r="678" spans="6:8" x14ac:dyDescent="0.25">
      <c r="F678" t="s">
        <v>2637</v>
      </c>
      <c r="G678" t="s">
        <v>2638</v>
      </c>
      <c r="H678" t="s">
        <v>2639</v>
      </c>
    </row>
    <row r="679" spans="6:8" x14ac:dyDescent="0.25">
      <c r="F679" t="s">
        <v>2640</v>
      </c>
      <c r="G679" t="s">
        <v>2641</v>
      </c>
      <c r="H679" t="s">
        <v>2642</v>
      </c>
    </row>
    <row r="680" spans="6:8" x14ac:dyDescent="0.25">
      <c r="F680" t="s">
        <v>2643</v>
      </c>
      <c r="G680" t="s">
        <v>2644</v>
      </c>
      <c r="H680" t="s">
        <v>2645</v>
      </c>
    </row>
    <row r="681" spans="6:8" x14ac:dyDescent="0.25">
      <c r="F681" t="s">
        <v>2646</v>
      </c>
      <c r="G681" t="s">
        <v>2647</v>
      </c>
      <c r="H681" t="s">
        <v>2648</v>
      </c>
    </row>
    <row r="682" spans="6:8" x14ac:dyDescent="0.25">
      <c r="F682" t="s">
        <v>2649</v>
      </c>
      <c r="G682" t="s">
        <v>2592</v>
      </c>
      <c r="H682" t="s">
        <v>2650</v>
      </c>
    </row>
    <row r="683" spans="6:8" x14ac:dyDescent="0.25">
      <c r="F683" t="s">
        <v>2651</v>
      </c>
      <c r="G683" t="s">
        <v>1138</v>
      </c>
      <c r="H683" t="s">
        <v>2652</v>
      </c>
    </row>
    <row r="684" spans="6:8" x14ac:dyDescent="0.25">
      <c r="F684" t="s">
        <v>2653</v>
      </c>
      <c r="G684" t="s">
        <v>2654</v>
      </c>
      <c r="H684" t="s">
        <v>2655</v>
      </c>
    </row>
    <row r="685" spans="6:8" x14ac:dyDescent="0.25">
      <c r="F685" t="s">
        <v>2656</v>
      </c>
      <c r="G685" t="s">
        <v>2657</v>
      </c>
      <c r="H685" t="s">
        <v>2658</v>
      </c>
    </row>
    <row r="686" spans="6:8" x14ac:dyDescent="0.25">
      <c r="F686" t="s">
        <v>2659</v>
      </c>
      <c r="G686" t="s">
        <v>2660</v>
      </c>
      <c r="H686" t="s">
        <v>2661</v>
      </c>
    </row>
    <row r="687" spans="6:8" x14ac:dyDescent="0.25">
      <c r="F687" t="s">
        <v>2662</v>
      </c>
      <c r="G687" t="s">
        <v>2663</v>
      </c>
      <c r="H687" t="s">
        <v>2664</v>
      </c>
    </row>
    <row r="688" spans="6:8" x14ac:dyDescent="0.25">
      <c r="F688" t="s">
        <v>2665</v>
      </c>
      <c r="G688" t="s">
        <v>2666</v>
      </c>
      <c r="H688" t="s">
        <v>2667</v>
      </c>
    </row>
    <row r="689" spans="6:8" x14ac:dyDescent="0.25">
      <c r="F689" t="s">
        <v>2668</v>
      </c>
      <c r="G689" t="s">
        <v>2669</v>
      </c>
      <c r="H689" t="s">
        <v>2670</v>
      </c>
    </row>
    <row r="690" spans="6:8" x14ac:dyDescent="0.25">
      <c r="F690" t="s">
        <v>2671</v>
      </c>
      <c r="G690" t="s">
        <v>2672</v>
      </c>
      <c r="H690" t="s">
        <v>2673</v>
      </c>
    </row>
    <row r="691" spans="6:8" x14ac:dyDescent="0.25">
      <c r="F691" t="s">
        <v>2674</v>
      </c>
      <c r="G691" t="s">
        <v>2675</v>
      </c>
      <c r="H691" t="s">
        <v>2676</v>
      </c>
    </row>
    <row r="692" spans="6:8" x14ac:dyDescent="0.25">
      <c r="F692" t="s">
        <v>2677</v>
      </c>
      <c r="G692" t="s">
        <v>2678</v>
      </c>
      <c r="H692" t="s">
        <v>2679</v>
      </c>
    </row>
    <row r="693" spans="6:8" x14ac:dyDescent="0.25">
      <c r="F693" t="s">
        <v>2680</v>
      </c>
      <c r="G693" t="s">
        <v>2681</v>
      </c>
      <c r="H693" t="s">
        <v>2682</v>
      </c>
    </row>
    <row r="694" spans="6:8" x14ac:dyDescent="0.25">
      <c r="F694" t="s">
        <v>2683</v>
      </c>
      <c r="G694" t="s">
        <v>2684</v>
      </c>
      <c r="H694" t="s">
        <v>2685</v>
      </c>
    </row>
    <row r="695" spans="6:8" x14ac:dyDescent="0.25">
      <c r="F695" t="s">
        <v>2686</v>
      </c>
      <c r="G695" t="s">
        <v>2687</v>
      </c>
      <c r="H695" t="s">
        <v>2688</v>
      </c>
    </row>
    <row r="696" spans="6:8" x14ac:dyDescent="0.25">
      <c r="F696" t="s">
        <v>2689</v>
      </c>
      <c r="G696" t="s">
        <v>2690</v>
      </c>
      <c r="H696" t="s">
        <v>2691</v>
      </c>
    </row>
    <row r="697" spans="6:8" x14ac:dyDescent="0.25">
      <c r="F697" t="s">
        <v>2692</v>
      </c>
      <c r="G697" t="s">
        <v>2693</v>
      </c>
      <c r="H697" t="s">
        <v>2694</v>
      </c>
    </row>
    <row r="698" spans="6:8" x14ac:dyDescent="0.25">
      <c r="F698" t="s">
        <v>2695</v>
      </c>
      <c r="G698" t="s">
        <v>2696</v>
      </c>
      <c r="H698" t="s">
        <v>2697</v>
      </c>
    </row>
    <row r="699" spans="6:8" x14ac:dyDescent="0.25">
      <c r="F699" t="s">
        <v>2698</v>
      </c>
      <c r="G699" t="s">
        <v>456</v>
      </c>
      <c r="H699" t="s">
        <v>2699</v>
      </c>
    </row>
    <row r="700" spans="6:8" x14ac:dyDescent="0.25">
      <c r="F700" t="s">
        <v>2700</v>
      </c>
      <c r="G700" t="s">
        <v>2701</v>
      </c>
      <c r="H700" t="s">
        <v>2702</v>
      </c>
    </row>
    <row r="701" spans="6:8" x14ac:dyDescent="0.25">
      <c r="F701" t="s">
        <v>2703</v>
      </c>
      <c r="G701" t="s">
        <v>2704</v>
      </c>
      <c r="H701" t="s">
        <v>2705</v>
      </c>
    </row>
    <row r="702" spans="6:8" x14ac:dyDescent="0.25">
      <c r="F702" t="s">
        <v>2706</v>
      </c>
      <c r="G702" t="s">
        <v>1301</v>
      </c>
      <c r="H702" t="s">
        <v>2707</v>
      </c>
    </row>
    <row r="703" spans="6:8" x14ac:dyDescent="0.25">
      <c r="F703" t="s">
        <v>2708</v>
      </c>
      <c r="G703" t="s">
        <v>2709</v>
      </c>
      <c r="H703" t="s">
        <v>2710</v>
      </c>
    </row>
    <row r="704" spans="6:8" x14ac:dyDescent="0.25">
      <c r="F704" t="s">
        <v>2711</v>
      </c>
      <c r="G704" t="s">
        <v>2712</v>
      </c>
      <c r="H704" t="s">
        <v>2713</v>
      </c>
    </row>
    <row r="705" spans="6:8" x14ac:dyDescent="0.25">
      <c r="F705" t="s">
        <v>2714</v>
      </c>
      <c r="G705" t="s">
        <v>2715</v>
      </c>
      <c r="H705" t="s">
        <v>2716</v>
      </c>
    </row>
    <row r="706" spans="6:8" x14ac:dyDescent="0.25">
      <c r="F706" t="s">
        <v>2717</v>
      </c>
      <c r="G706" t="s">
        <v>2718</v>
      </c>
      <c r="H706" t="s">
        <v>2719</v>
      </c>
    </row>
    <row r="707" spans="6:8" x14ac:dyDescent="0.25">
      <c r="F707" t="s">
        <v>2720</v>
      </c>
      <c r="G707" t="s">
        <v>2721</v>
      </c>
      <c r="H707" t="s">
        <v>2722</v>
      </c>
    </row>
    <row r="708" spans="6:8" x14ac:dyDescent="0.25">
      <c r="F708" t="s">
        <v>2723</v>
      </c>
      <c r="G708" t="s">
        <v>2724</v>
      </c>
      <c r="H708" t="s">
        <v>2725</v>
      </c>
    </row>
    <row r="709" spans="6:8" x14ac:dyDescent="0.25">
      <c r="F709" t="s">
        <v>2726</v>
      </c>
      <c r="G709" t="s">
        <v>2727</v>
      </c>
      <c r="H709" t="s">
        <v>2728</v>
      </c>
    </row>
    <row r="710" spans="6:8" x14ac:dyDescent="0.25">
      <c r="F710" t="s">
        <v>2729</v>
      </c>
      <c r="G710" t="s">
        <v>2730</v>
      </c>
      <c r="H710" t="s">
        <v>2731</v>
      </c>
    </row>
    <row r="711" spans="6:8" x14ac:dyDescent="0.25">
      <c r="F711" t="s">
        <v>2732</v>
      </c>
      <c r="G711" t="s">
        <v>2733</v>
      </c>
      <c r="H711" t="s">
        <v>2734</v>
      </c>
    </row>
    <row r="712" spans="6:8" x14ac:dyDescent="0.25">
      <c r="F712" t="s">
        <v>2735</v>
      </c>
      <c r="G712" t="s">
        <v>2138</v>
      </c>
      <c r="H712" t="s">
        <v>2736</v>
      </c>
    </row>
    <row r="713" spans="6:8" x14ac:dyDescent="0.25">
      <c r="F713" t="s">
        <v>2737</v>
      </c>
      <c r="G713" t="s">
        <v>2738</v>
      </c>
      <c r="H713" t="s">
        <v>2739</v>
      </c>
    </row>
    <row r="714" spans="6:8" x14ac:dyDescent="0.25">
      <c r="F714" t="s">
        <v>2740</v>
      </c>
      <c r="G714" t="s">
        <v>2741</v>
      </c>
      <c r="H714" t="s">
        <v>2742</v>
      </c>
    </row>
    <row r="715" spans="6:8" x14ac:dyDescent="0.25">
      <c r="F715" t="s">
        <v>2743</v>
      </c>
      <c r="G715" t="s">
        <v>1493</v>
      </c>
      <c r="H715" t="s">
        <v>2744</v>
      </c>
    </row>
    <row r="716" spans="6:8" x14ac:dyDescent="0.25">
      <c r="F716" t="s">
        <v>2745</v>
      </c>
      <c r="G716" t="s">
        <v>2746</v>
      </c>
      <c r="H716" t="s">
        <v>2747</v>
      </c>
    </row>
    <row r="717" spans="6:8" x14ac:dyDescent="0.25">
      <c r="F717" t="s">
        <v>2748</v>
      </c>
      <c r="G717" t="s">
        <v>2749</v>
      </c>
      <c r="H717" t="s">
        <v>2750</v>
      </c>
    </row>
    <row r="718" spans="6:8" x14ac:dyDescent="0.25">
      <c r="F718" t="s">
        <v>2751</v>
      </c>
      <c r="G718" t="s">
        <v>2752</v>
      </c>
      <c r="H718" t="s">
        <v>2753</v>
      </c>
    </row>
    <row r="719" spans="6:8" x14ac:dyDescent="0.25">
      <c r="F719" t="s">
        <v>2754</v>
      </c>
      <c r="G719" t="s">
        <v>2755</v>
      </c>
      <c r="H719" t="s">
        <v>2756</v>
      </c>
    </row>
    <row r="720" spans="6:8" x14ac:dyDescent="0.25">
      <c r="F720" t="s">
        <v>2757</v>
      </c>
      <c r="G720" t="s">
        <v>2758</v>
      </c>
      <c r="H720" t="s">
        <v>2759</v>
      </c>
    </row>
    <row r="721" spans="6:8" x14ac:dyDescent="0.25">
      <c r="F721" t="s">
        <v>2760</v>
      </c>
      <c r="G721" t="s">
        <v>2761</v>
      </c>
      <c r="H721" t="s">
        <v>2762</v>
      </c>
    </row>
    <row r="722" spans="6:8" x14ac:dyDescent="0.25">
      <c r="F722" t="s">
        <v>2763</v>
      </c>
      <c r="G722" t="s">
        <v>2764</v>
      </c>
      <c r="H722" t="s">
        <v>2765</v>
      </c>
    </row>
    <row r="723" spans="6:8" x14ac:dyDescent="0.25">
      <c r="F723" t="s">
        <v>2766</v>
      </c>
      <c r="G723" t="s">
        <v>2767</v>
      </c>
      <c r="H723" t="s">
        <v>2768</v>
      </c>
    </row>
    <row r="724" spans="6:8" x14ac:dyDescent="0.25">
      <c r="F724" t="s">
        <v>2769</v>
      </c>
      <c r="G724" t="s">
        <v>2770</v>
      </c>
      <c r="H724" t="s">
        <v>2771</v>
      </c>
    </row>
    <row r="725" spans="6:8" x14ac:dyDescent="0.25">
      <c r="F725" t="s">
        <v>2772</v>
      </c>
      <c r="G725" t="s">
        <v>2773</v>
      </c>
      <c r="H725" t="s">
        <v>2774</v>
      </c>
    </row>
    <row r="726" spans="6:8" x14ac:dyDescent="0.25">
      <c r="F726" t="s">
        <v>2775</v>
      </c>
      <c r="G726" t="s">
        <v>2776</v>
      </c>
      <c r="H726" t="s">
        <v>2777</v>
      </c>
    </row>
    <row r="727" spans="6:8" x14ac:dyDescent="0.25">
      <c r="F727" t="s">
        <v>2778</v>
      </c>
      <c r="G727" t="s">
        <v>2779</v>
      </c>
      <c r="H727" t="s">
        <v>2780</v>
      </c>
    </row>
    <row r="728" spans="6:8" x14ac:dyDescent="0.25">
      <c r="F728" t="s">
        <v>2781</v>
      </c>
      <c r="G728" t="s">
        <v>2782</v>
      </c>
      <c r="H728" t="s">
        <v>2783</v>
      </c>
    </row>
    <row r="729" spans="6:8" x14ac:dyDescent="0.25">
      <c r="F729" t="s">
        <v>2784</v>
      </c>
      <c r="G729" t="s">
        <v>2785</v>
      </c>
      <c r="H729" t="s">
        <v>2786</v>
      </c>
    </row>
    <row r="730" spans="6:8" x14ac:dyDescent="0.25">
      <c r="F730" t="s">
        <v>2787</v>
      </c>
      <c r="G730" t="s">
        <v>2788</v>
      </c>
      <c r="H730" t="s">
        <v>2789</v>
      </c>
    </row>
    <row r="731" spans="6:8" x14ac:dyDescent="0.25">
      <c r="F731" t="s">
        <v>2790</v>
      </c>
      <c r="G731" t="s">
        <v>2791</v>
      </c>
      <c r="H731" t="s">
        <v>2792</v>
      </c>
    </row>
    <row r="732" spans="6:8" x14ac:dyDescent="0.25">
      <c r="F732" t="s">
        <v>2793</v>
      </c>
      <c r="G732" t="s">
        <v>2794</v>
      </c>
      <c r="H732" t="s">
        <v>2795</v>
      </c>
    </row>
    <row r="733" spans="6:8" x14ac:dyDescent="0.25">
      <c r="F733" t="s">
        <v>2796</v>
      </c>
      <c r="G733" t="s">
        <v>2797</v>
      </c>
      <c r="H733" t="s">
        <v>2798</v>
      </c>
    </row>
    <row r="734" spans="6:8" x14ac:dyDescent="0.25">
      <c r="F734" t="s">
        <v>2799</v>
      </c>
      <c r="G734" t="s">
        <v>2800</v>
      </c>
      <c r="H734" t="s">
        <v>2801</v>
      </c>
    </row>
    <row r="735" spans="6:8" x14ac:dyDescent="0.25">
      <c r="F735" t="s">
        <v>2802</v>
      </c>
      <c r="G735" t="s">
        <v>2803</v>
      </c>
      <c r="H735" t="s">
        <v>2804</v>
      </c>
    </row>
    <row r="736" spans="6:8" x14ac:dyDescent="0.25">
      <c r="F736" t="s">
        <v>2805</v>
      </c>
      <c r="G736" t="s">
        <v>2387</v>
      </c>
      <c r="H736" t="s">
        <v>2806</v>
      </c>
    </row>
    <row r="737" spans="6:8" x14ac:dyDescent="0.25">
      <c r="F737" t="s">
        <v>2807</v>
      </c>
      <c r="G737" t="s">
        <v>520</v>
      </c>
      <c r="H737" t="s">
        <v>2808</v>
      </c>
    </row>
    <row r="738" spans="6:8" x14ac:dyDescent="0.25">
      <c r="F738" t="s">
        <v>2809</v>
      </c>
      <c r="G738" t="s">
        <v>2810</v>
      </c>
      <c r="H738" t="s">
        <v>2811</v>
      </c>
    </row>
    <row r="739" spans="6:8" x14ac:dyDescent="0.25">
      <c r="F739" t="s">
        <v>2812</v>
      </c>
      <c r="G739" t="s">
        <v>2813</v>
      </c>
      <c r="H739" t="s">
        <v>2814</v>
      </c>
    </row>
    <row r="740" spans="6:8" x14ac:dyDescent="0.25">
      <c r="F740" t="s">
        <v>2815</v>
      </c>
      <c r="G740" t="s">
        <v>2816</v>
      </c>
      <c r="H740" t="s">
        <v>2817</v>
      </c>
    </row>
    <row r="741" spans="6:8" x14ac:dyDescent="0.25">
      <c r="F741" t="s">
        <v>2818</v>
      </c>
      <c r="G741" t="s">
        <v>2604</v>
      </c>
      <c r="H741" t="s">
        <v>2819</v>
      </c>
    </row>
    <row r="742" spans="6:8" x14ac:dyDescent="0.25">
      <c r="F742" t="s">
        <v>2820</v>
      </c>
      <c r="G742" t="s">
        <v>2821</v>
      </c>
      <c r="H742" t="s">
        <v>2822</v>
      </c>
    </row>
    <row r="743" spans="6:8" x14ac:dyDescent="0.25">
      <c r="F743" t="s">
        <v>2823</v>
      </c>
      <c r="G743" t="s">
        <v>2824</v>
      </c>
      <c r="H743" t="s">
        <v>2825</v>
      </c>
    </row>
    <row r="744" spans="6:8" x14ac:dyDescent="0.25">
      <c r="F744" t="s">
        <v>2826</v>
      </c>
      <c r="G744" t="s">
        <v>2827</v>
      </c>
      <c r="H744" t="s">
        <v>2828</v>
      </c>
    </row>
    <row r="745" spans="6:8" x14ac:dyDescent="0.25">
      <c r="F745" t="s">
        <v>2829</v>
      </c>
      <c r="G745" t="s">
        <v>2830</v>
      </c>
      <c r="H745" t="s">
        <v>2831</v>
      </c>
    </row>
    <row r="746" spans="6:8" x14ac:dyDescent="0.25">
      <c r="F746" t="s">
        <v>2832</v>
      </c>
      <c r="G746" t="s">
        <v>2833</v>
      </c>
      <c r="H746" t="s">
        <v>2834</v>
      </c>
    </row>
    <row r="747" spans="6:8" x14ac:dyDescent="0.25">
      <c r="F747" t="s">
        <v>2835</v>
      </c>
      <c r="G747" t="s">
        <v>2836</v>
      </c>
      <c r="H747" t="s">
        <v>2837</v>
      </c>
    </row>
    <row r="748" spans="6:8" x14ac:dyDescent="0.25">
      <c r="F748" t="s">
        <v>2838</v>
      </c>
      <c r="G748" t="s">
        <v>2839</v>
      </c>
      <c r="H748" t="s">
        <v>2840</v>
      </c>
    </row>
    <row r="749" spans="6:8" x14ac:dyDescent="0.25">
      <c r="F749" t="s">
        <v>2841</v>
      </c>
      <c r="G749" t="s">
        <v>2842</v>
      </c>
      <c r="H749" t="s">
        <v>2843</v>
      </c>
    </row>
    <row r="750" spans="6:8" x14ac:dyDescent="0.25">
      <c r="F750" t="s">
        <v>2844</v>
      </c>
      <c r="G750" t="s">
        <v>2845</v>
      </c>
      <c r="H750" t="s">
        <v>2846</v>
      </c>
    </row>
    <row r="751" spans="6:8" x14ac:dyDescent="0.25">
      <c r="F751" t="s">
        <v>2847</v>
      </c>
      <c r="G751" t="s">
        <v>2848</v>
      </c>
      <c r="H751" t="s">
        <v>2849</v>
      </c>
    </row>
    <row r="752" spans="6:8" x14ac:dyDescent="0.25">
      <c r="F752" t="s">
        <v>2850</v>
      </c>
      <c r="G752" t="s">
        <v>2851</v>
      </c>
      <c r="H752" t="s">
        <v>2852</v>
      </c>
    </row>
    <row r="753" spans="6:8" x14ac:dyDescent="0.25">
      <c r="F753" t="s">
        <v>2853</v>
      </c>
      <c r="G753" t="s">
        <v>2854</v>
      </c>
      <c r="H753" t="s">
        <v>2855</v>
      </c>
    </row>
    <row r="754" spans="6:8" x14ac:dyDescent="0.25">
      <c r="F754" t="s">
        <v>2856</v>
      </c>
      <c r="G754" t="s">
        <v>2857</v>
      </c>
      <c r="H754" t="s">
        <v>2858</v>
      </c>
    </row>
    <row r="755" spans="6:8" x14ac:dyDescent="0.25">
      <c r="F755" t="s">
        <v>2859</v>
      </c>
      <c r="G755" t="s">
        <v>2860</v>
      </c>
      <c r="H755" t="s">
        <v>2861</v>
      </c>
    </row>
    <row r="756" spans="6:8" x14ac:dyDescent="0.25">
      <c r="F756" t="s">
        <v>2862</v>
      </c>
      <c r="G756" t="s">
        <v>2863</v>
      </c>
      <c r="H756" t="s">
        <v>2864</v>
      </c>
    </row>
    <row r="757" spans="6:8" x14ac:dyDescent="0.25">
      <c r="F757" t="s">
        <v>2865</v>
      </c>
      <c r="G757" t="s">
        <v>2866</v>
      </c>
      <c r="H757" t="s">
        <v>2867</v>
      </c>
    </row>
    <row r="758" spans="6:8" x14ac:dyDescent="0.25">
      <c r="F758" t="s">
        <v>2868</v>
      </c>
      <c r="G758" t="s">
        <v>2869</v>
      </c>
      <c r="H758" t="s">
        <v>2870</v>
      </c>
    </row>
    <row r="759" spans="6:8" x14ac:dyDescent="0.25">
      <c r="F759" t="s">
        <v>2871</v>
      </c>
      <c r="G759" t="s">
        <v>2872</v>
      </c>
      <c r="H759" t="s">
        <v>2873</v>
      </c>
    </row>
    <row r="760" spans="6:8" x14ac:dyDescent="0.25">
      <c r="F760" t="s">
        <v>2874</v>
      </c>
      <c r="G760" t="s">
        <v>2875</v>
      </c>
      <c r="H760" t="s">
        <v>2876</v>
      </c>
    </row>
    <row r="761" spans="6:8" x14ac:dyDescent="0.25">
      <c r="F761" t="s">
        <v>2877</v>
      </c>
      <c r="G761" t="s">
        <v>2878</v>
      </c>
      <c r="H761" t="s">
        <v>2879</v>
      </c>
    </row>
    <row r="762" spans="6:8" x14ac:dyDescent="0.25">
      <c r="F762" t="s">
        <v>2880</v>
      </c>
      <c r="G762" t="s">
        <v>2881</v>
      </c>
      <c r="H762" t="s">
        <v>2882</v>
      </c>
    </row>
    <row r="763" spans="6:8" x14ac:dyDescent="0.25">
      <c r="F763" t="s">
        <v>2883</v>
      </c>
      <c r="G763" t="s">
        <v>2884</v>
      </c>
      <c r="H763" t="s">
        <v>2885</v>
      </c>
    </row>
    <row r="764" spans="6:8" x14ac:dyDescent="0.25">
      <c r="F764" t="s">
        <v>2886</v>
      </c>
      <c r="G764" t="s">
        <v>2887</v>
      </c>
      <c r="H764" t="s">
        <v>2888</v>
      </c>
    </row>
    <row r="765" spans="6:8" x14ac:dyDescent="0.25">
      <c r="F765" t="s">
        <v>2889</v>
      </c>
      <c r="G765" t="s">
        <v>2890</v>
      </c>
      <c r="H765" t="s">
        <v>2891</v>
      </c>
    </row>
    <row r="766" spans="6:8" x14ac:dyDescent="0.25">
      <c r="F766" t="s">
        <v>2892</v>
      </c>
      <c r="G766" t="s">
        <v>2893</v>
      </c>
      <c r="H766" t="s">
        <v>2894</v>
      </c>
    </row>
    <row r="767" spans="6:8" x14ac:dyDescent="0.25">
      <c r="F767" t="s">
        <v>2895</v>
      </c>
      <c r="G767" t="s">
        <v>2896</v>
      </c>
      <c r="H767" t="s">
        <v>2897</v>
      </c>
    </row>
    <row r="768" spans="6:8" x14ac:dyDescent="0.25">
      <c r="F768" t="s">
        <v>2898</v>
      </c>
      <c r="G768" t="s">
        <v>2899</v>
      </c>
      <c r="H768" t="s">
        <v>2900</v>
      </c>
    </row>
    <row r="769" spans="6:8" x14ac:dyDescent="0.25">
      <c r="F769" t="s">
        <v>2901</v>
      </c>
      <c r="G769" t="s">
        <v>2902</v>
      </c>
      <c r="H769" t="s">
        <v>2903</v>
      </c>
    </row>
    <row r="770" spans="6:8" x14ac:dyDescent="0.25">
      <c r="F770" t="s">
        <v>2904</v>
      </c>
      <c r="G770" t="s">
        <v>2905</v>
      </c>
      <c r="H770" t="s">
        <v>2906</v>
      </c>
    </row>
    <row r="771" spans="6:8" x14ac:dyDescent="0.25">
      <c r="F771" t="s">
        <v>2907</v>
      </c>
      <c r="G771" t="s">
        <v>2908</v>
      </c>
      <c r="H771" t="s">
        <v>2909</v>
      </c>
    </row>
    <row r="772" spans="6:8" x14ac:dyDescent="0.25">
      <c r="F772" t="s">
        <v>2910</v>
      </c>
      <c r="G772" t="s">
        <v>2911</v>
      </c>
      <c r="H772" t="s">
        <v>2912</v>
      </c>
    </row>
    <row r="773" spans="6:8" x14ac:dyDescent="0.25">
      <c r="F773" t="s">
        <v>2913</v>
      </c>
      <c r="G773" t="s">
        <v>2914</v>
      </c>
      <c r="H773" t="s">
        <v>2915</v>
      </c>
    </row>
    <row r="774" spans="6:8" x14ac:dyDescent="0.25">
      <c r="F774" t="s">
        <v>2916</v>
      </c>
      <c r="G774" t="s">
        <v>2917</v>
      </c>
      <c r="H774" t="s">
        <v>2918</v>
      </c>
    </row>
    <row r="775" spans="6:8" x14ac:dyDescent="0.25">
      <c r="F775" t="s">
        <v>2919</v>
      </c>
      <c r="G775" t="s">
        <v>2920</v>
      </c>
      <c r="H775" t="s">
        <v>2921</v>
      </c>
    </row>
    <row r="776" spans="6:8" x14ac:dyDescent="0.25">
      <c r="F776" t="s">
        <v>2922</v>
      </c>
      <c r="G776" t="s">
        <v>2923</v>
      </c>
      <c r="H776" t="s">
        <v>2924</v>
      </c>
    </row>
    <row r="777" spans="6:8" x14ac:dyDescent="0.25">
      <c r="F777" t="s">
        <v>2925</v>
      </c>
      <c r="G777" t="s">
        <v>2926</v>
      </c>
      <c r="H777" t="s">
        <v>2927</v>
      </c>
    </row>
    <row r="778" spans="6:8" x14ac:dyDescent="0.25">
      <c r="F778" t="s">
        <v>2928</v>
      </c>
      <c r="G778" t="s">
        <v>2929</v>
      </c>
      <c r="H778" t="s">
        <v>2930</v>
      </c>
    </row>
    <row r="779" spans="6:8" x14ac:dyDescent="0.25">
      <c r="F779" t="s">
        <v>2931</v>
      </c>
      <c r="G779" t="s">
        <v>2932</v>
      </c>
      <c r="H779" t="s">
        <v>2933</v>
      </c>
    </row>
    <row r="780" spans="6:8" x14ac:dyDescent="0.25">
      <c r="F780" t="s">
        <v>2934</v>
      </c>
      <c r="G780" t="s">
        <v>2935</v>
      </c>
      <c r="H780" t="s">
        <v>2936</v>
      </c>
    </row>
    <row r="781" spans="6:8" x14ac:dyDescent="0.25">
      <c r="F781" t="s">
        <v>2937</v>
      </c>
      <c r="G781" t="s">
        <v>2938</v>
      </c>
      <c r="H781" t="s">
        <v>2939</v>
      </c>
    </row>
    <row r="782" spans="6:8" x14ac:dyDescent="0.25">
      <c r="F782" t="s">
        <v>2940</v>
      </c>
      <c r="G782" t="s">
        <v>2941</v>
      </c>
      <c r="H782" t="s">
        <v>2942</v>
      </c>
    </row>
    <row r="783" spans="6:8" x14ac:dyDescent="0.25">
      <c r="F783" t="s">
        <v>2943</v>
      </c>
      <c r="G783" t="s">
        <v>2944</v>
      </c>
      <c r="H783" t="s">
        <v>2945</v>
      </c>
    </row>
    <row r="784" spans="6:8" x14ac:dyDescent="0.25">
      <c r="F784" t="s">
        <v>2946</v>
      </c>
      <c r="G784" t="s">
        <v>2947</v>
      </c>
      <c r="H784" t="s">
        <v>2948</v>
      </c>
    </row>
    <row r="785" spans="6:8" x14ac:dyDescent="0.25">
      <c r="F785" t="s">
        <v>2949</v>
      </c>
      <c r="G785" t="s">
        <v>2950</v>
      </c>
      <c r="H785" t="s">
        <v>2951</v>
      </c>
    </row>
    <row r="786" spans="6:8" x14ac:dyDescent="0.25">
      <c r="F786" t="s">
        <v>2952</v>
      </c>
      <c r="G786" t="s">
        <v>2953</v>
      </c>
      <c r="H786" t="s">
        <v>2954</v>
      </c>
    </row>
    <row r="787" spans="6:8" x14ac:dyDescent="0.25">
      <c r="F787" t="s">
        <v>2955</v>
      </c>
      <c r="G787" t="s">
        <v>2956</v>
      </c>
      <c r="H787" t="s">
        <v>2957</v>
      </c>
    </row>
    <row r="788" spans="6:8" x14ac:dyDescent="0.25">
      <c r="F788" t="s">
        <v>2958</v>
      </c>
      <c r="G788" t="s">
        <v>2959</v>
      </c>
      <c r="H788" t="s">
        <v>2960</v>
      </c>
    </row>
    <row r="789" spans="6:8" x14ac:dyDescent="0.25">
      <c r="F789" t="s">
        <v>2961</v>
      </c>
      <c r="G789" t="s">
        <v>2962</v>
      </c>
      <c r="H789" t="s">
        <v>2963</v>
      </c>
    </row>
    <row r="790" spans="6:8" x14ac:dyDescent="0.25">
      <c r="F790" t="s">
        <v>2964</v>
      </c>
      <c r="G790" t="s">
        <v>2965</v>
      </c>
      <c r="H790" t="s">
        <v>2966</v>
      </c>
    </row>
    <row r="791" spans="6:8" x14ac:dyDescent="0.25">
      <c r="F791" t="s">
        <v>2967</v>
      </c>
      <c r="G791" t="s">
        <v>2968</v>
      </c>
      <c r="H791" t="s">
        <v>2969</v>
      </c>
    </row>
    <row r="792" spans="6:8" x14ac:dyDescent="0.25">
      <c r="F792" t="s">
        <v>2970</v>
      </c>
      <c r="G792" t="s">
        <v>2971</v>
      </c>
      <c r="H792" t="s">
        <v>2972</v>
      </c>
    </row>
    <row r="793" spans="6:8" x14ac:dyDescent="0.25">
      <c r="F793" t="s">
        <v>2973</v>
      </c>
      <c r="G793" t="s">
        <v>2974</v>
      </c>
      <c r="H793" t="s">
        <v>2975</v>
      </c>
    </row>
    <row r="794" spans="6:8" x14ac:dyDescent="0.25">
      <c r="F794" t="s">
        <v>2976</v>
      </c>
      <c r="G794" t="s">
        <v>2977</v>
      </c>
      <c r="H794" t="s">
        <v>2978</v>
      </c>
    </row>
    <row r="795" spans="6:8" x14ac:dyDescent="0.25">
      <c r="F795" t="s">
        <v>2979</v>
      </c>
      <c r="G795" t="s">
        <v>2980</v>
      </c>
      <c r="H795" t="s">
        <v>2981</v>
      </c>
    </row>
    <row r="796" spans="6:8" x14ac:dyDescent="0.25">
      <c r="F796" t="s">
        <v>2982</v>
      </c>
      <c r="G796" t="s">
        <v>2983</v>
      </c>
      <c r="H796" t="s">
        <v>2984</v>
      </c>
    </row>
    <row r="797" spans="6:8" x14ac:dyDescent="0.25">
      <c r="F797" t="s">
        <v>2985</v>
      </c>
      <c r="G797" t="s">
        <v>2986</v>
      </c>
      <c r="H797" t="s">
        <v>2987</v>
      </c>
    </row>
    <row r="798" spans="6:8" x14ac:dyDescent="0.25">
      <c r="F798" t="s">
        <v>2988</v>
      </c>
      <c r="G798" t="s">
        <v>2989</v>
      </c>
      <c r="H798" t="s">
        <v>2990</v>
      </c>
    </row>
    <row r="799" spans="6:8" x14ac:dyDescent="0.25">
      <c r="F799" t="s">
        <v>2991</v>
      </c>
      <c r="G799" t="s">
        <v>2992</v>
      </c>
      <c r="H799" t="s">
        <v>2993</v>
      </c>
    </row>
    <row r="800" spans="6:8" x14ac:dyDescent="0.25">
      <c r="F800" t="s">
        <v>2994</v>
      </c>
      <c r="G800" t="s">
        <v>2502</v>
      </c>
      <c r="H800" t="s">
        <v>2995</v>
      </c>
    </row>
    <row r="801" spans="6:8" x14ac:dyDescent="0.25">
      <c r="F801" t="s">
        <v>2996</v>
      </c>
      <c r="G801" t="s">
        <v>2749</v>
      </c>
      <c r="H801" t="s">
        <v>2997</v>
      </c>
    </row>
    <row r="802" spans="6:8" x14ac:dyDescent="0.25">
      <c r="F802" t="s">
        <v>2998</v>
      </c>
      <c r="G802" t="s">
        <v>647</v>
      </c>
      <c r="H802" t="s">
        <v>2999</v>
      </c>
    </row>
    <row r="803" spans="6:8" x14ac:dyDescent="0.25">
      <c r="F803" t="s">
        <v>3000</v>
      </c>
      <c r="G803" t="s">
        <v>3001</v>
      </c>
      <c r="H803" t="s">
        <v>3002</v>
      </c>
    </row>
    <row r="804" spans="6:8" x14ac:dyDescent="0.25">
      <c r="F804" t="s">
        <v>3003</v>
      </c>
      <c r="G804" t="s">
        <v>3004</v>
      </c>
      <c r="H804" t="s">
        <v>3005</v>
      </c>
    </row>
    <row r="805" spans="6:8" x14ac:dyDescent="0.25">
      <c r="F805" t="s">
        <v>3006</v>
      </c>
      <c r="G805" t="s">
        <v>3007</v>
      </c>
      <c r="H805" t="s">
        <v>3008</v>
      </c>
    </row>
    <row r="806" spans="6:8" x14ac:dyDescent="0.25">
      <c r="F806" t="s">
        <v>3009</v>
      </c>
      <c r="G806" t="s">
        <v>3010</v>
      </c>
      <c r="H806" t="s">
        <v>3011</v>
      </c>
    </row>
    <row r="807" spans="6:8" x14ac:dyDescent="0.25">
      <c r="F807" t="s">
        <v>3012</v>
      </c>
      <c r="G807" t="s">
        <v>3013</v>
      </c>
      <c r="H807" t="s">
        <v>3014</v>
      </c>
    </row>
    <row r="808" spans="6:8" x14ac:dyDescent="0.25">
      <c r="F808" t="s">
        <v>3015</v>
      </c>
      <c r="G808" t="s">
        <v>699</v>
      </c>
      <c r="H808" t="s">
        <v>3016</v>
      </c>
    </row>
    <row r="809" spans="6:8" x14ac:dyDescent="0.25">
      <c r="F809" t="s">
        <v>3017</v>
      </c>
      <c r="G809" t="s">
        <v>3018</v>
      </c>
      <c r="H809" t="s">
        <v>3019</v>
      </c>
    </row>
    <row r="810" spans="6:8" x14ac:dyDescent="0.25">
      <c r="F810" t="s">
        <v>3020</v>
      </c>
      <c r="G810" t="s">
        <v>3021</v>
      </c>
      <c r="H810" t="s">
        <v>3022</v>
      </c>
    </row>
    <row r="811" spans="6:8" x14ac:dyDescent="0.25">
      <c r="F811" t="s">
        <v>3023</v>
      </c>
      <c r="G811" t="s">
        <v>3024</v>
      </c>
      <c r="H811" t="s">
        <v>3025</v>
      </c>
    </row>
    <row r="812" spans="6:8" x14ac:dyDescent="0.25">
      <c r="F812" t="s">
        <v>3026</v>
      </c>
      <c r="G812" t="s">
        <v>3027</v>
      </c>
      <c r="H812" t="s">
        <v>3028</v>
      </c>
    </row>
    <row r="813" spans="6:8" x14ac:dyDescent="0.25">
      <c r="F813" t="s">
        <v>3029</v>
      </c>
      <c r="G813" t="s">
        <v>3030</v>
      </c>
      <c r="H813" t="s">
        <v>3031</v>
      </c>
    </row>
    <row r="814" spans="6:8" x14ac:dyDescent="0.25">
      <c r="F814" t="s">
        <v>3032</v>
      </c>
      <c r="G814" t="s">
        <v>3033</v>
      </c>
      <c r="H814" t="s">
        <v>3034</v>
      </c>
    </row>
    <row r="815" spans="6:8" x14ac:dyDescent="0.25">
      <c r="F815" t="s">
        <v>3035</v>
      </c>
      <c r="G815" t="s">
        <v>3036</v>
      </c>
      <c r="H815" t="s">
        <v>3037</v>
      </c>
    </row>
    <row r="816" spans="6:8" x14ac:dyDescent="0.25">
      <c r="F816" t="s">
        <v>3038</v>
      </c>
      <c r="G816" t="s">
        <v>3039</v>
      </c>
      <c r="H816" t="s">
        <v>3040</v>
      </c>
    </row>
    <row r="817" spans="6:8" x14ac:dyDescent="0.25">
      <c r="F817" t="s">
        <v>3041</v>
      </c>
      <c r="G817" t="s">
        <v>3042</v>
      </c>
      <c r="H817" t="s">
        <v>3043</v>
      </c>
    </row>
    <row r="818" spans="6:8" x14ac:dyDescent="0.25">
      <c r="F818" t="s">
        <v>3044</v>
      </c>
      <c r="G818" t="s">
        <v>3045</v>
      </c>
      <c r="H818" t="s">
        <v>3046</v>
      </c>
    </row>
    <row r="819" spans="6:8" x14ac:dyDescent="0.25">
      <c r="F819" t="s">
        <v>3047</v>
      </c>
      <c r="G819" t="s">
        <v>3048</v>
      </c>
      <c r="H819" t="s">
        <v>3049</v>
      </c>
    </row>
    <row r="820" spans="6:8" x14ac:dyDescent="0.25">
      <c r="F820" t="s">
        <v>3050</v>
      </c>
      <c r="G820" t="s">
        <v>3051</v>
      </c>
      <c r="H820" t="s">
        <v>3052</v>
      </c>
    </row>
    <row r="821" spans="6:8" x14ac:dyDescent="0.25">
      <c r="F821" t="s">
        <v>3053</v>
      </c>
      <c r="G821" t="s">
        <v>3054</v>
      </c>
      <c r="H821" t="s">
        <v>3055</v>
      </c>
    </row>
    <row r="822" spans="6:8" x14ac:dyDescent="0.25">
      <c r="F822" t="s">
        <v>3056</v>
      </c>
      <c r="G822" t="s">
        <v>3057</v>
      </c>
      <c r="H822" t="s">
        <v>3058</v>
      </c>
    </row>
    <row r="823" spans="6:8" x14ac:dyDescent="0.25">
      <c r="F823" t="s">
        <v>3059</v>
      </c>
      <c r="G823" t="s">
        <v>3060</v>
      </c>
      <c r="H823" t="s">
        <v>3061</v>
      </c>
    </row>
    <row r="824" spans="6:8" x14ac:dyDescent="0.25">
      <c r="F824" t="s">
        <v>3062</v>
      </c>
      <c r="G824" t="s">
        <v>3063</v>
      </c>
      <c r="H824" t="s">
        <v>3064</v>
      </c>
    </row>
    <row r="825" spans="6:8" x14ac:dyDescent="0.25">
      <c r="F825" t="s">
        <v>3065</v>
      </c>
      <c r="G825" t="s">
        <v>3066</v>
      </c>
      <c r="H825" t="s">
        <v>3067</v>
      </c>
    </row>
    <row r="826" spans="6:8" x14ac:dyDescent="0.25">
      <c r="F826" t="s">
        <v>3068</v>
      </c>
      <c r="G826" t="s">
        <v>3069</v>
      </c>
      <c r="H826" t="s">
        <v>3070</v>
      </c>
    </row>
    <row r="827" spans="6:8" x14ac:dyDescent="0.25">
      <c r="F827" t="s">
        <v>3071</v>
      </c>
      <c r="G827" t="s">
        <v>3072</v>
      </c>
      <c r="H827" t="s">
        <v>3073</v>
      </c>
    </row>
    <row r="828" spans="6:8" x14ac:dyDescent="0.25">
      <c r="F828" t="s">
        <v>3074</v>
      </c>
      <c r="G828" t="s">
        <v>3075</v>
      </c>
      <c r="H828" t="s">
        <v>3076</v>
      </c>
    </row>
    <row r="829" spans="6:8" x14ac:dyDescent="0.25">
      <c r="F829" t="s">
        <v>3077</v>
      </c>
      <c r="G829" t="s">
        <v>3078</v>
      </c>
      <c r="H829" t="s">
        <v>3079</v>
      </c>
    </row>
    <row r="830" spans="6:8" x14ac:dyDescent="0.25">
      <c r="F830" t="s">
        <v>3080</v>
      </c>
      <c r="G830" t="s">
        <v>3081</v>
      </c>
      <c r="H830" t="s">
        <v>3082</v>
      </c>
    </row>
    <row r="831" spans="6:8" x14ac:dyDescent="0.25">
      <c r="F831" t="s">
        <v>3083</v>
      </c>
      <c r="G831" t="s">
        <v>3084</v>
      </c>
      <c r="H831" t="s">
        <v>3085</v>
      </c>
    </row>
    <row r="832" spans="6:8" x14ac:dyDescent="0.25">
      <c r="F832" t="s">
        <v>3086</v>
      </c>
      <c r="G832" t="s">
        <v>3087</v>
      </c>
      <c r="H832" t="s">
        <v>3088</v>
      </c>
    </row>
    <row r="833" spans="6:8" x14ac:dyDescent="0.25">
      <c r="F833" t="s">
        <v>3089</v>
      </c>
      <c r="G833" t="s">
        <v>3090</v>
      </c>
      <c r="H833" t="s">
        <v>3091</v>
      </c>
    </row>
    <row r="834" spans="6:8" x14ac:dyDescent="0.25">
      <c r="F834" t="s">
        <v>3092</v>
      </c>
      <c r="G834" t="s">
        <v>1164</v>
      </c>
      <c r="H834" t="s">
        <v>3093</v>
      </c>
    </row>
    <row r="835" spans="6:8" x14ac:dyDescent="0.25">
      <c r="F835" t="s">
        <v>3094</v>
      </c>
      <c r="G835" t="s">
        <v>3095</v>
      </c>
      <c r="H835" t="s">
        <v>3096</v>
      </c>
    </row>
    <row r="836" spans="6:8" x14ac:dyDescent="0.25">
      <c r="F836" t="s">
        <v>3097</v>
      </c>
      <c r="G836" t="s">
        <v>3098</v>
      </c>
      <c r="H836" t="s">
        <v>3099</v>
      </c>
    </row>
    <row r="837" spans="6:8" x14ac:dyDescent="0.25">
      <c r="F837" t="s">
        <v>3100</v>
      </c>
      <c r="G837" t="s">
        <v>3101</v>
      </c>
      <c r="H837" t="s">
        <v>3102</v>
      </c>
    </row>
    <row r="838" spans="6:8" x14ac:dyDescent="0.25">
      <c r="F838" t="s">
        <v>3103</v>
      </c>
      <c r="G838" t="s">
        <v>3104</v>
      </c>
      <c r="H838" t="s">
        <v>3105</v>
      </c>
    </row>
    <row r="839" spans="6:8" x14ac:dyDescent="0.25">
      <c r="F839" t="s">
        <v>3106</v>
      </c>
      <c r="G839" t="s">
        <v>3107</v>
      </c>
      <c r="H839" t="s">
        <v>3108</v>
      </c>
    </row>
    <row r="840" spans="6:8" x14ac:dyDescent="0.25">
      <c r="F840" t="s">
        <v>3109</v>
      </c>
      <c r="G840" t="s">
        <v>3110</v>
      </c>
      <c r="H840" t="s">
        <v>3111</v>
      </c>
    </row>
    <row r="841" spans="6:8" x14ac:dyDescent="0.25">
      <c r="F841" t="s">
        <v>3112</v>
      </c>
      <c r="G841" t="s">
        <v>3113</v>
      </c>
      <c r="H841" t="s">
        <v>3114</v>
      </c>
    </row>
    <row r="842" spans="6:8" x14ac:dyDescent="0.25">
      <c r="F842" t="s">
        <v>3115</v>
      </c>
      <c r="G842" t="s">
        <v>3116</v>
      </c>
      <c r="H842" t="s">
        <v>3117</v>
      </c>
    </row>
    <row r="843" spans="6:8" x14ac:dyDescent="0.25">
      <c r="F843" t="s">
        <v>3118</v>
      </c>
      <c r="G843" t="s">
        <v>3119</v>
      </c>
      <c r="H843" t="s">
        <v>3120</v>
      </c>
    </row>
    <row r="844" spans="6:8" x14ac:dyDescent="0.25">
      <c r="F844" t="s">
        <v>3121</v>
      </c>
      <c r="G844" t="s">
        <v>3122</v>
      </c>
      <c r="H844" t="s">
        <v>3123</v>
      </c>
    </row>
    <row r="845" spans="6:8" x14ac:dyDescent="0.25">
      <c r="F845" t="s">
        <v>3124</v>
      </c>
      <c r="G845" t="s">
        <v>3125</v>
      </c>
      <c r="H845" t="s">
        <v>3126</v>
      </c>
    </row>
    <row r="846" spans="6:8" x14ac:dyDescent="0.25">
      <c r="F846" t="s">
        <v>3127</v>
      </c>
      <c r="G846" t="s">
        <v>2238</v>
      </c>
      <c r="H846" t="s">
        <v>3128</v>
      </c>
    </row>
    <row r="847" spans="6:8" x14ac:dyDescent="0.25">
      <c r="F847" t="s">
        <v>3129</v>
      </c>
      <c r="G847" t="s">
        <v>2833</v>
      </c>
      <c r="H847" t="s">
        <v>3130</v>
      </c>
    </row>
    <row r="848" spans="6:8" x14ac:dyDescent="0.25">
      <c r="F848" t="s">
        <v>3131</v>
      </c>
      <c r="G848" t="s">
        <v>3132</v>
      </c>
      <c r="H848" t="s">
        <v>3133</v>
      </c>
    </row>
    <row r="849" spans="6:8" x14ac:dyDescent="0.25">
      <c r="F849" t="s">
        <v>3134</v>
      </c>
      <c r="G849" t="s">
        <v>3135</v>
      </c>
      <c r="H849" t="s">
        <v>3136</v>
      </c>
    </row>
    <row r="850" spans="6:8" x14ac:dyDescent="0.25">
      <c r="F850" t="s">
        <v>3137</v>
      </c>
      <c r="G850" t="s">
        <v>3138</v>
      </c>
      <c r="H850" t="s">
        <v>3139</v>
      </c>
    </row>
    <row r="851" spans="6:8" x14ac:dyDescent="0.25">
      <c r="F851" t="s">
        <v>3140</v>
      </c>
      <c r="G851" t="s">
        <v>3141</v>
      </c>
      <c r="H851" t="s">
        <v>3142</v>
      </c>
    </row>
    <row r="852" spans="6:8" x14ac:dyDescent="0.25">
      <c r="F852" t="s">
        <v>3143</v>
      </c>
      <c r="G852" t="s">
        <v>3144</v>
      </c>
      <c r="H852" t="s">
        <v>3145</v>
      </c>
    </row>
    <row r="853" spans="6:8" x14ac:dyDescent="0.25">
      <c r="F853" t="s">
        <v>3146</v>
      </c>
      <c r="G853" t="s">
        <v>3147</v>
      </c>
      <c r="H853" t="s">
        <v>3148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 Plan</vt:lpstr>
      <vt:lpstr>Config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2026-04-07T11:15:42Z</dcterms:created>
  <dcterms:modified xsi:type="dcterms:W3CDTF">2026-04-08T08:07:20Z</dcterms:modified>
</cp:coreProperties>
</file>